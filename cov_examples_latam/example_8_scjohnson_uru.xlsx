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acr4002\Downloads\"/>
    </mc:Choice>
  </mc:AlternateContent>
  <xr:revisionPtr revIDLastSave="0" documentId="8_{7310AC25-CF25-4920-BB24-A75CAFF84A2E}" xr6:coauthVersionLast="47" xr6:coauthVersionMax="47" xr10:uidLastSave="{00000000-0000-0000-0000-000000000000}"/>
  <bookViews>
    <workbookView xWindow="-120" yWindow="-120" windowWidth="29040" windowHeight="15720" activeTab="2" xr2:uid="{4197AAA9-65E2-4250-93F9-625ED7EC0AEC}"/>
  </bookViews>
  <sheets>
    <sheet name="Diccionario" sheetId="6" r:id="rId1"/>
    <sheet name="Dinamica S." sheetId="5" r:id="rId2"/>
    <sheet name="Shipments" sheetId="1" r:id="rId3"/>
    <sheet name="Dinamica D." sheetId="4" r:id="rId4"/>
    <sheet name="Dataset" sheetId="3" r:id="rId5"/>
    <sheet name="D.Inventario" sheetId="8" r:id="rId6"/>
    <sheet name="Inventario" sheetId="7" r:id="rId7"/>
    <sheet name="DNA" sheetId="9" r:id="rId8"/>
  </sheets>
  <definedNames>
    <definedName name="_xlnm._FilterDatabase" localSheetId="4" hidden="1">Dataset!$A$1:$AT$1027</definedName>
    <definedName name="_xlnm._FilterDatabase" localSheetId="6" hidden="1">Inventario!$A$1:$AT$172</definedName>
  </definedNames>
  <calcPr calcId="191028"/>
  <pivotCaches>
    <pivotCache cacheId="11" r:id="rId9"/>
    <pivotCache cacheId="12" r:id="rId10"/>
    <pivotCache cacheId="13" r:id="rId11"/>
    <pivotCache cacheId="1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8" i="4" l="1"/>
  <c r="AM78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Q59" i="8"/>
  <c r="AQ62" i="8"/>
  <c r="AP62" i="8"/>
  <c r="AQ61" i="8"/>
  <c r="AP61" i="8"/>
  <c r="AQ60" i="8"/>
  <c r="AP60" i="8"/>
  <c r="AP59" i="8"/>
  <c r="AO62" i="8"/>
  <c r="AN62" i="8"/>
  <c r="AM62" i="8"/>
  <c r="AN61" i="8"/>
  <c r="AM61" i="8"/>
  <c r="AN60" i="8"/>
  <c r="AO60" i="8" s="1"/>
  <c r="AM60" i="8"/>
  <c r="AN59" i="8"/>
  <c r="AM59" i="8"/>
  <c r="AP38" i="8"/>
  <c r="AQ38" i="8"/>
  <c r="AP39" i="8"/>
  <c r="AQ39" i="8"/>
  <c r="AP40" i="8"/>
  <c r="AQ40" i="8"/>
  <c r="AQ37" i="8"/>
  <c r="AP37" i="8"/>
  <c r="AM40" i="8"/>
  <c r="AN40" i="8"/>
  <c r="AO40" i="8" s="1"/>
  <c r="AO39" i="8"/>
  <c r="AN39" i="8"/>
  <c r="AM39" i="8"/>
  <c r="AN38" i="8"/>
  <c r="AM38" i="8"/>
  <c r="AN37" i="8"/>
  <c r="AO37" i="8" s="1"/>
  <c r="AM37" i="8"/>
  <c r="AP17" i="8"/>
  <c r="AQ17" i="8"/>
  <c r="AP18" i="8"/>
  <c r="AQ18" i="8"/>
  <c r="AQ16" i="8"/>
  <c r="AP16" i="8"/>
  <c r="AO17" i="8"/>
  <c r="AO18" i="8"/>
  <c r="AO16" i="8"/>
  <c r="AM18" i="8"/>
  <c r="AN18" i="8"/>
  <c r="AN17" i="8"/>
  <c r="AN16" i="8"/>
  <c r="AM17" i="8"/>
  <c r="AM16" i="8"/>
  <c r="AF33" i="5"/>
  <c r="AE34" i="5"/>
  <c r="AE33" i="5"/>
  <c r="AE29" i="5"/>
  <c r="AF29" i="5"/>
  <c r="AF30" i="5"/>
  <c r="AE30" i="5"/>
  <c r="U31" i="5"/>
  <c r="V31" i="5"/>
  <c r="W31" i="5"/>
  <c r="X31" i="5"/>
  <c r="Y31" i="5"/>
  <c r="Z31" i="5"/>
  <c r="AA31" i="5"/>
  <c r="AB31" i="5"/>
  <c r="AC31" i="5"/>
  <c r="AO59" i="8" l="1"/>
  <c r="AO61" i="8"/>
  <c r="AO38" i="8"/>
  <c r="AI29" i="5"/>
  <c r="AH29" i="5"/>
</calcChain>
</file>

<file path=xl/sharedStrings.xml><?xml version="1.0" encoding="utf-8"?>
<sst xmlns="http://schemas.openxmlformats.org/spreadsheetml/2006/main" count="11497" uniqueCount="286">
  <si>
    <t>Canal SCJ</t>
  </si>
  <si>
    <t>Canal NIQ</t>
  </si>
  <si>
    <t>Homologación</t>
  </si>
  <si>
    <t>Segmento SCJ</t>
  </si>
  <si>
    <t>Segmento NIQ</t>
  </si>
  <si>
    <t>Supermercado</t>
  </si>
  <si>
    <t>Supermercados</t>
  </si>
  <si>
    <t>Repelente</t>
  </si>
  <si>
    <t>Mosquito + Repelente Gel, crema, spray y aerosol</t>
  </si>
  <si>
    <t>PERSONAL REPELLENT + MOSQUITO</t>
  </si>
  <si>
    <t>Distribuidor, Mayorista</t>
  </si>
  <si>
    <t>Tradicional</t>
  </si>
  <si>
    <t>Insecticida</t>
  </si>
  <si>
    <t>Mosquito + MMM Aero</t>
  </si>
  <si>
    <t>FLYING INSECT KILLER + Todos los segmentos</t>
  </si>
  <si>
    <t>eCommerce</t>
  </si>
  <si>
    <t>No cubierto</t>
  </si>
  <si>
    <t>Pesticidas</t>
  </si>
  <si>
    <t>Todo + Toda la categoria menos repelentes y MMM Aero</t>
  </si>
  <si>
    <t>Todas las categorias menos PERSONAL REPELLENT y FLYING INSECT KILLER + Todos los segmentos</t>
  </si>
  <si>
    <t>Canal</t>
  </si>
  <si>
    <t>(Todas)</t>
  </si>
  <si>
    <t>Sub Negocio</t>
  </si>
  <si>
    <t>Sub Categoría</t>
  </si>
  <si>
    <t>Etiquetas de fila</t>
  </si>
  <si>
    <t>Suma de jul-22</t>
  </si>
  <si>
    <t>Suma de ago-22</t>
  </si>
  <si>
    <t>Suma de sep-22</t>
  </si>
  <si>
    <t>Suma de oct-22</t>
  </si>
  <si>
    <t>Suma de nov-22</t>
  </si>
  <si>
    <t>Suma de dic-22</t>
  </si>
  <si>
    <t>Suma de ene-23</t>
  </si>
  <si>
    <t>Suma de feb-23</t>
  </si>
  <si>
    <t>Suma de mar-23</t>
  </si>
  <si>
    <t>Suma de abr-23</t>
  </si>
  <si>
    <t>Suma de may-23</t>
  </si>
  <si>
    <t>Suma de jun-23</t>
  </si>
  <si>
    <t>Suma de jul-23</t>
  </si>
  <si>
    <t>Suma de ago-23</t>
  </si>
  <si>
    <t>Suma de sep-23</t>
  </si>
  <si>
    <t>Suma de oct-23</t>
  </si>
  <si>
    <t>Suma de nov-23</t>
  </si>
  <si>
    <t>Suma de dic-23</t>
  </si>
  <si>
    <t>Suma de ene-24</t>
  </si>
  <si>
    <t>Suma de feb-24</t>
  </si>
  <si>
    <t>Suma de mar-24</t>
  </si>
  <si>
    <t>Suma de abr-24</t>
  </si>
  <si>
    <t>Suma de may-24</t>
  </si>
  <si>
    <t>Suma de jun-24</t>
  </si>
  <si>
    <t>Suma de jul-24</t>
  </si>
  <si>
    <t>Suma de ago-24</t>
  </si>
  <si>
    <t>Suma de sep-24</t>
  </si>
  <si>
    <t>Bayg</t>
  </si>
  <si>
    <t>Fuyi</t>
  </si>
  <si>
    <t>Off!</t>
  </si>
  <si>
    <t>Raid</t>
  </si>
  <si>
    <t>Total general</t>
  </si>
  <si>
    <t>(Varios elementos)</t>
  </si>
  <si>
    <t>Marca</t>
  </si>
  <si>
    <t>Ecommerce</t>
  </si>
  <si>
    <t>Baygon</t>
  </si>
  <si>
    <t>Var. UAM YTD</t>
  </si>
  <si>
    <t>UAM-1 YTD</t>
  </si>
  <si>
    <t>UAM YTD</t>
  </si>
  <si>
    <t>NIQ</t>
  </si>
  <si>
    <t>SCJ</t>
  </si>
  <si>
    <t>SKU</t>
  </si>
  <si>
    <t>Distribuidor</t>
  </si>
  <si>
    <t>Pest Control</t>
  </si>
  <si>
    <t>Espirales</t>
  </si>
  <si>
    <t>Raid Espirales Lavanda</t>
  </si>
  <si>
    <t>COIL</t>
  </si>
  <si>
    <t>Raid Espirales Original</t>
  </si>
  <si>
    <t>Raid Espirales Sobres</t>
  </si>
  <si>
    <t>Liquido Electrico</t>
  </si>
  <si>
    <t>Fuyi 45N Ap.</t>
  </si>
  <si>
    <t>ELECTRIC LIQUID</t>
  </si>
  <si>
    <t>Fuyi 45N Rep.</t>
  </si>
  <si>
    <t>Raid 45N Ap.</t>
  </si>
  <si>
    <t>Raid 45N Rep.</t>
  </si>
  <si>
    <t>Raid 45N Ap. Promo</t>
  </si>
  <si>
    <t>Raid 45N Rep. Bloosoms</t>
  </si>
  <si>
    <t>Fuyi 45 Noches Rep.</t>
  </si>
  <si>
    <t>Tabletas</t>
  </si>
  <si>
    <t>Fuyi Tabletas Rep. x12</t>
  </si>
  <si>
    <t>ELECTRIC MAT</t>
  </si>
  <si>
    <t>Fuyi Tabletas Rep. x24</t>
  </si>
  <si>
    <t>Raid Tabletas Ap.</t>
  </si>
  <si>
    <t>Raid Tabletas Doble Accion Rep. x24</t>
  </si>
  <si>
    <t>Raid Tabletas Rep. X12</t>
  </si>
  <si>
    <t>Raid Tabletas Rep. x72</t>
  </si>
  <si>
    <t>Repelente Aerosol</t>
  </si>
  <si>
    <t>Fuyi Repelente Aero 165</t>
  </si>
  <si>
    <t>AEROSOL</t>
  </si>
  <si>
    <t>Fuyi Repelente Aero 170</t>
  </si>
  <si>
    <t>Off! Extra Dur. Aero 170</t>
  </si>
  <si>
    <t>Off! Extra Dur. Aero BP 290</t>
  </si>
  <si>
    <t>Off! Family Aero 170</t>
  </si>
  <si>
    <t>Off! Family Aero BP 290</t>
  </si>
  <si>
    <t>Off! Family S&amp;D Aero</t>
  </si>
  <si>
    <t>Off! Invisible Aero Everyday</t>
  </si>
  <si>
    <t>Repelente Crema</t>
  </si>
  <si>
    <t>Off! Crema Extra Duracion 100g</t>
  </si>
  <si>
    <t>LOTION BOTTLE</t>
  </si>
  <si>
    <t>Off! Crema Extra Duracion 90g</t>
  </si>
  <si>
    <t>Off! Family Crema 196g</t>
  </si>
  <si>
    <t>Off! Family Crema 200g</t>
  </si>
  <si>
    <t>Off! Family Crema 60g</t>
  </si>
  <si>
    <t>Off! Kids Crema 100g</t>
  </si>
  <si>
    <t>Off! Kids Crema 90g</t>
  </si>
  <si>
    <t>Off! Family Crema 60g Fundita</t>
  </si>
  <si>
    <t>Repelente Gel</t>
  </si>
  <si>
    <t>Off! Defense Gel</t>
  </si>
  <si>
    <t>GEL BOTTLE</t>
  </si>
  <si>
    <t>Repelente Spray</t>
  </si>
  <si>
    <t>Off! Defense Spray</t>
  </si>
  <si>
    <t>LIQUID PUMP</t>
  </si>
  <si>
    <t>Off! Family Spray</t>
  </si>
  <si>
    <t>Off! Invisible Sueños</t>
  </si>
  <si>
    <t>MMM Aero</t>
  </si>
  <si>
    <t>Baygon MMM</t>
  </si>
  <si>
    <t>Fuyi Aero MMM TP</t>
  </si>
  <si>
    <t>Fuyi MMM Aero</t>
  </si>
  <si>
    <t>Raid Aero Casa y Jardin</t>
  </si>
  <si>
    <t>Raid Aero Casa y Jardin Clasico</t>
  </si>
  <si>
    <t>Raid Aero MMM Azul</t>
  </si>
  <si>
    <t>Raid Aero MMM Azul TP</t>
  </si>
  <si>
    <t>Raid Aero MMM Eficacia Segura</t>
  </si>
  <si>
    <t>Raid Aero MMM S/O 420 BP</t>
  </si>
  <si>
    <t>Raid Essentials Casa y Jardin</t>
  </si>
  <si>
    <t>Raid Aero MMM Essentials</t>
  </si>
  <si>
    <t>Cucarachicidas</t>
  </si>
  <si>
    <t>Baygon Verde</t>
  </si>
  <si>
    <t>Raid Aero Cocina</t>
  </si>
  <si>
    <t>Raid Aero Exterminador</t>
  </si>
  <si>
    <t>Raid Aero Max S/O</t>
  </si>
  <si>
    <t>Raid Essentials Cucarachas</t>
  </si>
  <si>
    <t>Raid Max Jeringas</t>
  </si>
  <si>
    <t>BAIT GEL</t>
  </si>
  <si>
    <t>Raid Cebos</t>
  </si>
  <si>
    <t>BAIT STATION</t>
  </si>
  <si>
    <t>Hormigas</t>
  </si>
  <si>
    <t>Raid Aero Mata Hormigas</t>
  </si>
  <si>
    <t>Matapulgas</t>
  </si>
  <si>
    <t>Raid Aero Matapulgas</t>
  </si>
  <si>
    <t>Polillas</t>
  </si>
  <si>
    <t>Raid Aero Antipolilla</t>
  </si>
  <si>
    <t>Polillas Continuos</t>
  </si>
  <si>
    <t>Raid Antipolillas Continuo</t>
  </si>
  <si>
    <t>Mayoristas</t>
  </si>
  <si>
    <t>Facts</t>
  </si>
  <si>
    <t>Units</t>
  </si>
  <si>
    <t>CATEGORY</t>
  </si>
  <si>
    <t>SEGMENT</t>
  </si>
  <si>
    <t>FORM</t>
  </si>
  <si>
    <t>Markets</t>
  </si>
  <si>
    <t>BRAND</t>
  </si>
  <si>
    <t>Suma de Sep 21 - w/e 22/09/21</t>
  </si>
  <si>
    <t>Suma de Oct 21 - w/e 23/10/21</t>
  </si>
  <si>
    <t>Suma de Nov 21 - w/e 22/11/21</t>
  </si>
  <si>
    <t>Suma de Dec 21 - w/e 23/12/21</t>
  </si>
  <si>
    <t>Suma de Jan 22 - w/e 23/01/22</t>
  </si>
  <si>
    <t>Suma de Feb 22 - w/e 20/02/22</t>
  </si>
  <si>
    <t>Suma de Mar 22 - w/e 23/03/22</t>
  </si>
  <si>
    <t>Suma de Apr 22 - w/e 22/04/22</t>
  </si>
  <si>
    <t>Suma de May 22 - w/e 23/05/22</t>
  </si>
  <si>
    <t>Suma de Jun 22 - w/e 22/06/22</t>
  </si>
  <si>
    <t>Suma de Jul 22 - w/e 23/07/22</t>
  </si>
  <si>
    <t>Suma de Aug 22 - w/e 23/08/22</t>
  </si>
  <si>
    <t>Suma de Sep 22 - w/e 22/09/22</t>
  </si>
  <si>
    <t>Suma de Oct 22 - w/e 23/10/22</t>
  </si>
  <si>
    <t>Suma de Nov 22 - w/e 22/11/22</t>
  </si>
  <si>
    <t>Suma de Dec 22 - w/e 23/12/22</t>
  </si>
  <si>
    <t>Suma de Jan 23 - w/e 23/01/23</t>
  </si>
  <si>
    <t>Suma de Feb 23 - w/e 20/02/23</t>
  </si>
  <si>
    <t>Suma de Mar 23 - w/e 23/03/23</t>
  </si>
  <si>
    <t>Suma de Apr 23 - w/e 22/04/23</t>
  </si>
  <si>
    <t>Suma de May 23 - w/e 23/05/23</t>
  </si>
  <si>
    <t>Suma de Jun 23 - w/e 22/06/23</t>
  </si>
  <si>
    <t>Suma de Jul 23 - w/e 23/07/23</t>
  </si>
  <si>
    <t>Suma de Aug 23 - w/e 23/08/23</t>
  </si>
  <si>
    <t>Suma de Sep 23 - w/e 22/09/23</t>
  </si>
  <si>
    <t>Suma de Oct 23 - w/e 23/10/23</t>
  </si>
  <si>
    <t>Suma de Nov 23 - w/e 22/11/23</t>
  </si>
  <si>
    <t>Suma de Dec 23 - w/e 23/12/23</t>
  </si>
  <si>
    <t>Suma de Jan 24 - w/e 23/01/24</t>
  </si>
  <si>
    <t>Suma de Feb 24 - w/e 21/02/24</t>
  </si>
  <si>
    <t>Suma de Mar 24 - w/e 23/03/24</t>
  </si>
  <si>
    <t>Suma de Apr 24 - w/e 22/04/24</t>
  </si>
  <si>
    <t>Suma de May 24 - w/e 23/05/24</t>
  </si>
  <si>
    <t>Suma de Jun 24 - w/e 22/06/24</t>
  </si>
  <si>
    <t>Suma de Jul 24 - w/e 23/07/24</t>
  </si>
  <si>
    <t>Suma de Aug 24 - w/e 23/08/24</t>
  </si>
  <si>
    <t>Suma de Sep 24 - w/e 22/09/24</t>
  </si>
  <si>
    <t>T.URUGUAY AUTOSERVICIOS</t>
  </si>
  <si>
    <t>RAID</t>
  </si>
  <si>
    <t>T.URUGUAY INC</t>
  </si>
  <si>
    <t>T.URUGUAY KIOSCOS+MINIMERCADOS</t>
  </si>
  <si>
    <t>T.URUGUAY TRADICIONALES</t>
  </si>
  <si>
    <t>Proporción Ventas</t>
  </si>
  <si>
    <t>Repelentes</t>
  </si>
  <si>
    <t>FUYI</t>
  </si>
  <si>
    <t>OFF!</t>
  </si>
  <si>
    <t>BAYGON</t>
  </si>
  <si>
    <t>Pesticidas (Resto)</t>
  </si>
  <si>
    <t>$</t>
  </si>
  <si>
    <t>T.URUGUAY INCT</t>
  </si>
  <si>
    <t>PEST CONTROL</t>
  </si>
  <si>
    <t>MANUFACTURER</t>
  </si>
  <si>
    <t>Sep 21 - w/e 22/09/21</t>
  </si>
  <si>
    <t>Oct 21 - w/e 23/10/21</t>
  </si>
  <si>
    <t>Nov 21 - w/e 22/11/21</t>
  </si>
  <si>
    <t>Dec 21 - w/e 23/12/21</t>
  </si>
  <si>
    <t>Jan 22 - w/e 23/01/22</t>
  </si>
  <si>
    <t>Feb 22 - w/e 20/02/22</t>
  </si>
  <si>
    <t>Mar 22 - w/e 23/03/22</t>
  </si>
  <si>
    <t>Apr 22 - w/e 22/04/22</t>
  </si>
  <si>
    <t>May 22 - w/e 23/05/22</t>
  </si>
  <si>
    <t>Jun 22 - w/e 22/06/22</t>
  </si>
  <si>
    <t>Jul 22 - w/e 23/07/22</t>
  </si>
  <si>
    <t>Aug 22 - w/e 23/08/22</t>
  </si>
  <si>
    <t>Sep 22 - w/e 22/09/22</t>
  </si>
  <si>
    <t>Oct 22 - w/e 23/10/22</t>
  </si>
  <si>
    <t>Nov 22 - w/e 22/11/22</t>
  </si>
  <si>
    <t>Dec 22 - w/e 23/12/22</t>
  </si>
  <si>
    <t>Jan 23 - w/e 23/01/23</t>
  </si>
  <si>
    <t>Feb 23 - w/e 20/02/23</t>
  </si>
  <si>
    <t>Mar 23 - w/e 23/03/23</t>
  </si>
  <si>
    <t>Apr 23 - w/e 22/04/23</t>
  </si>
  <si>
    <t>May 23 - w/e 23/05/23</t>
  </si>
  <si>
    <t>Jun 23 - w/e 22/06/23</t>
  </si>
  <si>
    <t>Jul 23 - w/e 23/07/23</t>
  </si>
  <si>
    <t>Aug 23 - w/e 23/08/23</t>
  </si>
  <si>
    <t>Sep 23 - w/e 22/09/23</t>
  </si>
  <si>
    <t>Oct 23 - w/e 23/10/23</t>
  </si>
  <si>
    <t>Nov 23 - w/e 22/11/23</t>
  </si>
  <si>
    <t>Dec 23 - w/e 23/12/23</t>
  </si>
  <si>
    <t>Jan 24 - w/e 23/01/24</t>
  </si>
  <si>
    <t>Feb 24 - w/e 21/02/24</t>
  </si>
  <si>
    <t>Mar 24 - w/e 23/03/24</t>
  </si>
  <si>
    <t>Apr 24 - w/e 22/04/24</t>
  </si>
  <si>
    <t>May 24 - w/e 23/05/24</t>
  </si>
  <si>
    <t>Jun 24 - w/e 22/06/24</t>
  </si>
  <si>
    <t>Jul 24 - w/e 23/07/24</t>
  </si>
  <si>
    <t>Aug 24 - w/e 23/08/24</t>
  </si>
  <si>
    <t>Sep 24 - w/e 22/09/24</t>
  </si>
  <si>
    <t>SC JOHNSON</t>
  </si>
  <si>
    <t>PERSONAL REPELLENT</t>
  </si>
  <si>
    <t>MOSQUITO</t>
  </si>
  <si>
    <t>(FE) Shr - Product</t>
  </si>
  <si>
    <t>Wghtd Dist Handling</t>
  </si>
  <si>
    <t>Numeric Distribution Handling (C)</t>
  </si>
  <si>
    <t>Stocks Forward Units Shr - Product</t>
  </si>
  <si>
    <t>LIQUID BOTTLE</t>
  </si>
  <si>
    <t>CRAWLING INSECT KILLER</t>
  </si>
  <si>
    <t>ANT &amp; ROACH</t>
  </si>
  <si>
    <t>FLEA &amp; TICK</t>
  </si>
  <si>
    <t>MULTI CRAWLING</t>
  </si>
  <si>
    <t>OTHER CRAWLING</t>
  </si>
  <si>
    <t>FLYING INSECT KILLER</t>
  </si>
  <si>
    <t>PAPER / CARD</t>
  </si>
  <si>
    <t>MOTH FABRIC</t>
  </si>
  <si>
    <t>CAGE</t>
  </si>
  <si>
    <t>INDOOR PROTECTION</t>
  </si>
  <si>
    <t>AUTOMATIC SPRAY</t>
  </si>
  <si>
    <t>MULTI INSECT KILLER</t>
  </si>
  <si>
    <t>OTHER FLYING &amp; CRAWLING</t>
  </si>
  <si>
    <t>T.URUGUAY SUPERMERCADOS</t>
  </si>
  <si>
    <t>Stocks Forward Units</t>
  </si>
  <si>
    <t>UAM-1</t>
  </si>
  <si>
    <t>UAM</t>
  </si>
  <si>
    <t>Var. UAM</t>
  </si>
  <si>
    <t>Aporte UAM-1</t>
  </si>
  <si>
    <t>Aporte UAM</t>
  </si>
  <si>
    <t>Oct 24 - w/e 23/10/24</t>
  </si>
  <si>
    <t>Numeric Out of Sales Dist (C)</t>
  </si>
  <si>
    <t>PESTICIDAS</t>
  </si>
  <si>
    <t>DN</t>
  </si>
  <si>
    <t>DNA</t>
  </si>
  <si>
    <t>Brand</t>
  </si>
  <si>
    <t>Channel Name</t>
  </si>
  <si>
    <t>Segment</t>
  </si>
  <si>
    <t>Category</t>
  </si>
  <si>
    <t>Sales</t>
  </si>
  <si>
    <t>Country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</si>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</sst>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_);_(* \(#,##0\);_(* &quot;-&quot;??_);_(@_)"/>
    <numFmt numFmtId="166" formatCode="#,##0;\(#,##0\)"/>
    <numFmt numFmtId="167" formatCode="\$#,##0;\$\(#,##0\)"/>
    <numFmt numFmtId="168" formatCode="#,##0.0\%;\(#,##0.0\)\%"/>
    <numFmt numFmtId="169" formatCode="\$#,##0"/>
    <numFmt numFmtId="170" formatCode="#,##0.0\%"/>
    <numFmt numFmtId="171" formatCode="_-* #,##0_-;\-* #,##0_-;_-* &quot;-&quot;??_-;_-@_-"/>
    <numFmt numFmtId="172" formatCode="#,##0.0;\(#,##0.0\)"/>
    <numFmt numFmtId="173" formatCode="#,##0.0"/>
  </numFmts>
  <fonts count="7" x14ac:knownFonts="1">
    <font>
      <sz val="11"/>
      <color theme="1"/>
      <name val="Aptos Narrow"/>
      <family val="2"/>
      <scheme val="minor"/>
    </font>
    <font>
      <b/>
      <sz val="13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17" fontId="0" fillId="0" borderId="0" xfId="0" applyNumberForma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8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169" fontId="2" fillId="3" borderId="1" xfId="0" applyNumberFormat="1" applyFont="1" applyFill="1" applyBorder="1" applyAlignment="1">
      <alignment horizontal="right" vertical="top"/>
    </xf>
    <xf numFmtId="170" fontId="2" fillId="3" borderId="1" xfId="0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171" fontId="0" fillId="0" borderId="0" xfId="1" applyNumberFormat="1" applyFont="1"/>
    <xf numFmtId="172" fontId="2" fillId="3" borderId="1" xfId="0" applyNumberFormat="1" applyFont="1" applyFill="1" applyBorder="1" applyAlignment="1">
      <alignment horizontal="right" vertical="top"/>
    </xf>
    <xf numFmtId="173" fontId="2" fillId="3" borderId="1" xfId="0" applyNumberFormat="1" applyFont="1" applyFill="1" applyBorder="1" applyAlignment="1">
      <alignment horizontal="right" vertical="top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/>
    </xf>
    <xf numFmtId="171" fontId="0" fillId="0" borderId="2" xfId="0" applyNumberForma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5" fillId="6" borderId="3" xfId="0" applyFont="1" applyFill="1" applyBorder="1"/>
    <xf numFmtId="0" fontId="5" fillId="6" borderId="4" xfId="0" applyFont="1" applyFill="1" applyBorder="1" applyAlignment="1">
      <alignment horizontal="left"/>
    </xf>
    <xf numFmtId="0" fontId="5" fillId="6" borderId="4" xfId="0" applyFont="1" applyFill="1" applyBorder="1"/>
    <xf numFmtId="17" fontId="5" fillId="6" borderId="3" xfId="0" applyNumberFormat="1" applyFont="1" applyFill="1" applyBorder="1"/>
    <xf numFmtId="9" fontId="0" fillId="0" borderId="0" xfId="2" applyFont="1"/>
    <xf numFmtId="0" fontId="4" fillId="5" borderId="0" xfId="0" applyFont="1" applyFill="1"/>
    <xf numFmtId="171" fontId="5" fillId="6" borderId="4" xfId="1" applyNumberFormat="1" applyFont="1" applyFill="1" applyBorder="1"/>
    <xf numFmtId="0" fontId="2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17" fontId="5" fillId="0" borderId="2" xfId="0" applyNumberFormat="1" applyFont="1" applyBorder="1"/>
    <xf numFmtId="0" fontId="0" fillId="0" borderId="2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">
    <dxf>
      <numFmt numFmtId="171" formatCode="_-* #,##0_-;\-* #,##0_-;_-* &quot;-&quot;??_-;_-@_-"/>
    </dxf>
    <dxf>
      <numFmt numFmtId="171" formatCode="_-* #,##0_-;\-* #,##0_-;_-* &quot;-&quot;??_-;_-@_-"/>
    </dxf>
    <dxf>
      <numFmt numFmtId="171" formatCode="_-* #,##0_-;\-* #,##0_-;_-* &quot;-&quot;??_-;_-@_-"/>
    </dxf>
    <dxf>
      <numFmt numFmtId="171" formatCode="_-* #,##0_-;\-* #,##0_-;_-* &quot;-&quot;??_-;_-@_-"/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Proporción Ventas Repelentes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'Dinamica D.'!$A$23</c:f>
              <c:strCache>
                <c:ptCount val="1"/>
                <c:pt idx="0">
                  <c:v>FUYI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'Dinamica D.'!$B$22:$AL$22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'Dinamica D.'!$B$23:$AL$23</c:f>
              <c:numCache>
                <c:formatCode>0%</c:formatCode>
                <c:ptCount val="37"/>
                <c:pt idx="0">
                  <c:v>0.18793923967443824</c:v>
                </c:pt>
                <c:pt idx="1">
                  <c:v>0.40606033736249009</c:v>
                </c:pt>
                <c:pt idx="2">
                  <c:v>0.46592854934953792</c:v>
                </c:pt>
                <c:pt idx="3">
                  <c:v>0.76597460541237017</c:v>
                </c:pt>
                <c:pt idx="4">
                  <c:v>1.1037482993889673</c:v>
                </c:pt>
                <c:pt idx="5">
                  <c:v>1.3092283808573943</c:v>
                </c:pt>
                <c:pt idx="6">
                  <c:v>0.98375382420638369</c:v>
                </c:pt>
                <c:pt idx="7">
                  <c:v>0.57510284646754373</c:v>
                </c:pt>
                <c:pt idx="8">
                  <c:v>0.49976741402479835</c:v>
                </c:pt>
                <c:pt idx="9">
                  <c:v>0.35131780536523888</c:v>
                </c:pt>
                <c:pt idx="10">
                  <c:v>0.30823130754220612</c:v>
                </c:pt>
                <c:pt idx="11">
                  <c:v>0.23669267969063706</c:v>
                </c:pt>
                <c:pt idx="12">
                  <c:v>0.23278618147741445</c:v>
                </c:pt>
                <c:pt idx="13">
                  <c:v>0.36994815944238729</c:v>
                </c:pt>
                <c:pt idx="14">
                  <c:v>0.33570000700168279</c:v>
                </c:pt>
                <c:pt idx="15">
                  <c:v>0.75334164609090026</c:v>
                </c:pt>
                <c:pt idx="16">
                  <c:v>0.90019826681371851</c:v>
                </c:pt>
                <c:pt idx="17">
                  <c:v>0.82175248104340071</c:v>
                </c:pt>
                <c:pt idx="18">
                  <c:v>1.015391999152649</c:v>
                </c:pt>
                <c:pt idx="19">
                  <c:v>0.49946182930955851</c:v>
                </c:pt>
                <c:pt idx="20">
                  <c:v>0.36822398953816066</c:v>
                </c:pt>
                <c:pt idx="21">
                  <c:v>0.28343933242834407</c:v>
                </c:pt>
                <c:pt idx="22">
                  <c:v>0.26766332192487041</c:v>
                </c:pt>
                <c:pt idx="23">
                  <c:v>0.38395987254846498</c:v>
                </c:pt>
                <c:pt idx="24">
                  <c:v>0.23544773575129344</c:v>
                </c:pt>
                <c:pt idx="25">
                  <c:v>0.31841357014010024</c:v>
                </c:pt>
                <c:pt idx="26">
                  <c:v>0.69509111119136757</c:v>
                </c:pt>
                <c:pt idx="27">
                  <c:v>1.0218149058273673</c:v>
                </c:pt>
                <c:pt idx="28">
                  <c:v>1.639238852394197</c:v>
                </c:pt>
                <c:pt idx="29">
                  <c:v>1.7661837189728748</c:v>
                </c:pt>
                <c:pt idx="30">
                  <c:v>1.6172065539187082</c:v>
                </c:pt>
                <c:pt idx="31">
                  <c:v>2.1603419610719898</c:v>
                </c:pt>
                <c:pt idx="32">
                  <c:v>1.4961000847606569</c:v>
                </c:pt>
                <c:pt idx="33">
                  <c:v>0.53113163675660369</c:v>
                </c:pt>
                <c:pt idx="34">
                  <c:v>0.33747647796079983</c:v>
                </c:pt>
                <c:pt idx="35">
                  <c:v>0.21345318104042857</c:v>
                </c:pt>
                <c:pt idx="36">
                  <c:v>0.30557426255803238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8-4FDF-B311-C39E4B781D6B}"/>
            </c:ext>
          </c:extLst>
        </c:ser>
        <c:ser>
          <c:idx val="1"/>
          <c:order val="1"/>
          <c:tx>
            <c:strRef>
              <c:f>'Dinamica D.'!$A$24</c:f>
              <c:strCache>
                <c:ptCount val="1"/>
                <c:pt idx="0">
                  <c:v>OFF!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'Dinamica D.'!$B$22:$AL$22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'Dinamica D.'!$B$24:$AL$24</c:f>
              <c:numCache>
                <c:formatCode>0%</c:formatCode>
                <c:ptCount val="37"/>
                <c:pt idx="0">
                  <c:v>0.40033694645895107</c:v>
                </c:pt>
                <c:pt idx="1">
                  <c:v>0.57479955789431447</c:v>
                </c:pt>
                <c:pt idx="2">
                  <c:v>0.70143937809466295</c:v>
                </c:pt>
                <c:pt idx="3">
                  <c:v>0.91501801907627922</c:v>
                </c:pt>
                <c:pt idx="4">
                  <c:v>1.3063271556870684</c:v>
                </c:pt>
                <c:pt idx="5">
                  <c:v>1.1584501568140904</c:v>
                </c:pt>
                <c:pt idx="6">
                  <c:v>0.99869896160196403</c:v>
                </c:pt>
                <c:pt idx="7">
                  <c:v>0.85321982371265159</c:v>
                </c:pt>
                <c:pt idx="8">
                  <c:v>0.60766108558075904</c:v>
                </c:pt>
                <c:pt idx="9">
                  <c:v>0.41019515136678325</c:v>
                </c:pt>
                <c:pt idx="10">
                  <c:v>0.34108572680307964</c:v>
                </c:pt>
                <c:pt idx="11">
                  <c:v>0.33449354131216052</c:v>
                </c:pt>
                <c:pt idx="12">
                  <c:v>0.34189056403476065</c:v>
                </c:pt>
                <c:pt idx="13">
                  <c:v>0.43168724138209918</c:v>
                </c:pt>
                <c:pt idx="14">
                  <c:v>0.59561892747735778</c:v>
                </c:pt>
                <c:pt idx="15">
                  <c:v>0.74681039421980799</c:v>
                </c:pt>
                <c:pt idx="16">
                  <c:v>0.91844639193239286</c:v>
                </c:pt>
                <c:pt idx="17">
                  <c:v>0.86105725690130508</c:v>
                </c:pt>
                <c:pt idx="18">
                  <c:v>0.95130261162301355</c:v>
                </c:pt>
                <c:pt idx="19">
                  <c:v>0.77683730773005255</c:v>
                </c:pt>
                <c:pt idx="20">
                  <c:v>0.6678957326651197</c:v>
                </c:pt>
                <c:pt idx="21">
                  <c:v>0.49407390281105196</c:v>
                </c:pt>
                <c:pt idx="22">
                  <c:v>0.42949633632375406</c:v>
                </c:pt>
                <c:pt idx="23">
                  <c:v>0.3455330992930129</c:v>
                </c:pt>
                <c:pt idx="24">
                  <c:v>0.39124487053565843</c:v>
                </c:pt>
                <c:pt idx="25">
                  <c:v>0.47507260527058476</c:v>
                </c:pt>
                <c:pt idx="26">
                  <c:v>0.6240604300108582</c:v>
                </c:pt>
                <c:pt idx="27">
                  <c:v>0.91504904510013696</c:v>
                </c:pt>
                <c:pt idx="28">
                  <c:v>1.1831119029055555</c:v>
                </c:pt>
                <c:pt idx="29">
                  <c:v>1.1927050297619639</c:v>
                </c:pt>
                <c:pt idx="30">
                  <c:v>1.5957253003424281</c:v>
                </c:pt>
                <c:pt idx="31">
                  <c:v>1.7581480544911929</c:v>
                </c:pt>
                <c:pt idx="32">
                  <c:v>1.3722741308202413</c:v>
                </c:pt>
                <c:pt idx="33">
                  <c:v>1.0860637255741126</c:v>
                </c:pt>
                <c:pt idx="34">
                  <c:v>0.82792829765529963</c:v>
                </c:pt>
                <c:pt idx="35">
                  <c:v>0.62252718144918884</c:v>
                </c:pt>
                <c:pt idx="36">
                  <c:v>0.48181180071366581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8-4FDF-B311-C39E4B78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672879"/>
        <c:axId val="1522675279"/>
      </c:lineChart>
      <c:dateAx>
        <c:axId val="15226728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22675279"/>
        <c:crosses val="autoZero"/>
        <c:auto val="1"/>
        <c:lblOffset val="100"/>
        <c:baseTimeUnit val="months"/>
      </c:dateAx>
      <c:valAx>
        <c:axId val="152267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2267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Proporción Ventas Insecticidas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'Dinamica D.'!$A$37</c:f>
              <c:strCache>
                <c:ptCount val="1"/>
                <c:pt idx="0">
                  <c:v>BAYGON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'Dinamica D.'!$B$36:$AL$36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'Dinamica D.'!$B$37:$AL$37</c:f>
              <c:numCache>
                <c:formatCode>0%</c:formatCode>
                <c:ptCount val="37"/>
                <c:pt idx="0">
                  <c:v>0.50340482320614066</c:v>
                </c:pt>
                <c:pt idx="1">
                  <c:v>0.61271120742980145</c:v>
                </c:pt>
                <c:pt idx="2">
                  <c:v>0.6385623191623705</c:v>
                </c:pt>
                <c:pt idx="3">
                  <c:v>0.90642981728048067</c:v>
                </c:pt>
                <c:pt idx="4">
                  <c:v>1.1620273949888023</c:v>
                </c:pt>
                <c:pt idx="5">
                  <c:v>1.2599867731885614</c:v>
                </c:pt>
                <c:pt idx="6">
                  <c:v>1.3147476343079034</c:v>
                </c:pt>
                <c:pt idx="7">
                  <c:v>1.1122999724113667</c:v>
                </c:pt>
                <c:pt idx="8">
                  <c:v>0.90884759346238142</c:v>
                </c:pt>
                <c:pt idx="9">
                  <c:v>0.52834809456602272</c:v>
                </c:pt>
                <c:pt idx="10">
                  <c:v>0.49925005105033138</c:v>
                </c:pt>
                <c:pt idx="11">
                  <c:v>0.57655747213863573</c:v>
                </c:pt>
                <c:pt idx="12">
                  <c:v>0.52105180296403764</c:v>
                </c:pt>
                <c:pt idx="13">
                  <c:v>0.6873254852592201</c:v>
                </c:pt>
                <c:pt idx="14">
                  <c:v>0.710785184077105</c:v>
                </c:pt>
                <c:pt idx="15">
                  <c:v>0.84314661500002486</c:v>
                </c:pt>
                <c:pt idx="16">
                  <c:v>0.93917268107210938</c:v>
                </c:pt>
                <c:pt idx="17">
                  <c:v>1.3686114416491137</c:v>
                </c:pt>
                <c:pt idx="18">
                  <c:v>1.3862628551630174</c:v>
                </c:pt>
                <c:pt idx="19">
                  <c:v>1.0657426362352107</c:v>
                </c:pt>
                <c:pt idx="20">
                  <c:v>0.93657373724827087</c:v>
                </c:pt>
                <c:pt idx="21">
                  <c:v>0.8881695132640941</c:v>
                </c:pt>
                <c:pt idx="22">
                  <c:v>0.77129385127576489</c:v>
                </c:pt>
                <c:pt idx="23">
                  <c:v>0.67421174019414065</c:v>
                </c:pt>
                <c:pt idx="24">
                  <c:v>0.63973346069857118</c:v>
                </c:pt>
                <c:pt idx="25">
                  <c:v>0.71751326924160241</c:v>
                </c:pt>
                <c:pt idx="26">
                  <c:v>0.62714377776302765</c:v>
                </c:pt>
                <c:pt idx="27">
                  <c:v>0.86239751534968445</c:v>
                </c:pt>
                <c:pt idx="28">
                  <c:v>0.8881490288650048</c:v>
                </c:pt>
                <c:pt idx="29">
                  <c:v>0.98415559176126843</c:v>
                </c:pt>
                <c:pt idx="30">
                  <c:v>1.2498706759008336</c:v>
                </c:pt>
                <c:pt idx="31">
                  <c:v>1.3050739101770865</c:v>
                </c:pt>
                <c:pt idx="32">
                  <c:v>1.2722829770594786</c:v>
                </c:pt>
                <c:pt idx="33">
                  <c:v>1.0013360586157676</c:v>
                </c:pt>
                <c:pt idx="34">
                  <c:v>0.73485133611305586</c:v>
                </c:pt>
                <c:pt idx="35">
                  <c:v>0.52228491765301022</c:v>
                </c:pt>
                <c:pt idx="36">
                  <c:v>0.42900401805731503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2-4CA3-A3AE-5F0913A69E53}"/>
            </c:ext>
          </c:extLst>
        </c:ser>
        <c:ser>
          <c:idx val="1"/>
          <c:order val="1"/>
          <c:tx>
            <c:strRef>
              <c:f>'Dinamica D.'!$A$38</c:f>
              <c:strCache>
                <c:ptCount val="1"/>
                <c:pt idx="0">
                  <c:v>FUYI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'Dinamica D.'!$B$36:$AL$36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'Dinamica D.'!$B$38:$AL$38</c:f>
              <c:numCache>
                <c:formatCode>0%</c:formatCode>
                <c:ptCount val="37"/>
                <c:pt idx="0">
                  <c:v>0.54495611944715472</c:v>
                </c:pt>
                <c:pt idx="1">
                  <c:v>0.73418984084184502</c:v>
                </c:pt>
                <c:pt idx="2">
                  <c:v>0.8075211207645937</c:v>
                </c:pt>
                <c:pt idx="3">
                  <c:v>0.76240303297887169</c:v>
                </c:pt>
                <c:pt idx="4">
                  <c:v>1.0265087609606371</c:v>
                </c:pt>
                <c:pt idx="5">
                  <c:v>1.303355863267025</c:v>
                </c:pt>
                <c:pt idx="6">
                  <c:v>1.3409247086526943</c:v>
                </c:pt>
                <c:pt idx="7">
                  <c:v>1.3463543189456559</c:v>
                </c:pt>
                <c:pt idx="8">
                  <c:v>1.0532350120904339</c:v>
                </c:pt>
                <c:pt idx="9">
                  <c:v>0.6550106011867729</c:v>
                </c:pt>
                <c:pt idx="10">
                  <c:v>0.5914868602182487</c:v>
                </c:pt>
                <c:pt idx="11">
                  <c:v>0.53137864856541306</c:v>
                </c:pt>
                <c:pt idx="12">
                  <c:v>0.61234247288779919</c:v>
                </c:pt>
                <c:pt idx="13">
                  <c:v>0.68062827966977568</c:v>
                </c:pt>
                <c:pt idx="14">
                  <c:v>0.68900586942456032</c:v>
                </c:pt>
                <c:pt idx="15">
                  <c:v>0.82428915377433554</c:v>
                </c:pt>
                <c:pt idx="16">
                  <c:v>0.95563047143463686</c:v>
                </c:pt>
                <c:pt idx="17">
                  <c:v>1.0097808509688089</c:v>
                </c:pt>
                <c:pt idx="18">
                  <c:v>1.0630758031828378</c:v>
                </c:pt>
                <c:pt idx="19">
                  <c:v>0.94768828856314213</c:v>
                </c:pt>
                <c:pt idx="20">
                  <c:v>0.94874614278386415</c:v>
                </c:pt>
                <c:pt idx="21">
                  <c:v>0.69962977932798076</c:v>
                </c:pt>
                <c:pt idx="22">
                  <c:v>0.53095630697802454</c:v>
                </c:pt>
                <c:pt idx="23">
                  <c:v>0.48762766869148605</c:v>
                </c:pt>
                <c:pt idx="24">
                  <c:v>0.6067959733097934</c:v>
                </c:pt>
                <c:pt idx="25">
                  <c:v>0.66074123452331979</c:v>
                </c:pt>
                <c:pt idx="26">
                  <c:v>0.70819077158876631</c:v>
                </c:pt>
                <c:pt idx="27">
                  <c:v>1.0139211918728077</c:v>
                </c:pt>
                <c:pt idx="28">
                  <c:v>1.116670274195851</c:v>
                </c:pt>
                <c:pt idx="29">
                  <c:v>1.1595219343011267</c:v>
                </c:pt>
                <c:pt idx="30">
                  <c:v>1.303686851148923</c:v>
                </c:pt>
                <c:pt idx="31">
                  <c:v>1.4882064300083642</c:v>
                </c:pt>
                <c:pt idx="32">
                  <c:v>1.2491274077974837</c:v>
                </c:pt>
                <c:pt idx="33">
                  <c:v>1.1115629311784889</c:v>
                </c:pt>
                <c:pt idx="34">
                  <c:v>0.75503313887608947</c:v>
                </c:pt>
                <c:pt idx="35">
                  <c:v>0.54383982474451376</c:v>
                </c:pt>
                <c:pt idx="36">
                  <c:v>0.30066708949447613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2-4CA3-A3AE-5F0913A69E53}"/>
            </c:ext>
          </c:extLst>
        </c:ser>
        <c:ser>
          <c:idx val="2"/>
          <c:order val="2"/>
          <c:tx>
            <c:strRef>
              <c:f>'Dinamica D.'!$A$39</c:f>
              <c:strCache>
                <c:ptCount val="1"/>
                <c:pt idx="0">
                  <c:v>RAID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'Dinamica D.'!$B$36:$AL$36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'Dinamica D.'!$B$39:$AL$39</c:f>
              <c:numCache>
                <c:formatCode>0%</c:formatCode>
                <c:ptCount val="37"/>
                <c:pt idx="0">
                  <c:v>0.56098833176452878</c:v>
                </c:pt>
                <c:pt idx="1">
                  <c:v>0.68531561351761605</c:v>
                </c:pt>
                <c:pt idx="2">
                  <c:v>0.77808790897592439</c:v>
                </c:pt>
                <c:pt idx="3">
                  <c:v>0.89245969745342513</c:v>
                </c:pt>
                <c:pt idx="4">
                  <c:v>1.1562594470588523</c:v>
                </c:pt>
                <c:pt idx="5">
                  <c:v>1.2076278979997828</c:v>
                </c:pt>
                <c:pt idx="6">
                  <c:v>1.0879546842255707</c:v>
                </c:pt>
                <c:pt idx="7">
                  <c:v>0.99943801569565238</c:v>
                </c:pt>
                <c:pt idx="8">
                  <c:v>0.7687673626713073</c:v>
                </c:pt>
                <c:pt idx="9">
                  <c:v>0.5673395710648107</c:v>
                </c:pt>
                <c:pt idx="10">
                  <c:v>0.48283500080841651</c:v>
                </c:pt>
                <c:pt idx="11">
                  <c:v>0.44118055312579274</c:v>
                </c:pt>
                <c:pt idx="12">
                  <c:v>0.41325404102518243</c:v>
                </c:pt>
                <c:pt idx="13">
                  <c:v>0.49163714300561695</c:v>
                </c:pt>
                <c:pt idx="14">
                  <c:v>0.64991537196531246</c:v>
                </c:pt>
                <c:pt idx="15">
                  <c:v>0.83510134960558746</c:v>
                </c:pt>
                <c:pt idx="16">
                  <c:v>1.1669658755521828</c:v>
                </c:pt>
                <c:pt idx="17">
                  <c:v>1.133468373630468</c:v>
                </c:pt>
                <c:pt idx="18">
                  <c:v>1.2834880492801768</c:v>
                </c:pt>
                <c:pt idx="19">
                  <c:v>1.1391487445673512</c:v>
                </c:pt>
                <c:pt idx="20">
                  <c:v>1.0523240686709021</c:v>
                </c:pt>
                <c:pt idx="21">
                  <c:v>0.82055244672279049</c:v>
                </c:pt>
                <c:pt idx="22">
                  <c:v>0.65604948867362156</c:v>
                </c:pt>
                <c:pt idx="23">
                  <c:v>0.58299850202152825</c:v>
                </c:pt>
                <c:pt idx="24">
                  <c:v>0.56053687569885313</c:v>
                </c:pt>
                <c:pt idx="25">
                  <c:v>0.53897182804510047</c:v>
                </c:pt>
                <c:pt idx="26">
                  <c:v>0.53588145057337533</c:v>
                </c:pt>
                <c:pt idx="27">
                  <c:v>0.89478272588881691</c:v>
                </c:pt>
                <c:pt idx="28">
                  <c:v>1.0094271892747908</c:v>
                </c:pt>
                <c:pt idx="29">
                  <c:v>1.1843767780900725</c:v>
                </c:pt>
                <c:pt idx="30">
                  <c:v>1.4189587364810665</c:v>
                </c:pt>
                <c:pt idx="31">
                  <c:v>1.5076908051879181</c:v>
                </c:pt>
                <c:pt idx="32">
                  <c:v>1.2016343566808616</c:v>
                </c:pt>
                <c:pt idx="33">
                  <c:v>0.88250104015246655</c:v>
                </c:pt>
                <c:pt idx="34">
                  <c:v>0.7167551828948675</c:v>
                </c:pt>
                <c:pt idx="35">
                  <c:v>0.40240557031234903</c:v>
                </c:pt>
                <c:pt idx="36">
                  <c:v>0.33630886294226153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2-4CA3-A3AE-5F0913A69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447632"/>
        <c:axId val="590429872"/>
      </c:lineChart>
      <c:dateAx>
        <c:axId val="590447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0429872"/>
        <c:crosses val="autoZero"/>
        <c:auto val="1"/>
        <c:lblOffset val="100"/>
        <c:baseTimeUnit val="months"/>
      </c:dateAx>
      <c:valAx>
        <c:axId val="59042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044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Proporción Ventas Pesticidas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'Dinamica D.'!$A$52</c:f>
              <c:strCache>
                <c:ptCount val="1"/>
                <c:pt idx="0">
                  <c:v>BAYGON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'Dinamica D.'!$B$51:$AL$51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'Dinamica D.'!$B$52:$AL$52</c:f>
              <c:numCache>
                <c:formatCode>0%</c:formatCode>
                <c:ptCount val="37"/>
                <c:pt idx="0">
                  <c:v>0.43990082585203133</c:v>
                </c:pt>
                <c:pt idx="1">
                  <c:v>0.64797943355491172</c:v>
                </c:pt>
                <c:pt idx="2">
                  <c:v>0.6104673474965866</c:v>
                </c:pt>
                <c:pt idx="3">
                  <c:v>0.74197655835617193</c:v>
                </c:pt>
                <c:pt idx="4">
                  <c:v>1.0335936875329892</c:v>
                </c:pt>
                <c:pt idx="5">
                  <c:v>1.0333608054229388</c:v>
                </c:pt>
                <c:pt idx="6">
                  <c:v>0.99790599852403927</c:v>
                </c:pt>
                <c:pt idx="7">
                  <c:v>0.8464133350862264</c:v>
                </c:pt>
                <c:pt idx="8">
                  <c:v>0.47775717478866386</c:v>
                </c:pt>
                <c:pt idx="9">
                  <c:v>0.38780822812079752</c:v>
                </c:pt>
                <c:pt idx="10">
                  <c:v>0.43846293090999322</c:v>
                </c:pt>
                <c:pt idx="11">
                  <c:v>0.3685049668769495</c:v>
                </c:pt>
                <c:pt idx="12">
                  <c:v>0.418394574006551</c:v>
                </c:pt>
                <c:pt idx="13">
                  <c:v>0.39555925511758916</c:v>
                </c:pt>
                <c:pt idx="14">
                  <c:v>0.71197160621032241</c:v>
                </c:pt>
                <c:pt idx="15">
                  <c:v>0.95017643498374549</c:v>
                </c:pt>
                <c:pt idx="16">
                  <c:v>0.8512526774364445</c:v>
                </c:pt>
                <c:pt idx="17">
                  <c:v>0.79333443483939337</c:v>
                </c:pt>
                <c:pt idx="18">
                  <c:v>0.81219635994489159</c:v>
                </c:pt>
                <c:pt idx="19">
                  <c:v>0.52231555744467684</c:v>
                </c:pt>
                <c:pt idx="20">
                  <c:v>0.53209136785875</c:v>
                </c:pt>
                <c:pt idx="21">
                  <c:v>0.36651921694190359</c:v>
                </c:pt>
                <c:pt idx="22">
                  <c:v>0.39068754854432186</c:v>
                </c:pt>
                <c:pt idx="23">
                  <c:v>0.51390052415603837</c:v>
                </c:pt>
                <c:pt idx="24">
                  <c:v>0.36040260597657831</c:v>
                </c:pt>
                <c:pt idx="25">
                  <c:v>0.46064900779068052</c:v>
                </c:pt>
                <c:pt idx="26">
                  <c:v>0.50915753934568986</c:v>
                </c:pt>
                <c:pt idx="27">
                  <c:v>0.94195517948205176</c:v>
                </c:pt>
                <c:pt idx="28">
                  <c:v>1.1776637511726242</c:v>
                </c:pt>
                <c:pt idx="29">
                  <c:v>1.1301983673894815</c:v>
                </c:pt>
                <c:pt idx="30">
                  <c:v>1.3929850334642095</c:v>
                </c:pt>
                <c:pt idx="31">
                  <c:v>1.428611556380192</c:v>
                </c:pt>
                <c:pt idx="32">
                  <c:v>1.1146393370763517</c:v>
                </c:pt>
                <c:pt idx="33">
                  <c:v>0.70803356151623276</c:v>
                </c:pt>
                <c:pt idx="34">
                  <c:v>0.76880407891525326</c:v>
                </c:pt>
                <c:pt idx="35">
                  <c:v>0.49288129901289468</c:v>
                </c:pt>
                <c:pt idx="36">
                  <c:v>0.4805221354751773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4-4257-8BD1-A0240022B129}"/>
            </c:ext>
          </c:extLst>
        </c:ser>
        <c:ser>
          <c:idx val="1"/>
          <c:order val="1"/>
          <c:tx>
            <c:strRef>
              <c:f>'Dinamica D.'!$A$53</c:f>
              <c:strCache>
                <c:ptCount val="1"/>
                <c:pt idx="0">
                  <c:v>FUYI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'Dinamica D.'!$B$51:$AL$51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'Dinamica D.'!$B$53:$AL$53</c:f>
              <c:numCache>
                <c:formatCode>0%</c:formatCode>
                <c:ptCount val="37"/>
                <c:pt idx="0">
                  <c:v>0.24578543679422429</c:v>
                </c:pt>
                <c:pt idx="1">
                  <c:v>0.47827672414162947</c:v>
                </c:pt>
                <c:pt idx="2">
                  <c:v>0.5555995532792164</c:v>
                </c:pt>
                <c:pt idx="3">
                  <c:v>0.98892516018579801</c:v>
                </c:pt>
                <c:pt idx="4">
                  <c:v>1.1852015690113511</c:v>
                </c:pt>
                <c:pt idx="5">
                  <c:v>1.2165544458364006</c:v>
                </c:pt>
                <c:pt idx="6">
                  <c:v>1.0580453382732296</c:v>
                </c:pt>
                <c:pt idx="7">
                  <c:v>0.97443386334021775</c:v>
                </c:pt>
                <c:pt idx="8">
                  <c:v>0.69321528793701293</c:v>
                </c:pt>
                <c:pt idx="9">
                  <c:v>0.43508589004029113</c:v>
                </c:pt>
                <c:pt idx="10">
                  <c:v>0.35161554315733273</c:v>
                </c:pt>
                <c:pt idx="11">
                  <c:v>0.30080965862244979</c:v>
                </c:pt>
                <c:pt idx="12">
                  <c:v>0.32133518924168514</c:v>
                </c:pt>
                <c:pt idx="13">
                  <c:v>0.38318225197555295</c:v>
                </c:pt>
                <c:pt idx="14">
                  <c:v>0.48895630921977756</c:v>
                </c:pt>
                <c:pt idx="15">
                  <c:v>0.81456239587423473</c:v>
                </c:pt>
                <c:pt idx="16">
                  <c:v>0.88599956502895372</c:v>
                </c:pt>
                <c:pt idx="17">
                  <c:v>1.1765658080202619</c:v>
                </c:pt>
                <c:pt idx="18">
                  <c:v>1.1600077267687348</c:v>
                </c:pt>
                <c:pt idx="19">
                  <c:v>0.86752084692082354</c:v>
                </c:pt>
                <c:pt idx="20">
                  <c:v>0.72705145090204404</c:v>
                </c:pt>
                <c:pt idx="21">
                  <c:v>0.51976128337751104</c:v>
                </c:pt>
                <c:pt idx="22">
                  <c:v>0.37110428840121895</c:v>
                </c:pt>
                <c:pt idx="23">
                  <c:v>0.33317493065937692</c:v>
                </c:pt>
                <c:pt idx="24">
                  <c:v>0.30541290201827681</c:v>
                </c:pt>
                <c:pt idx="25">
                  <c:v>0.4199479805522926</c:v>
                </c:pt>
                <c:pt idx="26">
                  <c:v>0.6331798296548844</c:v>
                </c:pt>
                <c:pt idx="27">
                  <c:v>0.92403390471410163</c:v>
                </c:pt>
                <c:pt idx="28">
                  <c:v>1.0971821362881446</c:v>
                </c:pt>
                <c:pt idx="29">
                  <c:v>1.0706324943531458</c:v>
                </c:pt>
                <c:pt idx="30">
                  <c:v>1.467688954476952</c:v>
                </c:pt>
                <c:pt idx="31">
                  <c:v>1.659782605325415</c:v>
                </c:pt>
                <c:pt idx="32">
                  <c:v>1.1471233757435095</c:v>
                </c:pt>
                <c:pt idx="33">
                  <c:v>1.0034306660714041</c:v>
                </c:pt>
                <c:pt idx="34">
                  <c:v>0.74285981605836537</c:v>
                </c:pt>
                <c:pt idx="35">
                  <c:v>0.40442247170271117</c:v>
                </c:pt>
                <c:pt idx="36">
                  <c:v>0.278122700695278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4-4257-8BD1-A0240022B129}"/>
            </c:ext>
          </c:extLst>
        </c:ser>
        <c:ser>
          <c:idx val="2"/>
          <c:order val="2"/>
          <c:tx>
            <c:strRef>
              <c:f>'Dinamica D.'!$A$54</c:f>
              <c:strCache>
                <c:ptCount val="1"/>
                <c:pt idx="0">
                  <c:v>RAID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'Dinamica D.'!$B$51:$AL$51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'Dinamica D.'!$B$54:$AL$54</c:f>
              <c:numCache>
                <c:formatCode>0%</c:formatCode>
                <c:ptCount val="37"/>
                <c:pt idx="0">
                  <c:v>0.3467980105049821</c:v>
                </c:pt>
                <c:pt idx="1">
                  <c:v>0.49113453910482074</c:v>
                </c:pt>
                <c:pt idx="2">
                  <c:v>0.63071683371419118</c:v>
                </c:pt>
                <c:pt idx="3">
                  <c:v>0.79260409344649385</c:v>
                </c:pt>
                <c:pt idx="4">
                  <c:v>1.1419197086999253</c:v>
                </c:pt>
                <c:pt idx="5">
                  <c:v>1.0804268361087279</c:v>
                </c:pt>
                <c:pt idx="6">
                  <c:v>0.8923512556972153</c:v>
                </c:pt>
                <c:pt idx="7">
                  <c:v>0.77070520567858791</c:v>
                </c:pt>
                <c:pt idx="8">
                  <c:v>0.58421987054452851</c:v>
                </c:pt>
                <c:pt idx="9">
                  <c:v>0.384453255437613</c:v>
                </c:pt>
                <c:pt idx="10">
                  <c:v>0.33930048237064542</c:v>
                </c:pt>
                <c:pt idx="11">
                  <c:v>0.34497375910917794</c:v>
                </c:pt>
                <c:pt idx="12">
                  <c:v>0.33492001340481947</c:v>
                </c:pt>
                <c:pt idx="13">
                  <c:v>0.41697507862506261</c:v>
                </c:pt>
                <c:pt idx="14">
                  <c:v>0.55480103846980733</c:v>
                </c:pt>
                <c:pt idx="15">
                  <c:v>0.76572149130160927</c:v>
                </c:pt>
                <c:pt idx="16">
                  <c:v>0.88332626179171103</c:v>
                </c:pt>
                <c:pt idx="17">
                  <c:v>0.91501403294005956</c:v>
                </c:pt>
                <c:pt idx="18">
                  <c:v>0.94695035152330187</c:v>
                </c:pt>
                <c:pt idx="19">
                  <c:v>0.77677237903588714</c:v>
                </c:pt>
                <c:pt idx="20">
                  <c:v>0.62816436185978408</c:v>
                </c:pt>
                <c:pt idx="21">
                  <c:v>0.4643558266927626</c:v>
                </c:pt>
                <c:pt idx="22">
                  <c:v>0.40131712509853779</c:v>
                </c:pt>
                <c:pt idx="23">
                  <c:v>0.32169294895679912</c:v>
                </c:pt>
                <c:pt idx="24">
                  <c:v>0.34853756158296589</c:v>
                </c:pt>
                <c:pt idx="25">
                  <c:v>0.42422297739334708</c:v>
                </c:pt>
                <c:pt idx="26">
                  <c:v>0.53443043303429949</c:v>
                </c:pt>
                <c:pt idx="27">
                  <c:v>0.85590918502409874</c:v>
                </c:pt>
                <c:pt idx="28">
                  <c:v>1.0731024412846315</c:v>
                </c:pt>
                <c:pt idx="29">
                  <c:v>1.0857557171374996</c:v>
                </c:pt>
                <c:pt idx="30">
                  <c:v>1.3050473927884481</c:v>
                </c:pt>
                <c:pt idx="31">
                  <c:v>1.3011915260796132</c:v>
                </c:pt>
                <c:pt idx="32">
                  <c:v>0.98231205948742528</c:v>
                </c:pt>
                <c:pt idx="33">
                  <c:v>0.71087045235581048</c:v>
                </c:pt>
                <c:pt idx="34">
                  <c:v>0.54540848670387609</c:v>
                </c:pt>
                <c:pt idx="35">
                  <c:v>0.39362750856926426</c:v>
                </c:pt>
                <c:pt idx="36">
                  <c:v>0.3112280072245765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4-4257-8BD1-A0240022B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658991"/>
        <c:axId val="1821660431"/>
      </c:lineChart>
      <c:dateAx>
        <c:axId val="18216589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1660431"/>
        <c:crosses val="autoZero"/>
        <c:auto val="1"/>
        <c:lblOffset val="100"/>
        <c:baseTimeUnit val="months"/>
      </c:dateAx>
      <c:valAx>
        <c:axId val="182166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165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Inventario Repelentes Tradicional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D.Inventario!$A$16</c:f>
              <c:strCache>
                <c:ptCount val="1"/>
                <c:pt idx="0">
                  <c:v>FUYI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D.Inventario!$B$15:$AL$15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D.Inventario!$B$16:$AL$16</c:f>
              <c:numCache>
                <c:formatCode>_-* #,##0_-;\-* #,##0_-;_-* "-"??_-;_-@_-</c:formatCode>
                <c:ptCount val="37"/>
                <c:pt idx="0">
                  <c:v>3189.3180000000002</c:v>
                </c:pt>
                <c:pt idx="1">
                  <c:v>3180.3180000000002</c:v>
                </c:pt>
                <c:pt idx="2">
                  <c:v>3548.9390000000003</c:v>
                </c:pt>
                <c:pt idx="3">
                  <c:v>3495.5480000000002</c:v>
                </c:pt>
                <c:pt idx="4">
                  <c:v>3536.9640000000004</c:v>
                </c:pt>
                <c:pt idx="5">
                  <c:v>3120.2440000000001</c:v>
                </c:pt>
                <c:pt idx="6">
                  <c:v>3516.0890000000004</c:v>
                </c:pt>
                <c:pt idx="7">
                  <c:v>3520.5390000000007</c:v>
                </c:pt>
                <c:pt idx="8">
                  <c:v>2940.8479999999995</c:v>
                </c:pt>
                <c:pt idx="9">
                  <c:v>2561.2280000000001</c:v>
                </c:pt>
                <c:pt idx="10">
                  <c:v>2793.4929999999999</c:v>
                </c:pt>
                <c:pt idx="11">
                  <c:v>2863.95</c:v>
                </c:pt>
                <c:pt idx="12">
                  <c:v>2776.6210000000001</c:v>
                </c:pt>
                <c:pt idx="13">
                  <c:v>2295.5</c:v>
                </c:pt>
                <c:pt idx="14">
                  <c:v>3813.3689999999997</c:v>
                </c:pt>
                <c:pt idx="15">
                  <c:v>3153.3860000000004</c:v>
                </c:pt>
                <c:pt idx="16">
                  <c:v>3003.0239999999999</c:v>
                </c:pt>
                <c:pt idx="17">
                  <c:v>3144.9470000000001</c:v>
                </c:pt>
                <c:pt idx="18">
                  <c:v>3021.1800000000003</c:v>
                </c:pt>
                <c:pt idx="19">
                  <c:v>3398.55</c:v>
                </c:pt>
                <c:pt idx="20">
                  <c:v>3285.0820000000003</c:v>
                </c:pt>
                <c:pt idx="21">
                  <c:v>3144.0520000000001</c:v>
                </c:pt>
                <c:pt idx="22">
                  <c:v>3127.7950000000001</c:v>
                </c:pt>
                <c:pt idx="23">
                  <c:v>2598.3209999999999</c:v>
                </c:pt>
                <c:pt idx="24">
                  <c:v>2742.4770000000003</c:v>
                </c:pt>
                <c:pt idx="25">
                  <c:v>2689.788</c:v>
                </c:pt>
                <c:pt idx="26">
                  <c:v>2492.0100000000002</c:v>
                </c:pt>
                <c:pt idx="27">
                  <c:v>3154.6320000000001</c:v>
                </c:pt>
                <c:pt idx="28">
                  <c:v>3222.0820000000003</c:v>
                </c:pt>
                <c:pt idx="29">
                  <c:v>3386.15</c:v>
                </c:pt>
                <c:pt idx="30">
                  <c:v>4846.4440000000004</c:v>
                </c:pt>
                <c:pt idx="31">
                  <c:v>4569.4090000000006</c:v>
                </c:pt>
                <c:pt idx="32">
                  <c:v>4108.0380000000005</c:v>
                </c:pt>
                <c:pt idx="33">
                  <c:v>4515.7599999999993</c:v>
                </c:pt>
                <c:pt idx="34">
                  <c:v>3694.9390000000003</c:v>
                </c:pt>
                <c:pt idx="35">
                  <c:v>3708.8179999999998</c:v>
                </c:pt>
                <c:pt idx="36">
                  <c:v>3352.8739999999998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2-4683-A9A1-7228A865DD20}"/>
            </c:ext>
          </c:extLst>
        </c:ser>
        <c:ser>
          <c:idx val="1"/>
          <c:order val="1"/>
          <c:tx>
            <c:strRef>
              <c:f>D.Inventario!$A$17</c:f>
              <c:strCache>
                <c:ptCount val="1"/>
                <c:pt idx="0">
                  <c:v>OFF!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D.Inventario!$B$15:$AL$15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D.Inventario!$B$17:$AL$17</c:f>
              <c:numCache>
                <c:formatCode>_-* #,##0_-;\-* #,##0_-;_-* "-"??_-;_-@_-</c:formatCode>
                <c:ptCount val="37"/>
                <c:pt idx="0">
                  <c:v>54159.94</c:v>
                </c:pt>
                <c:pt idx="1">
                  <c:v>50235.95199999999</c:v>
                </c:pt>
                <c:pt idx="2">
                  <c:v>57446.684999999998</c:v>
                </c:pt>
                <c:pt idx="3">
                  <c:v>60221.178</c:v>
                </c:pt>
                <c:pt idx="4">
                  <c:v>58752.150000000009</c:v>
                </c:pt>
                <c:pt idx="5">
                  <c:v>60772.600000000013</c:v>
                </c:pt>
                <c:pt idx="6">
                  <c:v>58207.351999999999</c:v>
                </c:pt>
                <c:pt idx="7">
                  <c:v>54266.061000000002</c:v>
                </c:pt>
                <c:pt idx="8">
                  <c:v>54007.828999999998</c:v>
                </c:pt>
                <c:pt idx="9">
                  <c:v>54222.166999999994</c:v>
                </c:pt>
                <c:pt idx="10">
                  <c:v>54580.175999999992</c:v>
                </c:pt>
                <c:pt idx="11">
                  <c:v>57713.502999999997</c:v>
                </c:pt>
                <c:pt idx="12">
                  <c:v>57039.675999999999</c:v>
                </c:pt>
                <c:pt idx="13">
                  <c:v>58114.21</c:v>
                </c:pt>
                <c:pt idx="14">
                  <c:v>68511.168999999994</c:v>
                </c:pt>
                <c:pt idx="15">
                  <c:v>73901.766000000003</c:v>
                </c:pt>
                <c:pt idx="16">
                  <c:v>70352.852999999988</c:v>
                </c:pt>
                <c:pt idx="17">
                  <c:v>71841.592999999993</c:v>
                </c:pt>
                <c:pt idx="18">
                  <c:v>68158.726999999999</c:v>
                </c:pt>
                <c:pt idx="19">
                  <c:v>63167.112999999998</c:v>
                </c:pt>
                <c:pt idx="20">
                  <c:v>60074.615000000013</c:v>
                </c:pt>
                <c:pt idx="21">
                  <c:v>57429.533999999992</c:v>
                </c:pt>
                <c:pt idx="22">
                  <c:v>58015.360999999997</c:v>
                </c:pt>
                <c:pt idx="23">
                  <c:v>57028.635000000009</c:v>
                </c:pt>
                <c:pt idx="24">
                  <c:v>58080.626000000004</c:v>
                </c:pt>
                <c:pt idx="25">
                  <c:v>62875.945</c:v>
                </c:pt>
                <c:pt idx="26">
                  <c:v>65068.728999999999</c:v>
                </c:pt>
                <c:pt idx="27">
                  <c:v>66719.509000000005</c:v>
                </c:pt>
                <c:pt idx="28">
                  <c:v>67577.583999999988</c:v>
                </c:pt>
                <c:pt idx="29">
                  <c:v>66310.812000000005</c:v>
                </c:pt>
                <c:pt idx="30">
                  <c:v>61722.464999999997</c:v>
                </c:pt>
                <c:pt idx="31">
                  <c:v>53263.726999999992</c:v>
                </c:pt>
                <c:pt idx="32">
                  <c:v>48418.867999999995</c:v>
                </c:pt>
                <c:pt idx="33">
                  <c:v>45505.152999999998</c:v>
                </c:pt>
                <c:pt idx="34">
                  <c:v>43533.416000000012</c:v>
                </c:pt>
                <c:pt idx="35">
                  <c:v>41690.382000000005</c:v>
                </c:pt>
                <c:pt idx="36">
                  <c:v>43118.781999999999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2-4683-A9A1-7228A865D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723792"/>
        <c:axId val="1330724272"/>
      </c:lineChart>
      <c:dateAx>
        <c:axId val="1330723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0724272"/>
        <c:crosses val="autoZero"/>
        <c:auto val="1"/>
        <c:lblOffset val="100"/>
        <c:baseTimeUnit val="months"/>
      </c:dateAx>
      <c:valAx>
        <c:axId val="133072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072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Inventario Insecticida Tradicional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D.Inventario!$A$37</c:f>
              <c:strCache>
                <c:ptCount val="1"/>
                <c:pt idx="0">
                  <c:v>BAYGON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D.Inventario!$B$36:$AL$36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D.Inventario!$B$37:$AL$37</c:f>
              <c:numCache>
                <c:formatCode>General</c:formatCode>
                <c:ptCount val="37"/>
                <c:pt idx="0">
                  <c:v>16587.057999999997</c:v>
                </c:pt>
                <c:pt idx="1">
                  <c:v>17694.039000000004</c:v>
                </c:pt>
                <c:pt idx="2">
                  <c:v>25221.174999999999</c:v>
                </c:pt>
                <c:pt idx="3">
                  <c:v>27988.307000000001</c:v>
                </c:pt>
                <c:pt idx="4">
                  <c:v>23182.123</c:v>
                </c:pt>
                <c:pt idx="5">
                  <c:v>24597.008999999998</c:v>
                </c:pt>
                <c:pt idx="6">
                  <c:v>19839.86</c:v>
                </c:pt>
                <c:pt idx="7">
                  <c:v>18757.724999999999</c:v>
                </c:pt>
                <c:pt idx="8">
                  <c:v>17839.155999999999</c:v>
                </c:pt>
                <c:pt idx="9">
                  <c:v>18413.548000000003</c:v>
                </c:pt>
                <c:pt idx="10">
                  <c:v>17619.866000000002</c:v>
                </c:pt>
                <c:pt idx="11">
                  <c:v>16769.368999999999</c:v>
                </c:pt>
                <c:pt idx="12">
                  <c:v>16330.359</c:v>
                </c:pt>
                <c:pt idx="13">
                  <c:v>16779.742999999999</c:v>
                </c:pt>
                <c:pt idx="14">
                  <c:v>22889.103999999999</c:v>
                </c:pt>
                <c:pt idx="15">
                  <c:v>25678.464</c:v>
                </c:pt>
                <c:pt idx="16">
                  <c:v>26959.300999999999</c:v>
                </c:pt>
                <c:pt idx="17">
                  <c:v>19314.471000000001</c:v>
                </c:pt>
                <c:pt idx="18">
                  <c:v>17086.52</c:v>
                </c:pt>
                <c:pt idx="19">
                  <c:v>16518.215</c:v>
                </c:pt>
                <c:pt idx="20">
                  <c:v>16359.154</c:v>
                </c:pt>
                <c:pt idx="21">
                  <c:v>15811.86</c:v>
                </c:pt>
                <c:pt idx="22">
                  <c:v>14928.3</c:v>
                </c:pt>
                <c:pt idx="23">
                  <c:v>14241.433999999999</c:v>
                </c:pt>
                <c:pt idx="24">
                  <c:v>13797.59</c:v>
                </c:pt>
                <c:pt idx="25">
                  <c:v>14556.220000000001</c:v>
                </c:pt>
                <c:pt idx="26">
                  <c:v>18998.063000000002</c:v>
                </c:pt>
                <c:pt idx="27">
                  <c:v>19581.347000000002</c:v>
                </c:pt>
                <c:pt idx="28">
                  <c:v>20738.156999999999</c:v>
                </c:pt>
                <c:pt idx="29">
                  <c:v>21182.046999999999</c:v>
                </c:pt>
                <c:pt idx="30">
                  <c:v>21736.088</c:v>
                </c:pt>
                <c:pt idx="31">
                  <c:v>20730.500999999997</c:v>
                </c:pt>
                <c:pt idx="32">
                  <c:v>15596.289000000001</c:v>
                </c:pt>
                <c:pt idx="33">
                  <c:v>16790.431</c:v>
                </c:pt>
                <c:pt idx="34">
                  <c:v>19087.756000000001</c:v>
                </c:pt>
                <c:pt idx="35">
                  <c:v>17261.226000000002</c:v>
                </c:pt>
                <c:pt idx="36">
                  <c:v>16079.91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3-4F67-85FB-1BC5EE21B153}"/>
            </c:ext>
          </c:extLst>
        </c:ser>
        <c:ser>
          <c:idx val="1"/>
          <c:order val="1"/>
          <c:tx>
            <c:strRef>
              <c:f>D.Inventario!$A$38</c:f>
              <c:strCache>
                <c:ptCount val="1"/>
                <c:pt idx="0">
                  <c:v>FUYI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D.Inventario!$B$36:$AL$36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D.Inventario!$B$38:$AL$38</c:f>
              <c:numCache>
                <c:formatCode>General</c:formatCode>
                <c:ptCount val="37"/>
                <c:pt idx="0">
                  <c:v>14739.672999999999</c:v>
                </c:pt>
                <c:pt idx="1">
                  <c:v>18228.912</c:v>
                </c:pt>
                <c:pt idx="2">
                  <c:v>21949.016000000003</c:v>
                </c:pt>
                <c:pt idx="3">
                  <c:v>28385.294999999998</c:v>
                </c:pt>
                <c:pt idx="4">
                  <c:v>24440.071</c:v>
                </c:pt>
                <c:pt idx="5">
                  <c:v>22686.114999999998</c:v>
                </c:pt>
                <c:pt idx="6">
                  <c:v>20440.038</c:v>
                </c:pt>
                <c:pt idx="7">
                  <c:v>18486.491000000002</c:v>
                </c:pt>
                <c:pt idx="8">
                  <c:v>17357.524000000001</c:v>
                </c:pt>
                <c:pt idx="9">
                  <c:v>17430.124000000003</c:v>
                </c:pt>
                <c:pt idx="10">
                  <c:v>16397.076000000001</c:v>
                </c:pt>
                <c:pt idx="11">
                  <c:v>17875.004999999997</c:v>
                </c:pt>
                <c:pt idx="12">
                  <c:v>17499.686000000002</c:v>
                </c:pt>
                <c:pt idx="13">
                  <c:v>16938.061999999998</c:v>
                </c:pt>
                <c:pt idx="14">
                  <c:v>23368.559999999998</c:v>
                </c:pt>
                <c:pt idx="15">
                  <c:v>24094.943999999996</c:v>
                </c:pt>
                <c:pt idx="16">
                  <c:v>25905.796999999999</c:v>
                </c:pt>
                <c:pt idx="17">
                  <c:v>22660.196000000004</c:v>
                </c:pt>
                <c:pt idx="18">
                  <c:v>22513.117999999999</c:v>
                </c:pt>
                <c:pt idx="19">
                  <c:v>20846.46</c:v>
                </c:pt>
                <c:pt idx="20">
                  <c:v>19968.741000000002</c:v>
                </c:pt>
                <c:pt idx="21">
                  <c:v>19864.638999999999</c:v>
                </c:pt>
                <c:pt idx="22">
                  <c:v>20036.014000000003</c:v>
                </c:pt>
                <c:pt idx="23">
                  <c:v>20567.101999999999</c:v>
                </c:pt>
                <c:pt idx="24">
                  <c:v>19119.822</c:v>
                </c:pt>
                <c:pt idx="25">
                  <c:v>21577.948</c:v>
                </c:pt>
                <c:pt idx="26">
                  <c:v>23921.214</c:v>
                </c:pt>
                <c:pt idx="27">
                  <c:v>22553.815999999999</c:v>
                </c:pt>
                <c:pt idx="28">
                  <c:v>21579.867000000002</c:v>
                </c:pt>
                <c:pt idx="29">
                  <c:v>22397.340000000004</c:v>
                </c:pt>
                <c:pt idx="30">
                  <c:v>22130.945</c:v>
                </c:pt>
                <c:pt idx="31">
                  <c:v>18896.864999999998</c:v>
                </c:pt>
                <c:pt idx="32">
                  <c:v>17405.897000000001</c:v>
                </c:pt>
                <c:pt idx="33">
                  <c:v>17468.114000000001</c:v>
                </c:pt>
                <c:pt idx="34">
                  <c:v>17598.212999999996</c:v>
                </c:pt>
                <c:pt idx="35">
                  <c:v>17319.629000000001</c:v>
                </c:pt>
                <c:pt idx="36">
                  <c:v>17170.11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3-4F67-85FB-1BC5EE21B153}"/>
            </c:ext>
          </c:extLst>
        </c:ser>
        <c:ser>
          <c:idx val="2"/>
          <c:order val="2"/>
          <c:tx>
            <c:strRef>
              <c:f>D.Inventario!$A$39</c:f>
              <c:strCache>
                <c:ptCount val="1"/>
                <c:pt idx="0">
                  <c:v>RAID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D.Inventario!$B$36:$AL$36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D.Inventario!$B$39:$AL$39</c:f>
              <c:numCache>
                <c:formatCode>General</c:formatCode>
                <c:ptCount val="37"/>
                <c:pt idx="0">
                  <c:v>34438.112000000001</c:v>
                </c:pt>
                <c:pt idx="1">
                  <c:v>39372.267999999996</c:v>
                </c:pt>
                <c:pt idx="2">
                  <c:v>41985.814999999995</c:v>
                </c:pt>
                <c:pt idx="3">
                  <c:v>48634.892</c:v>
                </c:pt>
                <c:pt idx="4">
                  <c:v>44074.563999999998</c:v>
                </c:pt>
                <c:pt idx="5">
                  <c:v>42195.870999999999</c:v>
                </c:pt>
                <c:pt idx="6">
                  <c:v>44342.175000000003</c:v>
                </c:pt>
                <c:pt idx="7">
                  <c:v>38839.163</c:v>
                </c:pt>
                <c:pt idx="8">
                  <c:v>37154.781000000003</c:v>
                </c:pt>
                <c:pt idx="9">
                  <c:v>38197.005999999994</c:v>
                </c:pt>
                <c:pt idx="10">
                  <c:v>36998.254000000001</c:v>
                </c:pt>
                <c:pt idx="11">
                  <c:v>36583.360000000001</c:v>
                </c:pt>
                <c:pt idx="12">
                  <c:v>40339.515999999996</c:v>
                </c:pt>
                <c:pt idx="13">
                  <c:v>43355.339</c:v>
                </c:pt>
                <c:pt idx="14">
                  <c:v>48864.422000000006</c:v>
                </c:pt>
                <c:pt idx="15">
                  <c:v>51205.034000000007</c:v>
                </c:pt>
                <c:pt idx="16">
                  <c:v>46737.694000000003</c:v>
                </c:pt>
                <c:pt idx="17">
                  <c:v>41729.766000000003</c:v>
                </c:pt>
                <c:pt idx="18">
                  <c:v>40234.271000000008</c:v>
                </c:pt>
                <c:pt idx="19">
                  <c:v>37362.298999999999</c:v>
                </c:pt>
                <c:pt idx="20">
                  <c:v>34940.039000000004</c:v>
                </c:pt>
                <c:pt idx="21">
                  <c:v>33984.887999999999</c:v>
                </c:pt>
                <c:pt idx="22">
                  <c:v>35700.289999999994</c:v>
                </c:pt>
                <c:pt idx="23">
                  <c:v>34607.974000000002</c:v>
                </c:pt>
                <c:pt idx="24">
                  <c:v>35523.381000000001</c:v>
                </c:pt>
                <c:pt idx="25">
                  <c:v>44674.784</c:v>
                </c:pt>
                <c:pt idx="26">
                  <c:v>52609.955000000002</c:v>
                </c:pt>
                <c:pt idx="27">
                  <c:v>48734.108</c:v>
                </c:pt>
                <c:pt idx="28">
                  <c:v>50962.698000000004</c:v>
                </c:pt>
                <c:pt idx="29">
                  <c:v>45492.985000000001</c:v>
                </c:pt>
                <c:pt idx="30">
                  <c:v>45191.25</c:v>
                </c:pt>
                <c:pt idx="31">
                  <c:v>39523.754999999997</c:v>
                </c:pt>
                <c:pt idx="32">
                  <c:v>38163.64</c:v>
                </c:pt>
                <c:pt idx="33">
                  <c:v>37576.222000000002</c:v>
                </c:pt>
                <c:pt idx="34">
                  <c:v>35427.402000000002</c:v>
                </c:pt>
                <c:pt idx="35">
                  <c:v>37121.509000000005</c:v>
                </c:pt>
                <c:pt idx="36">
                  <c:v>35906.100999999995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73-4F67-85FB-1BC5EE21B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730032"/>
        <c:axId val="1330717552"/>
      </c:lineChart>
      <c:dateAx>
        <c:axId val="1330730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0717552"/>
        <c:crosses val="autoZero"/>
        <c:auto val="1"/>
        <c:lblOffset val="100"/>
        <c:baseTimeUnit val="months"/>
      </c:dateAx>
      <c:valAx>
        <c:axId val="133071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073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Inventario Pesticidas Tradicional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D.Inventario!$A$59</c:f>
              <c:strCache>
                <c:ptCount val="1"/>
                <c:pt idx="0">
                  <c:v>BAYGON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D.Inventario!$B$58:$AL$58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D.Inventario!$B$59:$AL$59</c:f>
              <c:numCache>
                <c:formatCode>General</c:formatCode>
                <c:ptCount val="37"/>
                <c:pt idx="0">
                  <c:v>3727.181</c:v>
                </c:pt>
                <c:pt idx="1">
                  <c:v>3848.5990000000002</c:v>
                </c:pt>
                <c:pt idx="2">
                  <c:v>6120.8630000000003</c:v>
                </c:pt>
                <c:pt idx="3">
                  <c:v>4922.6069999999991</c:v>
                </c:pt>
                <c:pt idx="4">
                  <c:v>3764.4870000000001</c:v>
                </c:pt>
                <c:pt idx="5">
                  <c:v>4245.5209999999997</c:v>
                </c:pt>
                <c:pt idx="6">
                  <c:v>4252.1460000000006</c:v>
                </c:pt>
                <c:pt idx="7">
                  <c:v>4153.134</c:v>
                </c:pt>
                <c:pt idx="8">
                  <c:v>4105.6609999999991</c:v>
                </c:pt>
                <c:pt idx="9">
                  <c:v>3829.5499999999997</c:v>
                </c:pt>
                <c:pt idx="10">
                  <c:v>3441.6410000000001</c:v>
                </c:pt>
                <c:pt idx="11">
                  <c:v>3637.799</c:v>
                </c:pt>
                <c:pt idx="12">
                  <c:v>4331.2989999999991</c:v>
                </c:pt>
                <c:pt idx="13">
                  <c:v>5090.0920000000006</c:v>
                </c:pt>
                <c:pt idx="14">
                  <c:v>4943.8979999999992</c:v>
                </c:pt>
                <c:pt idx="15">
                  <c:v>4730.0709999999999</c:v>
                </c:pt>
                <c:pt idx="16">
                  <c:v>4947.3629999999994</c:v>
                </c:pt>
                <c:pt idx="17">
                  <c:v>3806.9089999999997</c:v>
                </c:pt>
                <c:pt idx="18">
                  <c:v>3199.5119999999997</c:v>
                </c:pt>
                <c:pt idx="19">
                  <c:v>3201.9589999999998</c:v>
                </c:pt>
                <c:pt idx="20">
                  <c:v>3726.7809999999995</c:v>
                </c:pt>
                <c:pt idx="21">
                  <c:v>4727.2609999999995</c:v>
                </c:pt>
                <c:pt idx="22">
                  <c:v>4566.7029999999995</c:v>
                </c:pt>
                <c:pt idx="23">
                  <c:v>4085.9969999999998</c:v>
                </c:pt>
                <c:pt idx="24">
                  <c:v>4389.6019999999999</c:v>
                </c:pt>
                <c:pt idx="25">
                  <c:v>4251.875</c:v>
                </c:pt>
                <c:pt idx="26">
                  <c:v>5460.2550000000001</c:v>
                </c:pt>
                <c:pt idx="27">
                  <c:v>4800.4799999999996</c:v>
                </c:pt>
                <c:pt idx="28">
                  <c:v>4427.0369999999994</c:v>
                </c:pt>
                <c:pt idx="29">
                  <c:v>5276.8249999999998</c:v>
                </c:pt>
                <c:pt idx="30">
                  <c:v>3694.8429999999998</c:v>
                </c:pt>
                <c:pt idx="31">
                  <c:v>3798.5770000000002</c:v>
                </c:pt>
                <c:pt idx="32">
                  <c:v>3526.922</c:v>
                </c:pt>
                <c:pt idx="33">
                  <c:v>4074.0710000000004</c:v>
                </c:pt>
                <c:pt idx="34">
                  <c:v>3490.7320000000004</c:v>
                </c:pt>
                <c:pt idx="35">
                  <c:v>3132.5940000000001</c:v>
                </c:pt>
                <c:pt idx="36">
                  <c:v>3605.1179999999995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5-442E-93BE-59DAA7E0B9BF}"/>
            </c:ext>
          </c:extLst>
        </c:ser>
        <c:ser>
          <c:idx val="1"/>
          <c:order val="1"/>
          <c:tx>
            <c:strRef>
              <c:f>D.Inventario!$A$60</c:f>
              <c:strCache>
                <c:ptCount val="1"/>
                <c:pt idx="0">
                  <c:v>FUYI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D.Inventario!$B$58:$AL$58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D.Inventario!$B$60:$AL$60</c:f>
              <c:numCache>
                <c:formatCode>General</c:formatCode>
                <c:ptCount val="37"/>
                <c:pt idx="0">
                  <c:v>8778.9050000000007</c:v>
                </c:pt>
                <c:pt idx="1">
                  <c:v>10955.552999999998</c:v>
                </c:pt>
                <c:pt idx="2">
                  <c:v>14169.924999999999</c:v>
                </c:pt>
                <c:pt idx="3">
                  <c:v>15494.038999999999</c:v>
                </c:pt>
                <c:pt idx="4">
                  <c:v>17194.011999999999</c:v>
                </c:pt>
                <c:pt idx="5">
                  <c:v>14416.960999999999</c:v>
                </c:pt>
                <c:pt idx="6">
                  <c:v>16662.698999999997</c:v>
                </c:pt>
                <c:pt idx="7">
                  <c:v>14384.026999999998</c:v>
                </c:pt>
                <c:pt idx="8">
                  <c:v>14836.664999999997</c:v>
                </c:pt>
                <c:pt idx="9">
                  <c:v>13530.555999999999</c:v>
                </c:pt>
                <c:pt idx="10">
                  <c:v>13047.747999999996</c:v>
                </c:pt>
                <c:pt idx="11">
                  <c:v>13735.788999999997</c:v>
                </c:pt>
                <c:pt idx="12">
                  <c:v>12810.258999999998</c:v>
                </c:pt>
                <c:pt idx="13">
                  <c:v>14208.68</c:v>
                </c:pt>
                <c:pt idx="14">
                  <c:v>13467.418000000001</c:v>
                </c:pt>
                <c:pt idx="15">
                  <c:v>11761.017999999998</c:v>
                </c:pt>
                <c:pt idx="16">
                  <c:v>12782.46</c:v>
                </c:pt>
                <c:pt idx="17">
                  <c:v>10449.509</c:v>
                </c:pt>
                <c:pt idx="18">
                  <c:v>10312.201999999999</c:v>
                </c:pt>
                <c:pt idx="19">
                  <c:v>10441.589999999998</c:v>
                </c:pt>
                <c:pt idx="20">
                  <c:v>11468.175999999999</c:v>
                </c:pt>
                <c:pt idx="21">
                  <c:v>10773.945999999998</c:v>
                </c:pt>
                <c:pt idx="22">
                  <c:v>9307.4779999999992</c:v>
                </c:pt>
                <c:pt idx="23">
                  <c:v>9610.5279999999984</c:v>
                </c:pt>
                <c:pt idx="24">
                  <c:v>10071.215</c:v>
                </c:pt>
                <c:pt idx="25">
                  <c:v>10631.793</c:v>
                </c:pt>
                <c:pt idx="26">
                  <c:v>10462.289999999999</c:v>
                </c:pt>
                <c:pt idx="27">
                  <c:v>11890.028</c:v>
                </c:pt>
                <c:pt idx="28">
                  <c:v>13422.898999999999</c:v>
                </c:pt>
                <c:pt idx="29">
                  <c:v>14775.041000000001</c:v>
                </c:pt>
                <c:pt idx="30">
                  <c:v>13408.944</c:v>
                </c:pt>
                <c:pt idx="31">
                  <c:v>12578.136999999999</c:v>
                </c:pt>
                <c:pt idx="32">
                  <c:v>12583.064999999999</c:v>
                </c:pt>
                <c:pt idx="33">
                  <c:v>12014.868</c:v>
                </c:pt>
                <c:pt idx="34">
                  <c:v>11927.913999999999</c:v>
                </c:pt>
                <c:pt idx="35">
                  <c:v>12655.276</c:v>
                </c:pt>
                <c:pt idx="36">
                  <c:v>10847.028999999999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5-442E-93BE-59DAA7E0B9BF}"/>
            </c:ext>
          </c:extLst>
        </c:ser>
        <c:ser>
          <c:idx val="2"/>
          <c:order val="2"/>
          <c:tx>
            <c:strRef>
              <c:f>D.Inventario!$A$61</c:f>
              <c:strCache>
                <c:ptCount val="1"/>
                <c:pt idx="0">
                  <c:v>RAID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D.Inventario!$B$58:$AL$58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D.Inventario!$B$61:$AL$61</c:f>
              <c:numCache>
                <c:formatCode>General</c:formatCode>
                <c:ptCount val="37"/>
                <c:pt idx="0">
                  <c:v>62521.192000000003</c:v>
                </c:pt>
                <c:pt idx="1">
                  <c:v>58793.671999999984</c:v>
                </c:pt>
                <c:pt idx="2">
                  <c:v>63888.206000000013</c:v>
                </c:pt>
                <c:pt idx="3">
                  <c:v>69522.051999999996</c:v>
                </c:pt>
                <c:pt idx="4">
                  <c:v>67210.968000000008</c:v>
                </c:pt>
                <c:pt idx="5">
                  <c:v>65161.31</c:v>
                </c:pt>
                <c:pt idx="6">
                  <c:v>65144.326999999997</c:v>
                </c:pt>
                <c:pt idx="7">
                  <c:v>60075.991000000009</c:v>
                </c:pt>
                <c:pt idx="8">
                  <c:v>56174.837000000014</c:v>
                </c:pt>
                <c:pt idx="9">
                  <c:v>57852.728999999992</c:v>
                </c:pt>
                <c:pt idx="10">
                  <c:v>54867.352000000014</c:v>
                </c:pt>
                <c:pt idx="11">
                  <c:v>55960.181000000004</c:v>
                </c:pt>
                <c:pt idx="12">
                  <c:v>58226.81900000001</c:v>
                </c:pt>
                <c:pt idx="13">
                  <c:v>60164.657999999996</c:v>
                </c:pt>
                <c:pt idx="14">
                  <c:v>73551.680999999997</c:v>
                </c:pt>
                <c:pt idx="15">
                  <c:v>72076.606999999989</c:v>
                </c:pt>
                <c:pt idx="16">
                  <c:v>73150.008999999991</c:v>
                </c:pt>
                <c:pt idx="17">
                  <c:v>67605.220000000016</c:v>
                </c:pt>
                <c:pt idx="18">
                  <c:v>68471.989999999991</c:v>
                </c:pt>
                <c:pt idx="19">
                  <c:v>63172.392999999967</c:v>
                </c:pt>
                <c:pt idx="20">
                  <c:v>63874.332000000017</c:v>
                </c:pt>
                <c:pt idx="21">
                  <c:v>61104.937999999995</c:v>
                </c:pt>
                <c:pt idx="22">
                  <c:v>62089.015000000029</c:v>
                </c:pt>
                <c:pt idx="23">
                  <c:v>61254.935999999994</c:v>
                </c:pt>
                <c:pt idx="24">
                  <c:v>65197.411999999997</c:v>
                </c:pt>
                <c:pt idx="25">
                  <c:v>70412.591</c:v>
                </c:pt>
                <c:pt idx="26">
                  <c:v>75981.486999999994</c:v>
                </c:pt>
                <c:pt idx="27">
                  <c:v>71329.557000000001</c:v>
                </c:pt>
                <c:pt idx="28">
                  <c:v>74505.322999999989</c:v>
                </c:pt>
                <c:pt idx="29">
                  <c:v>72842.572000000044</c:v>
                </c:pt>
                <c:pt idx="30">
                  <c:v>75470.131999999983</c:v>
                </c:pt>
                <c:pt idx="31">
                  <c:v>71969.050000000017</c:v>
                </c:pt>
                <c:pt idx="32">
                  <c:v>67640.379000000001</c:v>
                </c:pt>
                <c:pt idx="33">
                  <c:v>69522.506999999998</c:v>
                </c:pt>
                <c:pt idx="34">
                  <c:v>66083.582999999999</c:v>
                </c:pt>
                <c:pt idx="35">
                  <c:v>65933.898000000016</c:v>
                </c:pt>
                <c:pt idx="36">
                  <c:v>66752.148000000001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15-442E-93BE-59DAA7E0B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626335"/>
        <c:axId val="1334237472"/>
      </c:lineChart>
      <c:dateAx>
        <c:axId val="11576263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4237472"/>
        <c:crosses val="autoZero"/>
        <c:auto val="1"/>
        <c:lblOffset val="100"/>
        <c:baseTimeUnit val="months"/>
      </c:dateAx>
      <c:valAx>
        <c:axId val="13342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762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DN vs DNA Repelentes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DNA!$A$11</c:f>
              <c:strCache>
                <c:ptCount val="1"/>
                <c:pt idx="0">
                  <c:v>DN</c:v>
                </c:pt>
              </c:strCache>
            </c:strRef>
          </c:tx>
          <c:spPr>
            <a:ln w="28575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numRef>
              <c:f>DNA!$B$10:$AL$10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DNA!$B$11:$AL$11</c:f>
              <c:numCache>
                <c:formatCode>General</c:formatCode>
                <c:ptCount val="37"/>
                <c:pt idx="0">
                  <c:v>44.421040099999999</c:v>
                </c:pt>
                <c:pt idx="1">
                  <c:v>42.8706149</c:v>
                </c:pt>
                <c:pt idx="2">
                  <c:v>44.3503288</c:v>
                </c:pt>
                <c:pt idx="3">
                  <c:v>45.179226300000003</c:v>
                </c:pt>
                <c:pt idx="4">
                  <c:v>46.376396700000001</c:v>
                </c:pt>
                <c:pt idx="5">
                  <c:v>45.984914600000003</c:v>
                </c:pt>
                <c:pt idx="6">
                  <c:v>45.657430400000003</c:v>
                </c:pt>
                <c:pt idx="7">
                  <c:v>45.544051600000003</c:v>
                </c:pt>
                <c:pt idx="8">
                  <c:v>44.416511100000001</c:v>
                </c:pt>
                <c:pt idx="9">
                  <c:v>43.352279699999997</c:v>
                </c:pt>
                <c:pt idx="10">
                  <c:v>42.928534900000002</c:v>
                </c:pt>
                <c:pt idx="11">
                  <c:v>43.760636699999999</c:v>
                </c:pt>
                <c:pt idx="12">
                  <c:v>44.294243299999998</c:v>
                </c:pt>
                <c:pt idx="13">
                  <c:v>44.174651900000001</c:v>
                </c:pt>
                <c:pt idx="14">
                  <c:v>46.6936982</c:v>
                </c:pt>
                <c:pt idx="15">
                  <c:v>50.182930599999999</c:v>
                </c:pt>
                <c:pt idx="16">
                  <c:v>50.573355800000002</c:v>
                </c:pt>
                <c:pt idx="17">
                  <c:v>50.5964928</c:v>
                </c:pt>
                <c:pt idx="18">
                  <c:v>49.305227899999998</c:v>
                </c:pt>
                <c:pt idx="19">
                  <c:v>48.889477200000002</c:v>
                </c:pt>
                <c:pt idx="20">
                  <c:v>48.232335200000001</c:v>
                </c:pt>
                <c:pt idx="21">
                  <c:v>46.413940099999998</c:v>
                </c:pt>
                <c:pt idx="22">
                  <c:v>45.628875299999997</c:v>
                </c:pt>
                <c:pt idx="23">
                  <c:v>45.8745428</c:v>
                </c:pt>
                <c:pt idx="24">
                  <c:v>47.295637200000002</c:v>
                </c:pt>
                <c:pt idx="25">
                  <c:v>48.750969400000002</c:v>
                </c:pt>
                <c:pt idx="26">
                  <c:v>50.488783099999999</c:v>
                </c:pt>
                <c:pt idx="27">
                  <c:v>52.126884400000002</c:v>
                </c:pt>
                <c:pt idx="28">
                  <c:v>53.455845099999998</c:v>
                </c:pt>
                <c:pt idx="29">
                  <c:v>54.758017299999999</c:v>
                </c:pt>
                <c:pt idx="30">
                  <c:v>55.2126558</c:v>
                </c:pt>
                <c:pt idx="31">
                  <c:v>54.223590199999997</c:v>
                </c:pt>
                <c:pt idx="32">
                  <c:v>49.675150500000001</c:v>
                </c:pt>
                <c:pt idx="33">
                  <c:v>47.219900000000003</c:v>
                </c:pt>
                <c:pt idx="34">
                  <c:v>42.969941200000001</c:v>
                </c:pt>
                <c:pt idx="35">
                  <c:v>41.855958200000003</c:v>
                </c:pt>
                <c:pt idx="36">
                  <c:v>41.062372000000003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3-41F3-B820-BB6E3D8E8656}"/>
            </c:ext>
          </c:extLst>
        </c:ser>
        <c:ser>
          <c:idx val="1"/>
          <c:order val="1"/>
          <c:tx>
            <c:strRef>
              <c:f>DNA!$A$12</c:f>
              <c:strCache>
                <c:ptCount val="1"/>
                <c:pt idx="0">
                  <c:v>DNA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DNA!$B$10:$AL$10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DNA!$B$12:$AL$12</c:f>
              <c:numCache>
                <c:formatCode>General</c:formatCode>
                <c:ptCount val="37"/>
                <c:pt idx="0">
                  <c:v>0</c:v>
                </c:pt>
                <c:pt idx="1">
                  <c:v>4.2664773</c:v>
                </c:pt>
                <c:pt idx="2">
                  <c:v>3.2788143999999999</c:v>
                </c:pt>
                <c:pt idx="3">
                  <c:v>4.8082868999999997</c:v>
                </c:pt>
                <c:pt idx="4">
                  <c:v>2.8160694999999998</c:v>
                </c:pt>
                <c:pt idx="5">
                  <c:v>4.0724913999999997</c:v>
                </c:pt>
                <c:pt idx="6">
                  <c:v>6.2326983</c:v>
                </c:pt>
                <c:pt idx="7">
                  <c:v>6.7959364999999998</c:v>
                </c:pt>
                <c:pt idx="8">
                  <c:v>9.5721673999999997</c:v>
                </c:pt>
                <c:pt idx="9">
                  <c:v>8.9003806999999995</c:v>
                </c:pt>
                <c:pt idx="10">
                  <c:v>6.0933839000000001</c:v>
                </c:pt>
                <c:pt idx="11">
                  <c:v>5.5100889000000004</c:v>
                </c:pt>
                <c:pt idx="12">
                  <c:v>4.0807371999999997</c:v>
                </c:pt>
                <c:pt idx="13">
                  <c:v>5.7945899000000001</c:v>
                </c:pt>
                <c:pt idx="14">
                  <c:v>4.7520188000000001</c:v>
                </c:pt>
                <c:pt idx="15">
                  <c:v>2.5857066999999998</c:v>
                </c:pt>
                <c:pt idx="16">
                  <c:v>4.8370395999999998</c:v>
                </c:pt>
                <c:pt idx="17">
                  <c:v>6.3744047000000004</c:v>
                </c:pt>
                <c:pt idx="18">
                  <c:v>5.3213619000000003</c:v>
                </c:pt>
                <c:pt idx="19">
                  <c:v>8.9591779999999996</c:v>
                </c:pt>
                <c:pt idx="20">
                  <c:v>7.3185814000000002</c:v>
                </c:pt>
                <c:pt idx="21">
                  <c:v>7.2389156000000003</c:v>
                </c:pt>
                <c:pt idx="22">
                  <c:v>8.4238499999999998</c:v>
                </c:pt>
                <c:pt idx="23">
                  <c:v>5.6696328999999999</c:v>
                </c:pt>
                <c:pt idx="24">
                  <c:v>5.7765839999999997</c:v>
                </c:pt>
                <c:pt idx="25">
                  <c:v>4.1359475999999997</c:v>
                </c:pt>
                <c:pt idx="26">
                  <c:v>4.9285094000000003</c:v>
                </c:pt>
                <c:pt idx="27">
                  <c:v>2.8113766</c:v>
                </c:pt>
                <c:pt idx="28">
                  <c:v>2.6157764000000001</c:v>
                </c:pt>
                <c:pt idx="29">
                  <c:v>4.3470966000000004</c:v>
                </c:pt>
                <c:pt idx="30">
                  <c:v>3.9688447</c:v>
                </c:pt>
                <c:pt idx="31">
                  <c:v>6.2433727000000001</c:v>
                </c:pt>
                <c:pt idx="32">
                  <c:v>11.455285999999999</c:v>
                </c:pt>
                <c:pt idx="33">
                  <c:v>7.6883504</c:v>
                </c:pt>
                <c:pt idx="34">
                  <c:v>16.5063955</c:v>
                </c:pt>
                <c:pt idx="35">
                  <c:v>6.6129679000000001</c:v>
                </c:pt>
                <c:pt idx="36">
                  <c:v>6.426946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3-41F3-B820-BB6E3D8E8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068256"/>
        <c:axId val="811069216"/>
      </c:lineChart>
      <c:dateAx>
        <c:axId val="811068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1069216"/>
        <c:crosses val="autoZero"/>
        <c:auto val="1"/>
        <c:lblOffset val="100"/>
        <c:baseTimeUnit val="months"/>
        <c:majorUnit val="1"/>
        <c:majorTimeUnit val="months"/>
      </c:dateAx>
      <c:valAx>
        <c:axId val="8110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%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123684018664333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106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DN vs DNA Insecticidas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DNA!$A$27</c:f>
              <c:strCache>
                <c:ptCount val="1"/>
                <c:pt idx="0">
                  <c:v>DN</c:v>
                </c:pt>
              </c:strCache>
            </c:strRef>
          </c:tx>
          <c:spPr>
            <a:ln w="28575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numRef>
              <c:f>DNA!$B$26:$AL$26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DNA!$B$27:$AL$27</c:f>
              <c:numCache>
                <c:formatCode>General</c:formatCode>
                <c:ptCount val="37"/>
                <c:pt idx="0">
                  <c:v>46.800262199999999</c:v>
                </c:pt>
                <c:pt idx="1">
                  <c:v>48.043808400000003</c:v>
                </c:pt>
                <c:pt idx="2">
                  <c:v>48.667459700000002</c:v>
                </c:pt>
                <c:pt idx="3">
                  <c:v>49.175434099999997</c:v>
                </c:pt>
                <c:pt idx="4">
                  <c:v>49.2715642</c:v>
                </c:pt>
                <c:pt idx="5">
                  <c:v>47.832704700000001</c:v>
                </c:pt>
                <c:pt idx="6">
                  <c:v>47.968672699999999</c:v>
                </c:pt>
                <c:pt idx="7">
                  <c:v>46.216443900000002</c:v>
                </c:pt>
                <c:pt idx="8">
                  <c:v>44.898463700000001</c:v>
                </c:pt>
                <c:pt idx="9">
                  <c:v>43.407713899999997</c:v>
                </c:pt>
                <c:pt idx="10">
                  <c:v>43.410431899999999</c:v>
                </c:pt>
                <c:pt idx="11">
                  <c:v>43.5465862</c:v>
                </c:pt>
                <c:pt idx="12">
                  <c:v>42.934400799999999</c:v>
                </c:pt>
                <c:pt idx="13">
                  <c:v>43.635705899999998</c:v>
                </c:pt>
                <c:pt idx="14">
                  <c:v>46.055216100000003</c:v>
                </c:pt>
                <c:pt idx="15">
                  <c:v>47.996544499999999</c:v>
                </c:pt>
                <c:pt idx="16">
                  <c:v>49.642351300000001</c:v>
                </c:pt>
                <c:pt idx="17">
                  <c:v>46.7258523</c:v>
                </c:pt>
                <c:pt idx="18">
                  <c:v>47.483508</c:v>
                </c:pt>
                <c:pt idx="19">
                  <c:v>46.416969399999999</c:v>
                </c:pt>
                <c:pt idx="20">
                  <c:v>47.521115399999999</c:v>
                </c:pt>
                <c:pt idx="21">
                  <c:v>45.546200900000002</c:v>
                </c:pt>
                <c:pt idx="22">
                  <c:v>43.397356199999997</c:v>
                </c:pt>
                <c:pt idx="23">
                  <c:v>43.505954199999998</c:v>
                </c:pt>
                <c:pt idx="24">
                  <c:v>44.620378899999999</c:v>
                </c:pt>
                <c:pt idx="25">
                  <c:v>46.356928099999998</c:v>
                </c:pt>
                <c:pt idx="26">
                  <c:v>48.728382199999999</c:v>
                </c:pt>
                <c:pt idx="27">
                  <c:v>50.643208199999997</c:v>
                </c:pt>
                <c:pt idx="28">
                  <c:v>53.290821299999998</c:v>
                </c:pt>
                <c:pt idx="29">
                  <c:v>52.289261199999999</c:v>
                </c:pt>
                <c:pt idx="30">
                  <c:v>52.4682508</c:v>
                </c:pt>
                <c:pt idx="31">
                  <c:v>50.461056800000001</c:v>
                </c:pt>
                <c:pt idx="32">
                  <c:v>49.259495399999999</c:v>
                </c:pt>
                <c:pt idx="33">
                  <c:v>48.0887685</c:v>
                </c:pt>
                <c:pt idx="34">
                  <c:v>47.325407900000002</c:v>
                </c:pt>
                <c:pt idx="35">
                  <c:v>43.4370355</c:v>
                </c:pt>
                <c:pt idx="36">
                  <c:v>42.477167600000001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6-4E9D-A41D-178C1AED490B}"/>
            </c:ext>
          </c:extLst>
        </c:ser>
        <c:ser>
          <c:idx val="1"/>
          <c:order val="1"/>
          <c:tx>
            <c:strRef>
              <c:f>DNA!$A$28</c:f>
              <c:strCache>
                <c:ptCount val="1"/>
                <c:pt idx="0">
                  <c:v>DNA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DNA!$B$26:$AL$26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DNA!$B$28:$AL$28</c:f>
              <c:numCache>
                <c:formatCode>General</c:formatCode>
                <c:ptCount val="37"/>
                <c:pt idx="0">
                  <c:v>0</c:v>
                </c:pt>
                <c:pt idx="1">
                  <c:v>4.3765793000000004</c:v>
                </c:pt>
                <c:pt idx="2">
                  <c:v>3.2680411999999999</c:v>
                </c:pt>
                <c:pt idx="3">
                  <c:v>4.1836057000000002</c:v>
                </c:pt>
                <c:pt idx="4">
                  <c:v>3.0321619000000002</c:v>
                </c:pt>
                <c:pt idx="5">
                  <c:v>4.1828085000000002</c:v>
                </c:pt>
                <c:pt idx="6">
                  <c:v>3.6587971000000001</c:v>
                </c:pt>
                <c:pt idx="7">
                  <c:v>5.4183491999999998</c:v>
                </c:pt>
                <c:pt idx="8">
                  <c:v>5.1594996999999996</c:v>
                </c:pt>
                <c:pt idx="9">
                  <c:v>8.0648791000000006</c:v>
                </c:pt>
                <c:pt idx="10">
                  <c:v>5.7994751999999998</c:v>
                </c:pt>
                <c:pt idx="11">
                  <c:v>5.3420772999999997</c:v>
                </c:pt>
                <c:pt idx="12">
                  <c:v>4.4652668000000002</c:v>
                </c:pt>
                <c:pt idx="13">
                  <c:v>4.5399025000000002</c:v>
                </c:pt>
                <c:pt idx="14">
                  <c:v>3.9039944000000002</c:v>
                </c:pt>
                <c:pt idx="15">
                  <c:v>1.6818508000000001</c:v>
                </c:pt>
                <c:pt idx="16">
                  <c:v>2.5434996000000001</c:v>
                </c:pt>
                <c:pt idx="17">
                  <c:v>3.9059713999999999</c:v>
                </c:pt>
                <c:pt idx="18">
                  <c:v>2.5312825999999999</c:v>
                </c:pt>
                <c:pt idx="19">
                  <c:v>5.1722305999999998</c:v>
                </c:pt>
                <c:pt idx="20">
                  <c:v>4.8149829000000004</c:v>
                </c:pt>
                <c:pt idx="21">
                  <c:v>5.1114281000000004</c:v>
                </c:pt>
                <c:pt idx="22">
                  <c:v>6.9646613999999998</c:v>
                </c:pt>
                <c:pt idx="23">
                  <c:v>5.0683099</c:v>
                </c:pt>
                <c:pt idx="24">
                  <c:v>5.4888437000000003</c:v>
                </c:pt>
                <c:pt idx="25">
                  <c:v>3.0595764000000001</c:v>
                </c:pt>
                <c:pt idx="26">
                  <c:v>3.0925601</c:v>
                </c:pt>
                <c:pt idx="27">
                  <c:v>3.3425392</c:v>
                </c:pt>
                <c:pt idx="28">
                  <c:v>2.4604851000000001</c:v>
                </c:pt>
                <c:pt idx="29">
                  <c:v>4.7425702999999997</c:v>
                </c:pt>
                <c:pt idx="30">
                  <c:v>3.8221058000000001</c:v>
                </c:pt>
                <c:pt idx="31">
                  <c:v>3.9468445000000001</c:v>
                </c:pt>
                <c:pt idx="32">
                  <c:v>5.1036766</c:v>
                </c:pt>
                <c:pt idx="33">
                  <c:v>5.5095517999999997</c:v>
                </c:pt>
                <c:pt idx="34">
                  <c:v>6.2799987000000002</c:v>
                </c:pt>
                <c:pt idx="35">
                  <c:v>7.8834413999999997</c:v>
                </c:pt>
                <c:pt idx="36">
                  <c:v>7.2106513999999997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86-4E9D-A41D-178C1AED4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987984"/>
        <c:axId val="1065977424"/>
      </c:lineChart>
      <c:dateAx>
        <c:axId val="10659879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977424"/>
        <c:crosses val="autoZero"/>
        <c:auto val="1"/>
        <c:lblOffset val="100"/>
        <c:baseTimeUnit val="months"/>
        <c:majorUnit val="1"/>
        <c:majorTimeUnit val="months"/>
      </c:dateAx>
      <c:valAx>
        <c:axId val="106597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%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12923957421988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98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DN vs DNA Pesticidas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DNA!$A$43</c:f>
              <c:strCache>
                <c:ptCount val="1"/>
                <c:pt idx="0">
                  <c:v>DN</c:v>
                </c:pt>
              </c:strCache>
            </c:strRef>
          </c:tx>
          <c:spPr>
            <a:ln w="28575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numRef>
              <c:f>DNA!$B$42:$AL$42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DNA!$B$43:$AL$43</c:f>
              <c:numCache>
                <c:formatCode>General</c:formatCode>
                <c:ptCount val="37"/>
                <c:pt idx="0">
                  <c:v>44.802067899999997</c:v>
                </c:pt>
                <c:pt idx="1">
                  <c:v>45.310758999999997</c:v>
                </c:pt>
                <c:pt idx="2">
                  <c:v>46.468037199999998</c:v>
                </c:pt>
                <c:pt idx="3">
                  <c:v>48.4088329</c:v>
                </c:pt>
                <c:pt idx="4">
                  <c:v>48.158408000000001</c:v>
                </c:pt>
                <c:pt idx="5">
                  <c:v>46.853305400000004</c:v>
                </c:pt>
                <c:pt idx="6">
                  <c:v>46.479219200000003</c:v>
                </c:pt>
                <c:pt idx="7">
                  <c:v>45.768819899999997</c:v>
                </c:pt>
                <c:pt idx="8">
                  <c:v>44.629694000000001</c:v>
                </c:pt>
                <c:pt idx="9">
                  <c:v>44.658166999999999</c:v>
                </c:pt>
                <c:pt idx="10">
                  <c:v>43.065717999999997</c:v>
                </c:pt>
                <c:pt idx="11">
                  <c:v>43.594892399999999</c:v>
                </c:pt>
                <c:pt idx="12">
                  <c:v>43.789448499999999</c:v>
                </c:pt>
                <c:pt idx="13">
                  <c:v>45.091993600000002</c:v>
                </c:pt>
                <c:pt idx="14">
                  <c:v>45.229224600000002</c:v>
                </c:pt>
                <c:pt idx="15">
                  <c:v>48.595464800000002</c:v>
                </c:pt>
                <c:pt idx="16">
                  <c:v>50.861526099999999</c:v>
                </c:pt>
                <c:pt idx="17">
                  <c:v>49.065133899999999</c:v>
                </c:pt>
                <c:pt idx="18">
                  <c:v>49.1862797</c:v>
                </c:pt>
                <c:pt idx="19">
                  <c:v>46.948626699999998</c:v>
                </c:pt>
                <c:pt idx="20">
                  <c:v>45.898096799999998</c:v>
                </c:pt>
                <c:pt idx="21">
                  <c:v>45.630392899999997</c:v>
                </c:pt>
                <c:pt idx="22">
                  <c:v>44.890302300000002</c:v>
                </c:pt>
                <c:pt idx="23">
                  <c:v>44.78087</c:v>
                </c:pt>
                <c:pt idx="24">
                  <c:v>45.936364500000003</c:v>
                </c:pt>
                <c:pt idx="25">
                  <c:v>47.831125999999998</c:v>
                </c:pt>
                <c:pt idx="26">
                  <c:v>48.880465899999997</c:v>
                </c:pt>
                <c:pt idx="27">
                  <c:v>49.750465300000002</c:v>
                </c:pt>
                <c:pt idx="28">
                  <c:v>53.930851199999999</c:v>
                </c:pt>
                <c:pt idx="29">
                  <c:v>54.425092200000002</c:v>
                </c:pt>
                <c:pt idx="30">
                  <c:v>53.451302900000002</c:v>
                </c:pt>
                <c:pt idx="31">
                  <c:v>51.376887600000003</c:v>
                </c:pt>
                <c:pt idx="32">
                  <c:v>50.475392499999998</c:v>
                </c:pt>
                <c:pt idx="33">
                  <c:v>47.444870999999999</c:v>
                </c:pt>
                <c:pt idx="34">
                  <c:v>46.5121003</c:v>
                </c:pt>
                <c:pt idx="35">
                  <c:v>45.320812199999999</c:v>
                </c:pt>
                <c:pt idx="36">
                  <c:v>45.275333500000002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7-4AB0-B3AB-85338D48BEFB}"/>
            </c:ext>
          </c:extLst>
        </c:ser>
        <c:ser>
          <c:idx val="1"/>
          <c:order val="1"/>
          <c:tx>
            <c:strRef>
              <c:f>DNA!$A$44</c:f>
              <c:strCache>
                <c:ptCount val="1"/>
                <c:pt idx="0">
                  <c:v>DNA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DNA!$B$42:$AL$42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DNA!$B$44:$AL$44</c:f>
              <c:numCache>
                <c:formatCode>General</c:formatCode>
                <c:ptCount val="37"/>
                <c:pt idx="0">
                  <c:v>0</c:v>
                </c:pt>
                <c:pt idx="1">
                  <c:v>4.2805479999999996</c:v>
                </c:pt>
                <c:pt idx="2">
                  <c:v>3.5896243999999999</c:v>
                </c:pt>
                <c:pt idx="3">
                  <c:v>4.6515152000000004</c:v>
                </c:pt>
                <c:pt idx="4">
                  <c:v>3.4949490999999999</c:v>
                </c:pt>
                <c:pt idx="5">
                  <c:v>5.3357725</c:v>
                </c:pt>
                <c:pt idx="6">
                  <c:v>5.7858980999999998</c:v>
                </c:pt>
                <c:pt idx="7">
                  <c:v>5.1236854999999997</c:v>
                </c:pt>
                <c:pt idx="8">
                  <c:v>6.6769562000000002</c:v>
                </c:pt>
                <c:pt idx="9">
                  <c:v>9.2807005999999994</c:v>
                </c:pt>
                <c:pt idx="10">
                  <c:v>8.2077764999999996</c:v>
                </c:pt>
                <c:pt idx="11">
                  <c:v>6.6141728000000004</c:v>
                </c:pt>
                <c:pt idx="12">
                  <c:v>6.8163837000000003</c:v>
                </c:pt>
                <c:pt idx="13">
                  <c:v>3.3590366</c:v>
                </c:pt>
                <c:pt idx="14">
                  <c:v>5.6432336000000003</c:v>
                </c:pt>
                <c:pt idx="15">
                  <c:v>2.4058959999999998</c:v>
                </c:pt>
                <c:pt idx="16">
                  <c:v>5.9570170999999998</c:v>
                </c:pt>
                <c:pt idx="17">
                  <c:v>4.9802559000000004</c:v>
                </c:pt>
                <c:pt idx="18">
                  <c:v>6.0883096999999999</c:v>
                </c:pt>
                <c:pt idx="19">
                  <c:v>8.8915828000000001</c:v>
                </c:pt>
                <c:pt idx="20">
                  <c:v>7.3163625999999997</c:v>
                </c:pt>
                <c:pt idx="21">
                  <c:v>6.3602924999999999</c:v>
                </c:pt>
                <c:pt idx="22">
                  <c:v>6.1933121</c:v>
                </c:pt>
                <c:pt idx="23">
                  <c:v>6.9431706000000002</c:v>
                </c:pt>
                <c:pt idx="24">
                  <c:v>6.0269886000000001</c:v>
                </c:pt>
                <c:pt idx="25">
                  <c:v>3.6089902</c:v>
                </c:pt>
                <c:pt idx="26">
                  <c:v>3.2432576000000002</c:v>
                </c:pt>
                <c:pt idx="27">
                  <c:v>4.6573434999999996</c:v>
                </c:pt>
                <c:pt idx="28">
                  <c:v>2.6863845</c:v>
                </c:pt>
                <c:pt idx="29">
                  <c:v>4.7132021000000002</c:v>
                </c:pt>
                <c:pt idx="30">
                  <c:v>4.1085497999999996</c:v>
                </c:pt>
                <c:pt idx="31">
                  <c:v>4.7191212</c:v>
                </c:pt>
                <c:pt idx="32">
                  <c:v>6.9794172000000003</c:v>
                </c:pt>
                <c:pt idx="33">
                  <c:v>6.9572577999999998</c:v>
                </c:pt>
                <c:pt idx="34">
                  <c:v>6.8534497999999999</c:v>
                </c:pt>
                <c:pt idx="35">
                  <c:v>6.8543675999999998</c:v>
                </c:pt>
                <c:pt idx="36">
                  <c:v>7.1337145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97-4AB0-B3AB-85338D48B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082224"/>
        <c:axId val="811075024"/>
      </c:lineChart>
      <c:dateAx>
        <c:axId val="8110822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1075024"/>
        <c:crosses val="autoZero"/>
        <c:auto val="1"/>
        <c:lblOffset val="100"/>
        <c:baseTimeUnit val="months"/>
        <c:majorUnit val="1"/>
        <c:majorTimeUnit val="months"/>
      </c:dateAx>
      <c:valAx>
        <c:axId val="8110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108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34924</xdr:colOff>
      <xdr:row>20</xdr:row>
      <xdr:rowOff>174625</xdr:rowOff>
    </xdr:from>
    <xdr:to>
      <xdr:col>43</xdr:col>
      <xdr:colOff>152399</xdr:colOff>
      <xdr:row>34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377A2B-39D2-661E-D771-3B79861AF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60324</xdr:colOff>
      <xdr:row>35</xdr:row>
      <xdr:rowOff>15875</xdr:rowOff>
    </xdr:from>
    <xdr:to>
      <xdr:col>43</xdr:col>
      <xdr:colOff>133349</xdr:colOff>
      <xdr:row>48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94B82C-15D9-8955-0DD1-4A7080F60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66674</xdr:colOff>
      <xdr:row>49</xdr:row>
      <xdr:rowOff>180975</xdr:rowOff>
    </xdr:from>
    <xdr:to>
      <xdr:col>43</xdr:col>
      <xdr:colOff>120649</xdr:colOff>
      <xdr:row>64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E98263-424E-5631-44C7-1A373546F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41275</xdr:colOff>
      <xdr:row>19</xdr:row>
      <xdr:rowOff>3175</xdr:rowOff>
    </xdr:from>
    <xdr:to>
      <xdr:col>36</xdr:col>
      <xdr:colOff>1000125</xdr:colOff>
      <xdr:row>33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44DDF8-DE6D-45F5-331C-6D771FA73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1863725</xdr:colOff>
      <xdr:row>40</xdr:row>
      <xdr:rowOff>174625</xdr:rowOff>
    </xdr:from>
    <xdr:to>
      <xdr:col>36</xdr:col>
      <xdr:colOff>955675</xdr:colOff>
      <xdr:row>55</xdr:row>
      <xdr:rowOff>155575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C4A824-EF9B-1B00-7360-3ABD431EB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1851025</xdr:colOff>
      <xdr:row>63</xdr:row>
      <xdr:rowOff>28575</xdr:rowOff>
    </xdr:from>
    <xdr:to>
      <xdr:col>36</xdr:col>
      <xdr:colOff>942975</xdr:colOff>
      <xdr:row>78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76D2C1-546A-5BCA-6698-717831875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111125</xdr:colOff>
      <xdr:row>9</xdr:row>
      <xdr:rowOff>9525</xdr:rowOff>
    </xdr:from>
    <xdr:to>
      <xdr:col>44</xdr:col>
      <xdr:colOff>111125</xdr:colOff>
      <xdr:row>23</xdr:row>
      <xdr:rowOff>174625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B05278-A784-64C7-A116-40B0B0109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111125</xdr:colOff>
      <xdr:row>25</xdr:row>
      <xdr:rowOff>15875</xdr:rowOff>
    </xdr:from>
    <xdr:to>
      <xdr:col>44</xdr:col>
      <xdr:colOff>111125</xdr:colOff>
      <xdr:row>39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6687DB-4CD9-69B5-0E6D-885DD6845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123825</xdr:colOff>
      <xdr:row>41</xdr:row>
      <xdr:rowOff>9525</xdr:rowOff>
    </xdr:from>
    <xdr:to>
      <xdr:col>44</xdr:col>
      <xdr:colOff>123825</xdr:colOff>
      <xdr:row>55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B9D0B8-2F9E-AE44-F0FE-CF0B55F95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593.706011458336" createdVersion="8" refreshedVersion="8" minRefreshableVersion="3" recordCount="205" xr:uid="{4F25745F-BF41-4171-9F6E-992352835B01}">
  <cacheSource type="worksheet">
    <worksheetSource ref="A1:V206" sheet="Shipments"/>
  </cacheSource>
  <cacheFields count="35">
    <cacheField name="Canal" numFmtId="0">
      <sharedItems count="4">
        <s v="Distribuidor"/>
        <s v="Ecommerce"/>
        <s v="Mayoristas"/>
        <s v="Supermercados"/>
      </sharedItems>
    </cacheField>
    <cacheField name="Negocio" numFmtId="0">
      <sharedItems/>
    </cacheField>
    <cacheField name="Sub Negocio" numFmtId="0">
      <sharedItems count="2">
        <s v="Mosquito"/>
        <s v="Non Mosquito"/>
      </sharedItems>
    </cacheField>
    <cacheField name="Categoria" numFmtId="0">
      <sharedItems/>
    </cacheField>
    <cacheField name="Sub Categoría" numFmtId="0">
      <sharedItems count="13">
        <s v="Espirales"/>
        <s v="Liquido Electrico"/>
        <s v="Tabletas"/>
        <s v="Repelente Aerosol"/>
        <s v="Repelente Crema"/>
        <s v="Repelente Gel"/>
        <s v="Repelente Spray"/>
        <s v="MMM Aero"/>
        <s v="Cucarachicidas"/>
        <s v="Hormigas"/>
        <s v="Matapulgas"/>
        <s v="Polillas"/>
        <s v="Polillas Continuos"/>
      </sharedItems>
    </cacheField>
    <cacheField name="Marca" numFmtId="0">
      <sharedItems count="4">
        <s v="Raid"/>
        <s v="Fuyi"/>
        <s v="Off!"/>
        <s v="Bayg"/>
      </sharedItems>
    </cacheField>
    <cacheField name="SKU" numFmtId="0">
      <sharedItems/>
    </cacheField>
    <cacheField name="Und. X Caja" numFmtId="0">
      <sharedItems containsString="0" containsBlank="1" containsNumber="1" containsInteger="1" minValue="6" maxValue="24"/>
    </cacheField>
    <cacheField name="jul-22" numFmtId="165">
      <sharedItems containsSemiMixedTypes="0" containsString="0" containsNumber="1" containsInteger="1" minValue="0" maxValue="1033"/>
    </cacheField>
    <cacheField name="ago-22" numFmtId="165">
      <sharedItems containsSemiMixedTypes="0" containsString="0" containsNumber="1" containsInteger="1" minValue="0" maxValue="1716"/>
    </cacheField>
    <cacheField name="sep-22" numFmtId="165">
      <sharedItems containsSemiMixedTypes="0" containsString="0" containsNumber="1" containsInteger="1" minValue="0" maxValue="7301"/>
    </cacheField>
    <cacheField name="oct-22" numFmtId="165">
      <sharedItems containsSemiMixedTypes="0" containsString="0" containsNumber="1" containsInteger="1" minValue="0" maxValue="6132"/>
    </cacheField>
    <cacheField name="nov-22" numFmtId="165">
      <sharedItems containsSemiMixedTypes="0" containsString="0" containsNumber="1" containsInteger="1" minValue="0" maxValue="3961"/>
    </cacheField>
    <cacheField name="dic-22" numFmtId="165">
      <sharedItems containsSemiMixedTypes="0" containsString="0" containsNumber="1" containsInteger="1" minValue="0" maxValue="2984"/>
    </cacheField>
    <cacheField name="ene-23" numFmtId="165">
      <sharedItems containsSemiMixedTypes="0" containsString="0" containsNumber="1" containsInteger="1" minValue="0" maxValue="1005"/>
    </cacheField>
    <cacheField name="feb-23" numFmtId="165">
      <sharedItems containsSemiMixedTypes="0" containsString="0" containsNumber="1" containsInteger="1" minValue="0" maxValue="1065"/>
    </cacheField>
    <cacheField name="mar-23" numFmtId="165">
      <sharedItems containsSemiMixedTypes="0" containsString="0" containsNumber="1" containsInteger="1" minValue="0" maxValue="1233"/>
    </cacheField>
    <cacheField name="abr-23" numFmtId="165">
      <sharedItems containsSemiMixedTypes="0" containsString="0" containsNumber="1" containsInteger="1" minValue="0" maxValue="1167"/>
    </cacheField>
    <cacheField name="may-23" numFmtId="165">
      <sharedItems containsSemiMixedTypes="0" containsString="0" containsNumber="1" containsInteger="1" minValue="0" maxValue="1054"/>
    </cacheField>
    <cacheField name="jun-23" numFmtId="165">
      <sharedItems containsSemiMixedTypes="0" containsString="0" containsNumber="1" containsInteger="1" minValue="0" maxValue="460"/>
    </cacheField>
    <cacheField name="jul-23" numFmtId="165">
      <sharedItems containsSemiMixedTypes="0" containsString="0" containsNumber="1" containsInteger="1" minValue="0" maxValue="148"/>
    </cacheField>
    <cacheField name="ago-23" numFmtId="165">
      <sharedItems containsSemiMixedTypes="0" containsString="0" containsNumber="1" containsInteger="1" minValue="0" maxValue="1100"/>
    </cacheField>
    <cacheField name="sep-23" numFmtId="165">
      <sharedItems containsSemiMixedTypes="0" containsString="0" containsNumber="1" containsInteger="1" minValue="0" maxValue="4206"/>
    </cacheField>
    <cacheField name="oct-23" numFmtId="165">
      <sharedItems containsSemiMixedTypes="0" containsString="0" containsNumber="1" containsInteger="1" minValue="0" maxValue="5262"/>
    </cacheField>
    <cacheField name="nov-23" numFmtId="165">
      <sharedItems containsSemiMixedTypes="0" containsString="0" containsNumber="1" containsInteger="1" minValue="0" maxValue="3146"/>
    </cacheField>
    <cacheField name="dic-23" numFmtId="165">
      <sharedItems containsSemiMixedTypes="0" containsString="0" containsNumber="1" containsInteger="1" minValue="0" maxValue="2802"/>
    </cacheField>
    <cacheField name="ene-24" numFmtId="165">
      <sharedItems containsSemiMixedTypes="0" containsString="0" containsNumber="1" containsInteger="1" minValue="0" maxValue="3185"/>
    </cacheField>
    <cacheField name="feb-24" numFmtId="165">
      <sharedItems containsSemiMixedTypes="0" containsString="0" containsNumber="1" containsInteger="1" minValue="-23" maxValue="2067"/>
    </cacheField>
    <cacheField name="mar-24" numFmtId="165">
      <sharedItems containsSemiMixedTypes="0" containsString="0" containsNumber="1" containsInteger="1" minValue="0" maxValue="2157"/>
    </cacheField>
    <cacheField name="abr-24" numFmtId="165">
      <sharedItems containsSemiMixedTypes="0" containsString="0" containsNumber="1" containsInteger="1" minValue="0" maxValue="2224"/>
    </cacheField>
    <cacheField name="may-24" numFmtId="165">
      <sharedItems containsSemiMixedTypes="0" containsString="0" containsNumber="1" containsInteger="1" minValue="0" maxValue="944"/>
    </cacheField>
    <cacheField name="jun-24" numFmtId="165">
      <sharedItems containsSemiMixedTypes="0" containsString="0" containsNumber="1" containsInteger="1" minValue="0" maxValue="315"/>
    </cacheField>
    <cacheField name="jul-24" numFmtId="165">
      <sharedItems containsSemiMixedTypes="0" containsString="0" containsNumber="1" containsInteger="1" minValue="0" maxValue="190"/>
    </cacheField>
    <cacheField name="ago-24" numFmtId="165">
      <sharedItems containsSemiMixedTypes="0" containsString="0" containsNumber="1" containsInteger="1" minValue="0" maxValue="2005"/>
    </cacheField>
    <cacheField name="sep-24" numFmtId="165">
      <sharedItems containsSemiMixedTypes="0" containsString="0" containsNumber="1" containsInteger="1" minValue="0" maxValue="39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594.513849421295" createdVersion="8" refreshedVersion="8" minRefreshableVersion="3" recordCount="205" xr:uid="{6D0B691F-7B20-40A0-8711-41EAC4811B34}">
  <cacheSource type="worksheet">
    <worksheetSource ref="D1:AH206" sheet="Shipments"/>
  </cacheSource>
  <cacheFields count="36">
    <cacheField name="Canal" numFmtId="0">
      <sharedItems count="4">
        <s v="Distribuidor"/>
        <s v="Ecommerce"/>
        <s v="Mayoristas"/>
        <s v="Supermercados"/>
      </sharedItems>
    </cacheField>
    <cacheField name="Negocio" numFmtId="0">
      <sharedItems/>
    </cacheField>
    <cacheField name="Sub Negocio" numFmtId="0">
      <sharedItems count="2">
        <s v="Mosquito"/>
        <s v="Non Mosquito"/>
      </sharedItems>
    </cacheField>
    <cacheField name="Categoria" numFmtId="0">
      <sharedItems/>
    </cacheField>
    <cacheField name="Sub Categoría" numFmtId="0">
      <sharedItems count="13">
        <s v="Espirales"/>
        <s v="Liquido Electrico"/>
        <s v="Tabletas"/>
        <s v="Repelente Aerosol"/>
        <s v="Repelente Crema"/>
        <s v="Repelente Gel"/>
        <s v="Repelente Spray"/>
        <s v="MMM Aero"/>
        <s v="Cucarachicidas"/>
        <s v="Hormigas"/>
        <s v="Matapulgas"/>
        <s v="Polillas"/>
        <s v="Polillas Continuos"/>
      </sharedItems>
    </cacheField>
    <cacheField name="Marca" numFmtId="0">
      <sharedItems count="4">
        <s v="Raid"/>
        <s v="Fuyi"/>
        <s v="Off!"/>
        <s v="Baygon"/>
      </sharedItems>
    </cacheField>
    <cacheField name="SKU" numFmtId="0">
      <sharedItems/>
    </cacheField>
    <cacheField name="Presentación" numFmtId="0">
      <sharedItems count="9">
        <s v="COIL"/>
        <s v="ELECTRIC LIQUID"/>
        <s v="ELECTRIC MAT"/>
        <s v="AEROSOL"/>
        <s v="LOTION BOTTLE"/>
        <s v="GEL BOTTLE"/>
        <s v="LIQUID PUMP"/>
        <s v="BAIT GEL"/>
        <s v="BAIT STATION"/>
      </sharedItems>
    </cacheField>
    <cacheField name="&amp;" numFmtId="0">
      <sharedItems/>
    </cacheField>
    <cacheField name="jul-22" numFmtId="0">
      <sharedItems containsSemiMixedTypes="0" containsString="0" containsNumber="1" containsInteger="1" minValue="0" maxValue="12396"/>
    </cacheField>
    <cacheField name="ago-22" numFmtId="0">
      <sharedItems containsSemiMixedTypes="0" containsString="0" containsNumber="1" containsInteger="1" minValue="0" maxValue="20592"/>
    </cacheField>
    <cacheField name="sep-22" numFmtId="0">
      <sharedItems containsSemiMixedTypes="0" containsString="0" containsNumber="1" containsInteger="1" minValue="0" maxValue="87612"/>
    </cacheField>
    <cacheField name="oct-22" numFmtId="0">
      <sharedItems containsSemiMixedTypes="0" containsString="0" containsNumber="1" containsInteger="1" minValue="0" maxValue="73584"/>
    </cacheField>
    <cacheField name="nov-22" numFmtId="0">
      <sharedItems containsSemiMixedTypes="0" containsString="0" containsNumber="1" containsInteger="1" minValue="0" maxValue="47532"/>
    </cacheField>
    <cacheField name="dic-22" numFmtId="0">
      <sharedItems containsSemiMixedTypes="0" containsString="0" containsNumber="1" containsInteger="1" minValue="0" maxValue="25800"/>
    </cacheField>
    <cacheField name="ene-23" numFmtId="0">
      <sharedItems containsSemiMixedTypes="0" containsString="0" containsNumber="1" containsInteger="1" minValue="0" maxValue="9960"/>
    </cacheField>
    <cacheField name="feb-23" numFmtId="0">
      <sharedItems containsSemiMixedTypes="0" containsString="0" containsNumber="1" containsInteger="1" minValue="0" maxValue="8844"/>
    </cacheField>
    <cacheField name="mar-23" numFmtId="0">
      <sharedItems containsSemiMixedTypes="0" containsString="0" containsNumber="1" containsInteger="1" minValue="0" maxValue="14796"/>
    </cacheField>
    <cacheField name="abr-23" numFmtId="0">
      <sharedItems containsSemiMixedTypes="0" containsString="0" containsNumber="1" containsInteger="1" minValue="0" maxValue="14004"/>
    </cacheField>
    <cacheField name="may-23" numFmtId="0">
      <sharedItems containsSemiMixedTypes="0" containsString="0" containsNumber="1" containsInteger="1" minValue="0" maxValue="12648"/>
    </cacheField>
    <cacheField name="jun-23" numFmtId="0">
      <sharedItems containsSemiMixedTypes="0" containsString="0" containsNumber="1" containsInteger="1" minValue="0" maxValue="5052"/>
    </cacheField>
    <cacheField name="jul-23" numFmtId="0">
      <sharedItems containsSemiMixedTypes="0" containsString="0" containsNumber="1" containsInteger="1" minValue="0" maxValue="1776"/>
    </cacheField>
    <cacheField name="ago-23" numFmtId="0">
      <sharedItems containsSemiMixedTypes="0" containsString="0" containsNumber="1" containsInteger="1" minValue="0" maxValue="13200"/>
    </cacheField>
    <cacheField name="sep-23" numFmtId="0">
      <sharedItems containsSemiMixedTypes="0" containsString="0" containsNumber="1" containsInteger="1" minValue="0" maxValue="50472"/>
    </cacheField>
    <cacheField name="oct-23" numFmtId="0">
      <sharedItems containsSemiMixedTypes="0" containsString="0" containsNumber="1" containsInteger="1" minValue="0" maxValue="63144"/>
    </cacheField>
    <cacheField name="nov-23" numFmtId="0">
      <sharedItems containsSemiMixedTypes="0" containsString="0" containsNumber="1" containsInteger="1" minValue="0" maxValue="37752"/>
    </cacheField>
    <cacheField name="dic-23" numFmtId="0">
      <sharedItems containsSemiMixedTypes="0" containsString="0" containsNumber="1" containsInteger="1" minValue="0" maxValue="33624"/>
    </cacheField>
    <cacheField name="ene-24" numFmtId="0">
      <sharedItems containsSemiMixedTypes="0" containsString="0" containsNumber="1" containsInteger="1" minValue="0" maxValue="38220"/>
    </cacheField>
    <cacheField name="feb-24" numFmtId="0">
      <sharedItems containsSemiMixedTypes="0" containsString="0" containsNumber="1" containsInteger="1" minValue="-552" maxValue="24804"/>
    </cacheField>
    <cacheField name="mar-24" numFmtId="0">
      <sharedItems containsSemiMixedTypes="0" containsString="0" containsNumber="1" containsInteger="1" minValue="0" maxValue="25884"/>
    </cacheField>
    <cacheField name="abr-24" numFmtId="0">
      <sharedItems containsSemiMixedTypes="0" containsString="0" containsNumber="1" containsInteger="1" minValue="0" maxValue="26688"/>
    </cacheField>
    <cacheField name="may-24" numFmtId="0">
      <sharedItems containsSemiMixedTypes="0" containsString="0" containsNumber="1" containsInteger="1" minValue="0" maxValue="11328"/>
    </cacheField>
    <cacheField name="jun-24" numFmtId="0">
      <sharedItems containsSemiMixedTypes="0" containsString="0" containsNumber="1" containsInteger="1" minValue="0" maxValue="3780"/>
    </cacheField>
    <cacheField name="jul-24" numFmtId="0">
      <sharedItems containsSemiMixedTypes="0" containsString="0" containsNumber="1" containsInteger="1" minValue="0" maxValue="2592"/>
    </cacheField>
    <cacheField name="ago-24" numFmtId="0">
      <sharedItems containsSemiMixedTypes="0" containsString="0" containsNumber="1" containsInteger="1" minValue="0" maxValue="24060"/>
    </cacheField>
    <cacheField name="sep-24" numFmtId="0">
      <sharedItems containsSemiMixedTypes="0" containsString="0" containsNumber="1" containsInteger="1" minValue="0" maxValue="47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595.496514120372" createdVersion="8" refreshedVersion="8" minRefreshableVersion="3" recordCount="1026" xr:uid="{F3B3D36F-9458-4B55-B160-B9A504F66F97}">
  <cacheSource type="worksheet">
    <worksheetSource ref="A1:AT1027" sheet="Dataset"/>
  </cacheSource>
  <cacheFields count="46">
    <cacheField name="Markets" numFmtId="0">
      <sharedItems count="6">
        <s v="T.URUGUAY TRADICIONALES"/>
        <s v="T.URUGUAY SUPERMERCADOS"/>
        <s v="T.URUGUAY KIOSCOS+MINIMERCADOS"/>
        <s v="T.URUGUAY INCT"/>
        <s v="T.URUGUAY INC"/>
        <s v="T.URUGUAY AUTOSERVICIOS"/>
      </sharedItems>
    </cacheField>
    <cacheField name="PEST CONTROL" numFmtId="0">
      <sharedItems/>
    </cacheField>
    <cacheField name="MANUFACTURER" numFmtId="0">
      <sharedItems/>
    </cacheField>
    <cacheField name="CATEGORY" numFmtId="0">
      <sharedItems count="5">
        <s v="PERSONAL REPELLENT"/>
        <s v="CRAWLING INSECT KILLER"/>
        <s v="FLYING INSECT KILLER"/>
        <s v="INDOOR PROTECTION"/>
        <s v="MULTI INSECT KILLER"/>
      </sharedItems>
    </cacheField>
    <cacheField name="SEGMENT" numFmtId="0">
      <sharedItems count="7">
        <s v="MOSQUITO"/>
        <s v="ANT &amp; ROACH"/>
        <s v="FLEA &amp; TICK"/>
        <s v="MULTI CRAWLING"/>
        <s v="OTHER CRAWLING"/>
        <s v="MOTH FABRIC"/>
        <s v="OTHER FLYING &amp; CRAWLING"/>
      </sharedItems>
    </cacheField>
    <cacheField name="BRAND" numFmtId="0">
      <sharedItems count="4">
        <s v="FUYI"/>
        <s v="OFF!"/>
        <s v="BAYGON"/>
        <s v="RAID"/>
      </sharedItems>
    </cacheField>
    <cacheField name="FORM" numFmtId="0">
      <sharedItems count="13">
        <s v="AEROSOL"/>
        <s v="LIQUID BOTTLE"/>
        <s v="LIQUID PUMP"/>
        <s v="LOTION BOTTLE"/>
        <s v="BAIT GEL"/>
        <s v="BAIT STATION"/>
        <s v="PAPER / CARD"/>
        <s v="CAGE"/>
        <s v="COIL"/>
        <s v="ELECTRIC LIQUID"/>
        <s v="ELECTRIC MAT"/>
        <s v="AUTOMATIC SPRAY"/>
        <s v="GEL BOTTLE"/>
      </sharedItems>
    </cacheField>
    <cacheField name="Facts" numFmtId="0">
      <sharedItems count="11">
        <s v="Units"/>
        <s v="$"/>
        <s v="(FE) Shr - Product"/>
        <s v="Wghtd Dist Handling"/>
        <s v="Numeric Distribution Handling (C)"/>
        <s v="Stocks Forward Units Shr - Product"/>
        <s v="(UNI)" u="1"/>
        <s v="(UNI) Shr - Product" u="1"/>
        <s v="Stocks (UNI)" u="1"/>
        <s v="(FE)" u="1"/>
        <s v="Units Shr - Product" u="1"/>
      </sharedItems>
    </cacheField>
    <cacheField name="Sep 21 - w/e 22/09/21" numFmtId="0">
      <sharedItems containsSemiMixedTypes="0" containsString="0" containsNumber="1" minValue="0" maxValue="5967736.3990000002"/>
    </cacheField>
    <cacheField name="Oct 21 - w/e 23/10/21" numFmtId="0">
      <sharedItems containsSemiMixedTypes="0" containsString="0" containsNumber="1" minValue="0" maxValue="10259410.861"/>
    </cacheField>
    <cacheField name="Nov 21 - w/e 22/11/21" numFmtId="0">
      <sharedItems containsSemiMixedTypes="0" containsString="0" containsNumber="1" minValue="0" maxValue="15192299.450999999"/>
    </cacheField>
    <cacheField name="Dec 21 - w/e 23/12/21" numFmtId="0">
      <sharedItems containsSemiMixedTypes="0" containsString="0" containsNumber="1" minValue="0" maxValue="19555002.761"/>
    </cacheField>
    <cacheField name="Jan 22 - w/e 23/01/22" numFmtId="0">
      <sharedItems containsSemiMixedTypes="0" containsString="0" containsNumber="1" minValue="0" maxValue="26830410.081999999"/>
    </cacheField>
    <cacheField name="Feb 22 - w/e 20/02/22" numFmtId="0">
      <sharedItems containsSemiMixedTypes="0" containsString="0" containsNumber="1" minValue="0" maxValue="24854982.627999999"/>
    </cacheField>
    <cacheField name="Mar 22 - w/e 23/03/22" numFmtId="0">
      <sharedItems containsSemiMixedTypes="0" containsString="0" containsNumber="1" minValue="0" maxValue="22634851.679000001"/>
    </cacheField>
    <cacheField name="Apr 22 - w/e 22/04/22" numFmtId="0">
      <sharedItems containsSemiMixedTypes="0" containsString="0" containsNumber="1" minValue="0" maxValue="15664316.591"/>
    </cacheField>
    <cacheField name="May 22 - w/e 23/05/22" numFmtId="0">
      <sharedItems containsSemiMixedTypes="0" containsString="0" containsNumber="1" minValue="0" maxValue="9760101.4800000004"/>
    </cacheField>
    <cacheField name="Jun 22 - w/e 22/06/22" numFmtId="0">
      <sharedItems containsSemiMixedTypes="0" containsString="0" containsNumber="1" minValue="0" maxValue="5881135.8229999999"/>
    </cacheField>
    <cacheField name="Jul 22 - w/e 23/07/22" numFmtId="0">
      <sharedItems containsSemiMixedTypes="0" containsString="0" containsNumber="1" minValue="0" maxValue="4679953.8099999996"/>
    </cacheField>
    <cacheField name="Aug 22 - w/e 23/08/22" numFmtId="0">
      <sharedItems containsSemiMixedTypes="0" containsString="0" containsNumber="1" minValue="0" maxValue="4513696.9910000004"/>
    </cacheField>
    <cacheField name="Sep 22 - w/e 22/09/22" numFmtId="0">
      <sharedItems containsSemiMixedTypes="0" containsString="0" containsNumber="1" minValue="0" maxValue="5443681.8959999997"/>
    </cacheField>
    <cacheField name="Oct 22 - w/e 23/10/22" numFmtId="0">
      <sharedItems containsSemiMixedTypes="0" containsString="0" containsNumber="1" minValue="0" maxValue="8326861.3810000001"/>
    </cacheField>
    <cacheField name="Nov 22 - w/e 22/11/22" numFmtId="0">
      <sharedItems containsSemiMixedTypes="0" containsString="0" containsNumber="1" minValue="0" maxValue="15054485.139"/>
    </cacheField>
    <cacheField name="Dec 22 - w/e 23/12/22" numFmtId="0">
      <sharedItems containsSemiMixedTypes="0" containsString="0" containsNumber="1" minValue="0" maxValue="21608311.346999999"/>
    </cacheField>
    <cacheField name="Jan 23 - w/e 23/01/23" numFmtId="0">
      <sharedItems containsSemiMixedTypes="0" containsString="0" containsNumber="1" minValue="0" maxValue="26735988.699000001"/>
    </cacheField>
    <cacheField name="Feb 23 - w/e 20/02/23" numFmtId="0">
      <sharedItems containsSemiMixedTypes="0" containsString="0" containsNumber="1" minValue="0" maxValue="23282207.539999999"/>
    </cacheField>
    <cacheField name="Mar 23 - w/e 23/03/23" numFmtId="0">
      <sharedItems containsSemiMixedTypes="0" containsString="0" containsNumber="1" minValue="0" maxValue="25071943.976"/>
    </cacheField>
    <cacheField name="Apr 23 - w/e 22/04/23" numFmtId="0">
      <sharedItems containsSemiMixedTypes="0" containsString="0" containsNumber="1" minValue="0" maxValue="19482188.390999999"/>
    </cacheField>
    <cacheField name="May 23 - w/e 23/05/23" numFmtId="0">
      <sharedItems containsSemiMixedTypes="0" containsString="0" containsNumber="1" minValue="0" maxValue="14965307.536"/>
    </cacheField>
    <cacheField name="Jun 23 - w/e 22/06/23" numFmtId="0">
      <sharedItems containsSemiMixedTypes="0" containsString="0" containsNumber="1" minValue="0" maxValue="9754708.0460000001"/>
    </cacheField>
    <cacheField name="Jul 23 - w/e 23/07/23" numFmtId="0">
      <sharedItems containsSemiMixedTypes="0" containsString="0" containsNumber="1" minValue="0" maxValue="6975910.0530000003"/>
    </cacheField>
    <cacheField name="Aug 23 - w/e 23/08/23" numFmtId="0">
      <sharedItems containsSemiMixedTypes="0" containsString="0" containsNumber="1" minValue="0" maxValue="6213099.9479999999"/>
    </cacheField>
    <cacheField name="Sep 23 - w/e 22/09/23" numFmtId="0">
      <sharedItems containsSemiMixedTypes="0" containsString="0" containsNumber="1" minValue="0" maxValue="6468949.8590000002"/>
    </cacheField>
    <cacheField name="Oct 23 - w/e 23/10/23" numFmtId="0">
      <sharedItems containsSemiMixedTypes="0" containsString="0" containsNumber="1" minValue="0" maxValue="10107756.426999999"/>
    </cacheField>
    <cacheField name="Nov 23 - w/e 22/11/23" numFmtId="0">
      <sharedItems containsSemiMixedTypes="0" containsString="0" containsNumber="1" minValue="0" maxValue="14261253.607000001"/>
    </cacheField>
    <cacheField name="Dec 23 - w/e 23/12/23" numFmtId="0">
      <sharedItems containsSemiMixedTypes="0" containsString="0" containsNumber="1" minValue="0" maxValue="24678261.028000001"/>
    </cacheField>
    <cacheField name="Jan 24 - w/e 23/01/24" numFmtId="0">
      <sharedItems containsSemiMixedTypes="0" containsString="0" containsNumber="1" minValue="0" maxValue="32783621.776000001"/>
    </cacheField>
    <cacheField name="Feb 24 - w/e 21/02/24" numFmtId="0">
      <sharedItems containsSemiMixedTypes="0" containsString="0" containsNumber="1" minValue="0" maxValue="28721066.377"/>
    </cacheField>
    <cacheField name="Mar 24 - w/e 23/03/24" numFmtId="0">
      <sharedItems containsSemiMixedTypes="0" containsString="0" containsNumber="1" minValue="0" maxValue="38778566.816"/>
    </cacheField>
    <cacheField name="Apr 24 - w/e 22/04/24" numFmtId="0">
      <sharedItems containsSemiMixedTypes="0" containsString="0" containsNumber="1" minValue="0" maxValue="54459036.535999998"/>
    </cacheField>
    <cacheField name="May 24 - w/e 23/05/24" numFmtId="0">
      <sharedItems containsSemiMixedTypes="0" containsString="0" containsNumber="1" minValue="0" maxValue="19373287.688999999"/>
    </cacheField>
    <cacheField name="Jun 24 - w/e 22/06/24" numFmtId="0">
      <sharedItems containsSemiMixedTypes="0" containsString="0" containsNumber="1" minValue="0" maxValue="11120230.879000001"/>
    </cacheField>
    <cacheField name="Jul 24 - w/e 23/07/24" numFmtId="0">
      <sharedItems containsSemiMixedTypes="0" containsString="0" containsNumber="1" minValue="0" maxValue="7694005.6780000003"/>
    </cacheField>
    <cacheField name="Aug 24 - w/e 23/08/24" numFmtId="0">
      <sharedItems containsSemiMixedTypes="0" containsString="0" containsNumber="1" minValue="0" maxValue="4807527.2960000001"/>
    </cacheField>
    <cacheField name="Sep 24 - w/e 22/09/24" numFmtId="0">
      <sharedItems containsSemiMixedTypes="0" containsString="0" containsNumber="1" minValue="0" maxValue="4788290.3090000004"/>
    </cacheField>
    <cacheField name="Sep 24 - w/e 22/09/242" numFmtId="0">
      <sharedItems containsSemiMixedTypes="0" containsString="0" containsNumber="1" minValue="0" maxValue="4788290.309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609.712128587962" createdVersion="8" refreshedVersion="8" minRefreshableVersion="3" recordCount="342" xr:uid="{DB2EDB75-D153-4365-8B5A-C6D0BA48620A}">
  <cacheSource type="worksheet">
    <worksheetSource ref="A1:AT172" sheet="Inventario"/>
  </cacheSource>
  <cacheFields count="46">
    <cacheField name="Markets" numFmtId="0">
      <sharedItems count="6">
        <s v="T.URUGUAY TRADICIONALES"/>
        <s v="T.URUGUAY SUPERMERCADOS"/>
        <s v="T.URUGUAY KIOSCOS+MINIMERCADOS"/>
        <s v="T.URUGUAY INCT"/>
        <s v="T.URUGUAY INC"/>
        <s v="T.URUGUAY AUTOSERVICIOS"/>
      </sharedItems>
    </cacheField>
    <cacheField name="PEST CONTROL" numFmtId="0">
      <sharedItems/>
    </cacheField>
    <cacheField name="MANUFACTURER" numFmtId="0">
      <sharedItems/>
    </cacheField>
    <cacheField name="CATEGORY" numFmtId="0">
      <sharedItems count="5">
        <s v="PERSONAL REPELLENT"/>
        <s v="CRAWLING INSECT KILLER"/>
        <s v="FLYING INSECT KILLER"/>
        <s v="INDOOR PROTECTION"/>
        <s v="MULTI INSECT KILLER"/>
      </sharedItems>
    </cacheField>
    <cacheField name="SEGMENT" numFmtId="0">
      <sharedItems count="7">
        <s v="MOSQUITO"/>
        <s v="ANT &amp; ROACH"/>
        <s v="FLEA &amp; TICK"/>
        <s v="MULTI CRAWLING"/>
        <s v="OTHER CRAWLING"/>
        <s v="MOTH FABRIC"/>
        <s v="OTHER FLYING &amp; CRAWLING"/>
      </sharedItems>
    </cacheField>
    <cacheField name="BRAND" numFmtId="0">
      <sharedItems count="4">
        <s v="FUYI"/>
        <s v="OFF!"/>
        <s v="BAYGON"/>
        <s v="RAID"/>
      </sharedItems>
    </cacheField>
    <cacheField name="FORM" numFmtId="0">
      <sharedItems count="13">
        <s v="AEROSOL"/>
        <s v="LIQUID BOTTLE"/>
        <s v="LIQUID PUMP"/>
        <s v="LOTION BOTTLE"/>
        <s v="BAIT GEL"/>
        <s v="BAIT STATION"/>
        <s v="PAPER / CARD"/>
        <s v="CAGE"/>
        <s v="COIL"/>
        <s v="ELECTRIC LIQUID"/>
        <s v="ELECTRIC MAT"/>
        <s v="AUTOMATIC SPRAY"/>
        <s v="GEL BOTTLE"/>
      </sharedItems>
    </cacheField>
    <cacheField name="Facts" numFmtId="0">
      <sharedItems count="2">
        <s v="Stocks Forward Units"/>
        <s v="Numeric Out of Sales Dist (C)"/>
      </sharedItems>
    </cacheField>
    <cacheField name="Sep 21 - w/e 22/09/21" numFmtId="0">
      <sharedItems containsString="0" containsBlank="1" containsNumber="1" minValue="0" maxValue="35210.76"/>
    </cacheField>
    <cacheField name="Oct 21 - w/e 23/10/21" numFmtId="0">
      <sharedItems containsString="0" containsBlank="1" containsNumber="1" minValue="0" maxValue="41130.828999999998"/>
    </cacheField>
    <cacheField name="Nov 21 - w/e 22/11/21" numFmtId="0">
      <sharedItems containsString="0" containsBlank="1" containsNumber="1" minValue="0" maxValue="44135.131000000001"/>
    </cacheField>
    <cacheField name="Dec 21 - w/e 23/12/21" numFmtId="0">
      <sharedItems containsString="0" containsBlank="1" containsNumber="1" minValue="0" maxValue="50374.046000000002"/>
    </cacheField>
    <cacheField name="Jan 22 - w/e 23/01/22" numFmtId="0">
      <sharedItems containsString="0" containsBlank="1" containsNumber="1" minValue="0" maxValue="45851.285000000003"/>
    </cacheField>
    <cacheField name="Feb 22 - w/e 20/02/22" numFmtId="0">
      <sharedItems containsString="0" containsBlank="1" containsNumber="1" minValue="0" maxValue="43750.586000000003"/>
    </cacheField>
    <cacheField name="Mar 22 - w/e 23/03/22" numFmtId="0">
      <sharedItems containsString="0" containsBlank="1" containsNumber="1" minValue="0" maxValue="45641.699000000001"/>
    </cacheField>
    <cacheField name="Apr 22 - w/e 22/04/22" numFmtId="0">
      <sharedItems containsString="0" containsBlank="1" containsNumber="1" minValue="0" maxValue="39127.387999999999"/>
    </cacheField>
    <cacheField name="May 22 - w/e 23/05/22" numFmtId="0">
      <sharedItems containsString="0" containsBlank="1" containsNumber="1" minValue="0" maxValue="37521.762000000002"/>
    </cacheField>
    <cacheField name="Jun 22 - w/e 22/06/22" numFmtId="0">
      <sharedItems containsString="0" containsBlank="1" containsNumber="1" minValue="0" maxValue="38600.249000000003"/>
    </cacheField>
    <cacheField name="Jul 22 - w/e 23/07/22" numFmtId="0">
      <sharedItems containsString="0" containsBlank="1" containsNumber="1" minValue="0" maxValue="37513.356"/>
    </cacheField>
    <cacheField name="Aug 22 - w/e 23/08/22" numFmtId="0">
      <sharedItems containsString="0" containsBlank="1" containsNumber="1" minValue="0" maxValue="36976.85"/>
    </cacheField>
    <cacheField name="Sep 22 - w/e 22/09/22" numFmtId="0">
      <sharedItems containsString="0" containsBlank="1" containsNumber="1" minValue="0" maxValue="41602.857000000004"/>
    </cacheField>
    <cacheField name="Oct 22 - w/e 23/10/22" numFmtId="0">
      <sharedItems containsString="0" containsBlank="1" containsNumber="1" minValue="0" maxValue="45132.328000000001"/>
    </cacheField>
    <cacheField name="Nov 22 - w/e 22/11/22" numFmtId="0">
      <sharedItems containsString="0" containsBlank="1" containsNumber="1" minValue="0" maxValue="51269.37"/>
    </cacheField>
    <cacheField name="Dec 22 - w/e 23/12/22" numFmtId="0">
      <sharedItems containsString="0" containsBlank="1" containsNumber="1" minValue="0" maxValue="55097.718999999997"/>
    </cacheField>
    <cacheField name="Jan 23 - w/e 23/01/23" numFmtId="0">
      <sharedItems containsString="0" containsBlank="1" containsNumber="1" minValue="0" maxValue="49816.612000000001"/>
    </cacheField>
    <cacheField name="Feb 23 - w/e 20/02/23" numFmtId="0">
      <sharedItems containsString="0" containsBlank="1" containsNumber="1" minValue="0" maxValue="45473.322"/>
    </cacheField>
    <cacheField name="Mar 23 - w/e 23/03/23" numFmtId="0">
      <sharedItems containsString="0" containsBlank="1" containsNumber="1" minValue="0" maxValue="44047.881999999998"/>
    </cacheField>
    <cacheField name="Apr 23 - w/e 22/04/23" numFmtId="0">
      <sharedItems containsString="0" containsBlank="1" containsNumber="1" minValue="0" maxValue="40474.955999999998"/>
    </cacheField>
    <cacheField name="May 23 - w/e 23/05/23" numFmtId="0">
      <sharedItems containsString="0" containsBlank="1" containsNumber="1" minValue="0" maxValue="37879.303999999996"/>
    </cacheField>
    <cacheField name="Jun 23 - w/e 22/06/23" numFmtId="0">
      <sharedItems containsString="0" containsBlank="1" containsNumber="1" minValue="0" maxValue="36947.902999999998"/>
    </cacheField>
    <cacheField name="Jul 23 - w/e 23/07/23" numFmtId="0">
      <sharedItems containsString="0" containsBlank="1" containsNumber="1" minValue="0" maxValue="37232.328999999998"/>
    </cacheField>
    <cacheField name="Aug 23 - w/e 23/08/23" numFmtId="0">
      <sharedItems containsString="0" containsBlank="1" containsNumber="1" minValue="0" maxValue="36500.550999999999"/>
    </cacheField>
    <cacheField name="Sep 23 - w/e 22/09/23" numFmtId="0">
      <sharedItems containsString="0" containsBlank="1" containsNumber="1" minValue="0" maxValue="37725.321000000004"/>
    </cacheField>
    <cacheField name="Oct 23 - w/e 23/10/23" numFmtId="0">
      <sharedItems containsString="0" containsBlank="1" containsNumber="1" minValue="0" maxValue="44988.631999999998"/>
    </cacheField>
    <cacheField name="Nov 23 - w/e 22/11/23" numFmtId="0">
      <sharedItems containsString="0" containsBlank="1" containsNumber="1" minValue="0" maxValue="53926.945"/>
    </cacheField>
    <cacheField name="Dec 23 - w/e 23/12/23" numFmtId="0">
      <sharedItems containsString="0" containsBlank="1" containsNumber="1" minValue="0" maxValue="50040.542000000001"/>
    </cacheField>
    <cacheField name="Jan 24 - w/e 23/01/24" numFmtId="0">
      <sharedItems containsString="0" containsBlank="1" containsNumber="1" minValue="0" maxValue="54952.398000000001"/>
    </cacheField>
    <cacheField name="Feb 24 - w/e 21/02/24" numFmtId="0">
      <sharedItems containsString="0" containsBlank="1" containsNumber="1" minValue="0" maxValue="47556.381999999998"/>
    </cacheField>
    <cacheField name="Mar 24 - w/e 23/03/24" numFmtId="0">
      <sharedItems containsString="0" containsBlank="1" containsNumber="1" minValue="0" maxValue="47297.862999999998"/>
    </cacheField>
    <cacheField name="Apr 24 - w/e 22/04/24" numFmtId="0">
      <sharedItems containsString="0" containsBlank="1" containsNumber="1" minValue="0" maxValue="41825.464999999997"/>
    </cacheField>
    <cacheField name="May 24 - w/e 23/05/24" numFmtId="0">
      <sharedItems containsString="0" containsBlank="1" containsNumber="1" minValue="0" maxValue="40052.036999999997"/>
    </cacheField>
    <cacheField name="Jun 24 - w/e 22/06/24" numFmtId="0">
      <sharedItems containsString="0" containsBlank="1" containsNumber="1" minValue="0" maxValue="39659.368999999999"/>
    </cacheField>
    <cacheField name="Jul 24 - w/e 23/07/24" numFmtId="0">
      <sharedItems containsString="0" containsBlank="1" containsNumber="1" minValue="0" maxValue="37118.196000000004"/>
    </cacheField>
    <cacheField name="Aug 24 - w/e 23/08/24" numFmtId="0">
      <sharedItems containsString="0" containsBlank="1" containsNumber="1" minValue="0" maxValue="38903.173999999999"/>
    </cacheField>
    <cacheField name="Sep 24 - w/e 22/09/24" numFmtId="0">
      <sharedItems containsString="0" containsBlank="1" containsNumber="1" minValue="0" maxValue="37259.069000000003"/>
    </cacheField>
    <cacheField name="Oct 24 - w/e 23/10/24" numFmtId="0">
      <sharedItems containsString="0" containsBlank="1" containsNumber="1" minValue="0" maxValue="39980.8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s v="Pest Control"/>
    <x v="0"/>
    <s v="CAMA"/>
    <x v="0"/>
    <x v="0"/>
    <s v="Espirales Lavanda"/>
    <n v="24"/>
    <n v="0"/>
    <n v="1"/>
    <n v="144"/>
    <n v="62"/>
    <n v="173"/>
    <n v="253"/>
    <n v="146"/>
    <n v="86"/>
    <n v="113"/>
    <n v="40"/>
    <n v="0"/>
    <n v="0"/>
    <n v="0"/>
    <n v="17"/>
    <n v="138"/>
    <n v="291"/>
    <n v="185"/>
    <n v="221"/>
    <n v="293"/>
    <n v="184"/>
    <n v="108"/>
    <n v="65"/>
    <n v="0"/>
    <n v="0"/>
    <n v="7"/>
    <n v="3"/>
    <n v="312"/>
  </r>
  <r>
    <x v="0"/>
    <s v="Pest Control"/>
    <x v="0"/>
    <s v="CAMA"/>
    <x v="0"/>
    <x v="0"/>
    <s v="Espirales Original"/>
    <n v="24"/>
    <n v="0"/>
    <n v="1"/>
    <n v="134"/>
    <n v="97"/>
    <n v="168"/>
    <n v="243"/>
    <n v="105"/>
    <n v="62"/>
    <n v="85"/>
    <n v="25"/>
    <n v="13"/>
    <n v="2"/>
    <n v="3"/>
    <n v="0"/>
    <n v="122"/>
    <n v="256"/>
    <n v="147"/>
    <n v="203"/>
    <n v="279"/>
    <n v="93"/>
    <n v="80"/>
    <n v="55"/>
    <n v="132"/>
    <n v="15"/>
    <n v="2"/>
    <n v="2"/>
    <n v="266"/>
  </r>
  <r>
    <x v="0"/>
    <s v="Pest Control"/>
    <x v="0"/>
    <s v="CAMA"/>
    <x v="0"/>
    <x v="0"/>
    <s v="Espirales Sobres"/>
    <m/>
    <n v="0"/>
    <n v="0"/>
    <n v="10"/>
    <n v="14"/>
    <n v="28"/>
    <n v="15"/>
    <n v="5"/>
    <n v="4"/>
    <n v="8"/>
    <n v="1"/>
    <n v="0"/>
    <n v="0"/>
    <n v="0"/>
    <n v="0"/>
    <n v="5"/>
    <n v="8"/>
    <n v="10"/>
    <n v="0"/>
    <n v="19"/>
    <n v="64"/>
    <n v="5"/>
    <n v="35"/>
    <n v="0"/>
    <n v="0"/>
    <n v="0"/>
    <n v="0"/>
    <n v="0"/>
  </r>
  <r>
    <x v="0"/>
    <s v="Pest Control"/>
    <x v="0"/>
    <s v="CAMA"/>
    <x v="1"/>
    <x v="1"/>
    <s v="45N Ap."/>
    <m/>
    <n v="0"/>
    <n v="0"/>
    <n v="36"/>
    <n v="48"/>
    <n v="36"/>
    <n v="51"/>
    <n v="16"/>
    <n v="10"/>
    <n v="7"/>
    <n v="7"/>
    <n v="6"/>
    <n v="0"/>
    <n v="0"/>
    <n v="0"/>
    <n v="48"/>
    <n v="180"/>
    <n v="0"/>
    <n v="49"/>
    <n v="99"/>
    <n v="7"/>
    <n v="5"/>
    <n v="6"/>
    <n v="4"/>
    <n v="0"/>
    <n v="0"/>
    <n v="0"/>
    <n v="101"/>
  </r>
  <r>
    <x v="0"/>
    <s v="Pest Control"/>
    <x v="0"/>
    <s v="CAMA"/>
    <x v="1"/>
    <x v="1"/>
    <s v="45N Rep."/>
    <m/>
    <n v="0"/>
    <n v="1"/>
    <n v="26"/>
    <n v="61"/>
    <n v="74"/>
    <n v="49"/>
    <n v="12"/>
    <n v="18"/>
    <n v="10"/>
    <n v="19"/>
    <n v="14"/>
    <n v="18"/>
    <n v="0"/>
    <n v="5"/>
    <n v="46"/>
    <n v="171"/>
    <n v="107"/>
    <n v="55"/>
    <n v="99"/>
    <n v="39"/>
    <n v="56"/>
    <n v="57"/>
    <n v="8"/>
    <n v="0"/>
    <n v="0"/>
    <n v="3"/>
    <n v="57"/>
  </r>
  <r>
    <x v="0"/>
    <s v="Pest Control"/>
    <x v="0"/>
    <s v="CAMA"/>
    <x v="1"/>
    <x v="0"/>
    <s v="45N Ap."/>
    <n v="6"/>
    <n v="0"/>
    <n v="10"/>
    <n v="54"/>
    <n v="10"/>
    <n v="0"/>
    <n v="0"/>
    <n v="49"/>
    <n v="17"/>
    <n v="0"/>
    <n v="2"/>
    <n v="12"/>
    <n v="13"/>
    <n v="0"/>
    <n v="4"/>
    <n v="44"/>
    <n v="55"/>
    <n v="10"/>
    <n v="84"/>
    <n v="442"/>
    <n v="148"/>
    <n v="32"/>
    <n v="121"/>
    <n v="20"/>
    <n v="2"/>
    <n v="0"/>
    <n v="0"/>
    <n v="25"/>
  </r>
  <r>
    <x v="0"/>
    <s v="Pest Control"/>
    <x v="0"/>
    <s v="CAMA"/>
    <x v="1"/>
    <x v="0"/>
    <s v="45N Rep."/>
    <n v="12"/>
    <n v="0"/>
    <n v="5"/>
    <n v="49"/>
    <n v="223"/>
    <n v="256"/>
    <n v="124"/>
    <n v="136"/>
    <n v="53"/>
    <n v="97"/>
    <n v="39"/>
    <n v="25"/>
    <n v="26"/>
    <n v="13"/>
    <n v="22"/>
    <n v="147"/>
    <n v="320"/>
    <n v="163"/>
    <n v="128"/>
    <n v="214"/>
    <n v="122"/>
    <n v="94"/>
    <n v="175"/>
    <n v="29"/>
    <n v="3"/>
    <n v="0"/>
    <n v="7"/>
    <n v="310"/>
  </r>
  <r>
    <x v="0"/>
    <s v="Pest Control"/>
    <x v="0"/>
    <s v="CAMA"/>
    <x v="1"/>
    <x v="0"/>
    <s v="45N Ap. Promo"/>
    <n v="6"/>
    <n v="0"/>
    <n v="0"/>
    <n v="230"/>
    <n v="684"/>
    <n v="457"/>
    <n v="327"/>
    <n v="218"/>
    <n v="197"/>
    <n v="92"/>
    <n v="17"/>
    <n v="3"/>
    <n v="2"/>
    <n v="0"/>
    <n v="17"/>
    <n v="461"/>
    <n v="645"/>
    <n v="424"/>
    <n v="485"/>
    <n v="0"/>
    <n v="0"/>
    <n v="0"/>
    <n v="0"/>
    <n v="0"/>
    <n v="0"/>
    <n v="0"/>
    <n v="0"/>
    <n v="357"/>
  </r>
  <r>
    <x v="0"/>
    <s v="Pest Control"/>
    <x v="0"/>
    <s v="CAMA"/>
    <x v="1"/>
    <x v="0"/>
    <s v="45N Rep. Bloosoms"/>
    <n v="12"/>
    <n v="0"/>
    <n v="0"/>
    <n v="0"/>
    <n v="0"/>
    <n v="0"/>
    <n v="0"/>
    <n v="0"/>
    <n v="0"/>
    <n v="0"/>
    <n v="0"/>
    <n v="0"/>
    <n v="0"/>
    <n v="0"/>
    <n v="0"/>
    <n v="40"/>
    <n v="55"/>
    <n v="30"/>
    <n v="45"/>
    <n v="24"/>
    <n v="20"/>
    <n v="0"/>
    <n v="30"/>
    <n v="0"/>
    <n v="0"/>
    <n v="0"/>
    <n v="0"/>
    <n v="37"/>
  </r>
  <r>
    <x v="0"/>
    <s v="Pest Control"/>
    <x v="0"/>
    <s v="CAMA"/>
    <x v="1"/>
    <x v="1"/>
    <s v="45 Noches Rep.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</r>
  <r>
    <x v="0"/>
    <s v="Pest Control"/>
    <x v="0"/>
    <s v="CAMA"/>
    <x v="2"/>
    <x v="1"/>
    <s v="Tabletas Rep. x12"/>
    <m/>
    <n v="0"/>
    <n v="3"/>
    <n v="108"/>
    <n v="172"/>
    <n v="339"/>
    <n v="206"/>
    <n v="63"/>
    <n v="76"/>
    <n v="75"/>
    <n v="45"/>
    <n v="42"/>
    <n v="8"/>
    <n v="10"/>
    <n v="6"/>
    <n v="158"/>
    <n v="565"/>
    <n v="356"/>
    <n v="306"/>
    <n v="240"/>
    <n v="182"/>
    <n v="95"/>
    <n v="155"/>
    <n v="28"/>
    <n v="18"/>
    <n v="4"/>
    <n v="5"/>
    <n v="358"/>
  </r>
  <r>
    <x v="0"/>
    <s v="Pest Control"/>
    <x v="0"/>
    <s v="CAMA"/>
    <x v="2"/>
    <x v="1"/>
    <s v="Tabletas Rep. x24"/>
    <m/>
    <n v="0"/>
    <n v="0"/>
    <n v="30"/>
    <n v="78"/>
    <n v="104"/>
    <n v="65"/>
    <n v="25"/>
    <n v="11"/>
    <n v="5"/>
    <n v="8"/>
    <n v="22"/>
    <n v="5"/>
    <n v="0"/>
    <n v="4"/>
    <n v="57"/>
    <n v="115"/>
    <n v="123"/>
    <n v="63"/>
    <n v="43"/>
    <n v="21"/>
    <n v="37"/>
    <n v="18"/>
    <n v="3"/>
    <n v="4"/>
    <n v="3"/>
    <n v="4"/>
    <n v="80"/>
  </r>
  <r>
    <x v="0"/>
    <s v="Pest Control"/>
    <x v="0"/>
    <s v="CAMA"/>
    <x v="2"/>
    <x v="0"/>
    <s v="Tabletas Ap."/>
    <m/>
    <n v="9"/>
    <n v="5"/>
    <n v="137"/>
    <n v="306"/>
    <n v="426"/>
    <n v="251"/>
    <n v="105"/>
    <n v="37"/>
    <n v="39"/>
    <n v="6"/>
    <n v="14"/>
    <n v="1"/>
    <n v="2"/>
    <n v="11"/>
    <n v="152"/>
    <n v="354"/>
    <n v="206"/>
    <n v="268"/>
    <n v="208"/>
    <n v="84"/>
    <n v="52"/>
    <n v="76"/>
    <n v="15"/>
    <n v="5"/>
    <n v="0"/>
    <n v="0"/>
    <n v="217"/>
  </r>
  <r>
    <x v="0"/>
    <s v="Pest Control"/>
    <x v="0"/>
    <s v="CAMA"/>
    <x v="2"/>
    <x v="0"/>
    <s v="Tabletas Doble Accion Rep. x24"/>
    <m/>
    <n v="5"/>
    <n v="2"/>
    <n v="51"/>
    <n v="115"/>
    <n v="83"/>
    <n v="109"/>
    <n v="13"/>
    <n v="18"/>
    <n v="31"/>
    <n v="11"/>
    <n v="26"/>
    <n v="7"/>
    <n v="3"/>
    <n v="5"/>
    <n v="91"/>
    <n v="135"/>
    <n v="92"/>
    <n v="43"/>
    <n v="72"/>
    <n v="19"/>
    <n v="16"/>
    <n v="49"/>
    <n v="3"/>
    <n v="2"/>
    <n v="2"/>
    <n v="2"/>
    <n v="99"/>
  </r>
  <r>
    <x v="0"/>
    <s v="Pest Control"/>
    <x v="0"/>
    <s v="CAMA"/>
    <x v="2"/>
    <x v="0"/>
    <s v="Tabletas Rep. x12"/>
    <m/>
    <n v="0"/>
    <n v="0"/>
    <n v="228"/>
    <n v="517"/>
    <n v="196"/>
    <n v="236"/>
    <n v="60"/>
    <n v="51"/>
    <n v="88"/>
    <n v="52"/>
    <n v="74"/>
    <n v="16"/>
    <n v="8"/>
    <n v="14"/>
    <n v="264"/>
    <n v="357"/>
    <n v="272"/>
    <n v="233"/>
    <n v="347"/>
    <n v="117"/>
    <n v="35"/>
    <n v="107"/>
    <n v="32"/>
    <n v="10"/>
    <n v="5"/>
    <n v="4"/>
    <n v="353"/>
  </r>
  <r>
    <x v="0"/>
    <s v="Pest Control"/>
    <x v="0"/>
    <s v="CAMA"/>
    <x v="2"/>
    <x v="0"/>
    <s v="Tabletas Rep. x72"/>
    <m/>
    <n v="0"/>
    <n v="1"/>
    <n v="33"/>
    <n v="41"/>
    <n v="38"/>
    <n v="33"/>
    <n v="29"/>
    <n v="9"/>
    <n v="10"/>
    <n v="7"/>
    <n v="5"/>
    <n v="10"/>
    <n v="0"/>
    <n v="0"/>
    <n v="36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3"/>
    <x v="1"/>
    <s v="Repelente Aero 165"/>
    <m/>
    <n v="0"/>
    <n v="1"/>
    <n v="138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3"/>
    <x v="1"/>
    <s v="Repelente Aero 170"/>
    <m/>
    <n v="0"/>
    <n v="0"/>
    <n v="0"/>
    <n v="142"/>
    <n v="213"/>
    <n v="235"/>
    <n v="112"/>
    <n v="110"/>
    <n v="111"/>
    <n v="66"/>
    <n v="0"/>
    <n v="6"/>
    <n v="0"/>
    <n v="3"/>
    <n v="53"/>
    <n v="447"/>
    <n v="514"/>
    <n v="295"/>
    <n v="1136"/>
    <n v="638"/>
    <n v="15"/>
    <n v="1050"/>
    <n v="324"/>
    <n v="50"/>
    <n v="14"/>
    <n v="41"/>
    <n v="574"/>
  </r>
  <r>
    <x v="0"/>
    <s v="Pest Control"/>
    <x v="0"/>
    <s v="CAMP"/>
    <x v="3"/>
    <x v="2"/>
    <s v="Extra Dur. Aero 170"/>
    <m/>
    <n v="0"/>
    <n v="2"/>
    <n v="112"/>
    <n v="184"/>
    <n v="183"/>
    <n v="382"/>
    <n v="110"/>
    <n v="21"/>
    <n v="53"/>
    <n v="29"/>
    <n v="2"/>
    <n v="0"/>
    <n v="0"/>
    <n v="1"/>
    <n v="83"/>
    <n v="151"/>
    <n v="267"/>
    <n v="422"/>
    <n v="1045"/>
    <n v="282"/>
    <n v="429"/>
    <n v="775"/>
    <n v="0"/>
    <n v="47"/>
    <n v="42"/>
    <n v="21"/>
    <n v="415"/>
  </r>
  <r>
    <x v="0"/>
    <s v="Pest Control"/>
    <x v="0"/>
    <s v="CAMP"/>
    <x v="3"/>
    <x v="2"/>
    <s v="Extra Dur. Aero BP 290"/>
    <m/>
    <n v="0"/>
    <n v="0"/>
    <n v="17"/>
    <n v="15"/>
    <n v="33"/>
    <n v="25"/>
    <n v="10"/>
    <n v="6"/>
    <n v="7"/>
    <n v="0"/>
    <n v="1"/>
    <n v="0"/>
    <n v="0"/>
    <n v="0"/>
    <n v="1"/>
    <n v="39"/>
    <n v="27"/>
    <n v="5"/>
    <n v="66"/>
    <n v="50"/>
    <n v="0"/>
    <n v="0"/>
    <n v="0"/>
    <n v="0"/>
    <n v="7"/>
    <n v="0"/>
    <n v="47"/>
  </r>
  <r>
    <x v="0"/>
    <s v="Pest Control"/>
    <x v="0"/>
    <s v="CAMP"/>
    <x v="3"/>
    <x v="2"/>
    <s v="Family Aero 170"/>
    <m/>
    <n v="0"/>
    <n v="0"/>
    <n v="383"/>
    <n v="497"/>
    <n v="326"/>
    <n v="585"/>
    <n v="167"/>
    <n v="176"/>
    <n v="135"/>
    <n v="90"/>
    <n v="23"/>
    <n v="0"/>
    <n v="1"/>
    <n v="0"/>
    <n v="283"/>
    <n v="528"/>
    <n v="759"/>
    <n v="637"/>
    <n v="2744"/>
    <n v="837"/>
    <n v="954"/>
    <n v="1478"/>
    <n v="375"/>
    <n v="111"/>
    <n v="47"/>
    <n v="93"/>
    <n v="942"/>
  </r>
  <r>
    <x v="0"/>
    <s v="Pest Control"/>
    <x v="0"/>
    <s v="CAMP"/>
    <x v="3"/>
    <x v="2"/>
    <s v="Family Aero BP 290"/>
    <m/>
    <n v="0"/>
    <n v="0"/>
    <n v="25"/>
    <n v="31"/>
    <n v="93"/>
    <n v="14"/>
    <n v="14"/>
    <n v="5"/>
    <n v="16"/>
    <n v="5"/>
    <n v="0"/>
    <n v="0"/>
    <n v="0"/>
    <n v="0"/>
    <n v="5"/>
    <n v="100"/>
    <n v="61"/>
    <n v="30"/>
    <n v="116"/>
    <n v="76"/>
    <n v="0"/>
    <n v="0"/>
    <n v="0"/>
    <n v="0"/>
    <n v="15"/>
    <n v="0"/>
    <n v="47"/>
  </r>
  <r>
    <x v="0"/>
    <s v="Pest Control"/>
    <x v="0"/>
    <s v="CAMP"/>
    <x v="3"/>
    <x v="2"/>
    <s v="Family S&amp;D Aero"/>
    <m/>
    <n v="0"/>
    <n v="0"/>
    <n v="5"/>
    <n v="6"/>
    <n v="3"/>
    <n v="8"/>
    <n v="14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3"/>
    <x v="2"/>
    <s v="Invisible Aero Everyday"/>
    <m/>
    <n v="0"/>
    <n v="0"/>
    <n v="6"/>
    <n v="1"/>
    <n v="3"/>
    <n v="10"/>
    <n v="1"/>
    <n v="2"/>
    <n v="0"/>
    <n v="0"/>
    <n v="0"/>
    <n v="0"/>
    <n v="0"/>
    <n v="0"/>
    <n v="2"/>
    <n v="20"/>
    <n v="27"/>
    <n v="1"/>
    <n v="5"/>
    <n v="0"/>
    <n v="0"/>
    <n v="0"/>
    <n v="0"/>
    <n v="0"/>
    <n v="0"/>
    <n v="0"/>
    <n v="25"/>
  </r>
  <r>
    <x v="0"/>
    <s v="Pest Control"/>
    <x v="0"/>
    <s v="CAMP"/>
    <x v="4"/>
    <x v="2"/>
    <s v="Crema Extra Duracion 100g"/>
    <m/>
    <n v="0"/>
    <n v="0"/>
    <n v="0"/>
    <n v="0"/>
    <n v="0"/>
    <n v="7"/>
    <n v="2"/>
    <n v="1"/>
    <n v="1"/>
    <n v="0"/>
    <n v="1"/>
    <n v="0"/>
    <n v="0"/>
    <n v="0"/>
    <n v="3"/>
    <n v="36"/>
    <n v="42"/>
    <n v="10"/>
    <n v="37"/>
    <n v="14"/>
    <n v="21"/>
    <n v="17"/>
    <n v="3"/>
    <n v="0"/>
    <n v="0"/>
    <n v="0"/>
    <n v="0"/>
  </r>
  <r>
    <x v="0"/>
    <s v="Pest Control"/>
    <x v="0"/>
    <s v="CAMP"/>
    <x v="4"/>
    <x v="2"/>
    <s v="Crema Extra Duracion 90g"/>
    <m/>
    <n v="0"/>
    <n v="0"/>
    <n v="9"/>
    <n v="17"/>
    <n v="10"/>
    <n v="3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4"/>
    <x v="2"/>
    <s v="Family Crema 196g"/>
    <m/>
    <n v="0"/>
    <n v="0"/>
    <n v="0"/>
    <n v="0"/>
    <n v="75"/>
    <n v="76"/>
    <n v="51"/>
    <n v="17"/>
    <n v="40"/>
    <n v="5"/>
    <n v="7"/>
    <n v="0"/>
    <n v="0"/>
    <n v="0"/>
    <n v="42"/>
    <n v="86"/>
    <n v="77"/>
    <n v="62"/>
    <n v="236"/>
    <n v="65"/>
    <n v="118"/>
    <n v="272"/>
    <n v="6"/>
    <n v="4"/>
    <n v="0"/>
    <n v="0"/>
    <n v="124"/>
  </r>
  <r>
    <x v="0"/>
    <s v="Pest Control"/>
    <x v="0"/>
    <s v="CAMP"/>
    <x v="4"/>
    <x v="2"/>
    <s v="Family Crema 200g"/>
    <m/>
    <n v="0"/>
    <n v="0"/>
    <n v="53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4"/>
    <x v="2"/>
    <s v="Family Crema 60g"/>
    <m/>
    <n v="10"/>
    <n v="0"/>
    <n v="94"/>
    <n v="141"/>
    <n v="208"/>
    <n v="211"/>
    <n v="105"/>
    <n v="53"/>
    <n v="81"/>
    <n v="14"/>
    <n v="3"/>
    <n v="0"/>
    <n v="0"/>
    <n v="5"/>
    <n v="119"/>
    <n v="240"/>
    <n v="218"/>
    <n v="149"/>
    <n v="358"/>
    <n v="360"/>
    <n v="289"/>
    <n v="120"/>
    <n v="177"/>
    <n v="5"/>
    <n v="2"/>
    <n v="25"/>
    <n v="565"/>
  </r>
  <r>
    <x v="0"/>
    <s v="Pest Control"/>
    <x v="0"/>
    <s v="CAMP"/>
    <x v="4"/>
    <x v="2"/>
    <s v="Kids Crema 100g"/>
    <m/>
    <n v="0"/>
    <n v="0"/>
    <n v="0"/>
    <n v="17"/>
    <n v="56"/>
    <n v="34"/>
    <n v="16"/>
    <n v="4"/>
    <n v="5"/>
    <n v="2"/>
    <n v="0"/>
    <n v="0"/>
    <n v="0"/>
    <n v="0"/>
    <n v="14"/>
    <n v="72"/>
    <n v="49"/>
    <n v="12"/>
    <n v="131"/>
    <n v="33"/>
    <n v="36"/>
    <n v="37"/>
    <n v="0"/>
    <n v="0"/>
    <n v="4"/>
    <n v="10"/>
    <n v="56"/>
  </r>
  <r>
    <x v="0"/>
    <s v="Pest Control"/>
    <x v="0"/>
    <s v="CAMP"/>
    <x v="4"/>
    <x v="2"/>
    <s v="Kids Crema 90g"/>
    <m/>
    <n v="0"/>
    <n v="1"/>
    <n v="19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4"/>
    <x v="2"/>
    <s v="Family Crema 60g Fundita"/>
    <m/>
    <n v="0"/>
    <n v="0"/>
    <n v="0"/>
    <n v="0"/>
    <n v="0"/>
    <n v="0"/>
    <n v="0"/>
    <n v="0"/>
    <n v="3"/>
    <n v="0"/>
    <n v="0"/>
    <n v="0"/>
    <n v="0"/>
    <n v="0"/>
    <n v="3"/>
    <n v="40"/>
    <n v="35"/>
    <n v="0"/>
    <n v="0"/>
    <n v="0"/>
    <n v="0"/>
    <n v="0"/>
    <n v="0"/>
    <n v="0"/>
    <n v="0"/>
    <n v="0"/>
    <n v="0"/>
  </r>
  <r>
    <x v="0"/>
    <s v="Pest Control"/>
    <x v="0"/>
    <s v="CAMP"/>
    <x v="5"/>
    <x v="2"/>
    <s v="Defense Gel"/>
    <m/>
    <n v="0"/>
    <n v="0"/>
    <n v="2"/>
    <n v="5"/>
    <n v="12"/>
    <n v="13"/>
    <n v="0"/>
    <n v="2"/>
    <n v="2"/>
    <n v="2"/>
    <n v="0"/>
    <n v="0"/>
    <n v="0"/>
    <n v="0"/>
    <n v="3"/>
    <n v="13"/>
    <n v="2"/>
    <n v="6"/>
    <n v="19"/>
    <n v="5"/>
    <n v="12"/>
    <n v="18"/>
    <n v="0"/>
    <n v="0"/>
    <n v="0"/>
    <n v="0"/>
    <n v="5"/>
  </r>
  <r>
    <x v="0"/>
    <s v="Pest Control"/>
    <x v="0"/>
    <s v="CAMP"/>
    <x v="6"/>
    <x v="2"/>
    <s v="Defense Spray"/>
    <m/>
    <n v="0"/>
    <n v="0"/>
    <n v="0"/>
    <n v="4"/>
    <n v="12"/>
    <n v="11"/>
    <n v="1"/>
    <n v="1"/>
    <n v="1"/>
    <n v="0"/>
    <n v="0"/>
    <n v="0"/>
    <n v="0"/>
    <n v="0"/>
    <n v="3"/>
    <n v="19"/>
    <n v="4"/>
    <n v="6"/>
    <n v="20"/>
    <n v="0"/>
    <n v="8"/>
    <n v="18"/>
    <n v="3"/>
    <n v="0"/>
    <n v="0"/>
    <n v="0"/>
    <n v="7"/>
  </r>
  <r>
    <x v="0"/>
    <s v="Pest Control"/>
    <x v="0"/>
    <s v="CAMP"/>
    <x v="6"/>
    <x v="2"/>
    <s v="Family Spray"/>
    <m/>
    <n v="0"/>
    <n v="0"/>
    <n v="21"/>
    <n v="39"/>
    <n v="54"/>
    <n v="102"/>
    <n v="31"/>
    <n v="17"/>
    <n v="10"/>
    <n v="6"/>
    <n v="0"/>
    <n v="0"/>
    <n v="0"/>
    <n v="0"/>
    <n v="29"/>
    <n v="22"/>
    <n v="0"/>
    <n v="0"/>
    <n v="0"/>
    <n v="0"/>
    <n v="58"/>
    <n v="150"/>
    <n v="5"/>
    <n v="5"/>
    <n v="0"/>
    <n v="0"/>
    <n v="52"/>
  </r>
  <r>
    <x v="0"/>
    <s v="Pest Control"/>
    <x v="0"/>
    <s v="CAMP"/>
    <x v="6"/>
    <x v="2"/>
    <s v="Invisible Sueños"/>
    <m/>
    <n v="0"/>
    <n v="0"/>
    <n v="0"/>
    <n v="0"/>
    <n v="0"/>
    <n v="0"/>
    <n v="0"/>
    <n v="0"/>
    <n v="0"/>
    <n v="0"/>
    <n v="0"/>
    <n v="0"/>
    <n v="0"/>
    <n v="0"/>
    <n v="0"/>
    <n v="11"/>
    <n v="12"/>
    <n v="2"/>
    <n v="7"/>
    <n v="0"/>
    <n v="0"/>
    <n v="0"/>
    <n v="0"/>
    <n v="1"/>
    <n v="0"/>
    <n v="0"/>
    <n v="10"/>
  </r>
  <r>
    <x v="0"/>
    <s v="Pest Control"/>
    <x v="0"/>
    <s v="IAM"/>
    <x v="7"/>
    <x v="3"/>
    <s v="on MMM"/>
    <m/>
    <n v="78"/>
    <n v="47"/>
    <n v="3073"/>
    <n v="2993"/>
    <n v="2932"/>
    <n v="2045"/>
    <n v="676"/>
    <n v="451"/>
    <n v="973"/>
    <n v="525"/>
    <n v="616"/>
    <n v="208"/>
    <n v="93"/>
    <n v="266"/>
    <n v="3880"/>
    <n v="4976"/>
    <n v="2619"/>
    <n v="1272"/>
    <n v="967"/>
    <n v="1228"/>
    <n v="428"/>
    <n v="877"/>
    <n v="944"/>
    <n v="115"/>
    <n v="21"/>
    <n v="29"/>
    <n v="3943"/>
  </r>
  <r>
    <x v="0"/>
    <s v="Pest Control"/>
    <x v="0"/>
    <s v="IAM"/>
    <x v="7"/>
    <x v="1"/>
    <s v="Aero MMM TP"/>
    <m/>
    <n v="0"/>
    <n v="0"/>
    <n v="238"/>
    <n v="984"/>
    <n v="480"/>
    <n v="880"/>
    <n v="245"/>
    <n v="60"/>
    <n v="58"/>
    <n v="154"/>
    <n v="192"/>
    <n v="40"/>
    <n v="10"/>
    <n v="52"/>
    <n v="1151"/>
    <n v="951"/>
    <n v="1348"/>
    <n v="779"/>
    <n v="433"/>
    <n v="424"/>
    <n v="388"/>
    <n v="376"/>
    <n v="121"/>
    <n v="164"/>
    <n v="10"/>
    <n v="9"/>
    <n v="1740"/>
  </r>
  <r>
    <x v="0"/>
    <s v="Pest Control"/>
    <x v="0"/>
    <s v="IAM"/>
    <x v="7"/>
    <x v="1"/>
    <s v="MMM Aero"/>
    <m/>
    <n v="58"/>
    <n v="49"/>
    <n v="1407"/>
    <n v="1923"/>
    <n v="1331"/>
    <n v="980"/>
    <n v="137"/>
    <n v="70"/>
    <n v="146"/>
    <n v="217"/>
    <n v="97"/>
    <n v="40"/>
    <n v="23"/>
    <n v="83"/>
    <n v="1535"/>
    <n v="1797"/>
    <n v="1356"/>
    <n v="304"/>
    <n v="200"/>
    <n v="263"/>
    <n v="246"/>
    <n v="526"/>
    <n v="253"/>
    <n v="22"/>
    <n v="2"/>
    <n v="122"/>
    <n v="1243"/>
  </r>
  <r>
    <x v="0"/>
    <s v="Pest Control"/>
    <x v="0"/>
    <s v="IAM"/>
    <x v="7"/>
    <x v="0"/>
    <s v="Aero Casa y Jardin"/>
    <m/>
    <n v="16"/>
    <n v="5"/>
    <n v="5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IAM"/>
    <x v="7"/>
    <x v="0"/>
    <s v="Aero Casa y Jardin Clasico"/>
    <n v="12"/>
    <n v="0"/>
    <n v="0"/>
    <n v="133"/>
    <n v="365"/>
    <n v="181"/>
    <n v="180"/>
    <n v="89"/>
    <n v="77"/>
    <n v="123"/>
    <n v="106"/>
    <n v="75"/>
    <n v="41"/>
    <n v="19"/>
    <n v="54"/>
    <n v="209"/>
    <n v="467"/>
    <n v="211"/>
    <n v="99"/>
    <n v="126"/>
    <n v="197"/>
    <n v="85"/>
    <n v="185"/>
    <n v="59"/>
    <n v="48"/>
    <n v="24"/>
    <n v="11"/>
    <n v="412"/>
  </r>
  <r>
    <x v="0"/>
    <s v="Pest Control"/>
    <x v="0"/>
    <s v="IAM"/>
    <x v="7"/>
    <x v="0"/>
    <s v="Aero MMM Azul"/>
    <n v="12"/>
    <n v="79"/>
    <n v="23"/>
    <n v="1804"/>
    <n v="2187"/>
    <n v="1504"/>
    <n v="1169"/>
    <n v="432"/>
    <n v="268"/>
    <n v="270"/>
    <n v="218"/>
    <n v="253"/>
    <n v="109"/>
    <n v="87"/>
    <n v="122"/>
    <n v="2086"/>
    <n v="2132"/>
    <n v="1029"/>
    <n v="629"/>
    <n v="685"/>
    <n v="494"/>
    <n v="253"/>
    <n v="924"/>
    <n v="285"/>
    <n v="50"/>
    <n v="12"/>
    <n v="134"/>
    <n v="2189"/>
  </r>
  <r>
    <x v="0"/>
    <s v="Pest Control"/>
    <x v="0"/>
    <s v="IAM"/>
    <x v="7"/>
    <x v="0"/>
    <s v="Aero MMM Azul TP"/>
    <m/>
    <n v="0"/>
    <n v="0"/>
    <n v="410"/>
    <n v="831"/>
    <n v="288"/>
    <n v="910"/>
    <n v="260"/>
    <n v="322"/>
    <n v="269"/>
    <n v="46"/>
    <n v="283"/>
    <n v="136"/>
    <n v="23"/>
    <n v="50"/>
    <n v="1366"/>
    <n v="1220"/>
    <n v="1087"/>
    <n v="751"/>
    <n v="621"/>
    <n v="776"/>
    <n v="420"/>
    <n v="370"/>
    <n v="253"/>
    <n v="170"/>
    <n v="14"/>
    <n v="23"/>
    <n v="1739"/>
  </r>
  <r>
    <x v="0"/>
    <s v="Pest Control"/>
    <x v="0"/>
    <s v="IAM"/>
    <x v="7"/>
    <x v="0"/>
    <s v="Aero MMM Eficacia Segura"/>
    <m/>
    <n v="0"/>
    <n v="2"/>
    <n v="34"/>
    <n v="187"/>
    <n v="41"/>
    <n v="7"/>
    <n v="3"/>
    <n v="27"/>
    <n v="0"/>
    <n v="0"/>
    <n v="8"/>
    <n v="0"/>
    <n v="0"/>
    <n v="0"/>
    <n v="0"/>
    <n v="18"/>
    <n v="90"/>
    <n v="0"/>
    <n v="0"/>
    <n v="0"/>
    <n v="0"/>
    <n v="0"/>
    <n v="0"/>
    <n v="0"/>
    <n v="0"/>
    <n v="0"/>
    <n v="0"/>
  </r>
  <r>
    <x v="0"/>
    <s v="Pest Control"/>
    <x v="0"/>
    <s v="IAM"/>
    <x v="7"/>
    <x v="0"/>
    <s v="Aero MMM S/O 420 BP"/>
    <n v="12"/>
    <n v="421"/>
    <n v="38"/>
    <n v="2739"/>
    <n v="4105"/>
    <n v="3961"/>
    <n v="2150"/>
    <n v="751"/>
    <n v="578"/>
    <n v="482"/>
    <n v="1167"/>
    <n v="788"/>
    <n v="421"/>
    <n v="119"/>
    <n v="536"/>
    <n v="3548"/>
    <n v="5262"/>
    <n v="3146"/>
    <n v="1957"/>
    <n v="862"/>
    <n v="1149"/>
    <n v="626"/>
    <n v="2224"/>
    <n v="915"/>
    <n v="206"/>
    <n v="30"/>
    <n v="61"/>
    <n v="3698"/>
  </r>
  <r>
    <x v="0"/>
    <s v="Pest Control"/>
    <x v="0"/>
    <s v="IAM"/>
    <x v="7"/>
    <x v="0"/>
    <s v="Essentials Casa y Jardin"/>
    <n v="12"/>
    <n v="0"/>
    <n v="0"/>
    <n v="22"/>
    <n v="24"/>
    <n v="30"/>
    <n v="21"/>
    <n v="6"/>
    <n v="18"/>
    <n v="4"/>
    <n v="0"/>
    <n v="0"/>
    <n v="0"/>
    <n v="0"/>
    <n v="5"/>
    <n v="7"/>
    <n v="38"/>
    <n v="30"/>
    <n v="0"/>
    <n v="13"/>
    <n v="250"/>
    <n v="0"/>
    <n v="0"/>
    <n v="0"/>
    <n v="0"/>
    <n v="0"/>
    <n v="0"/>
    <n v="0"/>
  </r>
  <r>
    <x v="0"/>
    <s v="Pest Control"/>
    <x v="0"/>
    <s v="IAM"/>
    <x v="7"/>
    <x v="0"/>
    <s v="Aero MMM Essentials"/>
    <n v="12"/>
    <n v="0"/>
    <n v="0"/>
    <n v="0"/>
    <n v="0"/>
    <n v="0"/>
    <n v="0"/>
    <n v="0"/>
    <n v="0"/>
    <n v="0"/>
    <n v="0"/>
    <n v="0"/>
    <n v="0"/>
    <n v="0"/>
    <n v="0"/>
    <n v="5"/>
    <n v="18"/>
    <n v="0"/>
    <n v="0"/>
    <n v="0"/>
    <n v="0"/>
    <n v="0"/>
    <n v="5"/>
    <n v="0"/>
    <n v="0"/>
    <n v="0"/>
    <n v="0"/>
    <n v="56"/>
  </r>
  <r>
    <x v="0"/>
    <s v="Pest Control"/>
    <x v="1"/>
    <s v="Rastreros"/>
    <x v="8"/>
    <x v="3"/>
    <s v="on Verde"/>
    <m/>
    <n v="63"/>
    <n v="4"/>
    <n v="152"/>
    <n v="335"/>
    <n v="206"/>
    <n v="86"/>
    <n v="66"/>
    <n v="80"/>
    <n v="119"/>
    <n v="89"/>
    <n v="43"/>
    <n v="25"/>
    <n v="25"/>
    <n v="53"/>
    <n v="130"/>
    <n v="402"/>
    <n v="227"/>
    <n v="143"/>
    <n v="186"/>
    <n v="194"/>
    <n v="93"/>
    <n v="173"/>
    <n v="65"/>
    <n v="47"/>
    <n v="10"/>
    <n v="10"/>
    <n v="310"/>
  </r>
  <r>
    <x v="0"/>
    <s v="Pest Control"/>
    <x v="1"/>
    <s v="Rastreros"/>
    <x v="8"/>
    <x v="0"/>
    <s v="Aero Cocina"/>
    <m/>
    <n v="4"/>
    <n v="0"/>
    <n v="44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1"/>
    <s v="Rastreros"/>
    <x v="8"/>
    <x v="0"/>
    <s v="Aero Exterminador"/>
    <n v="12"/>
    <n v="72"/>
    <n v="10"/>
    <n v="442"/>
    <n v="533"/>
    <n v="408"/>
    <n v="265"/>
    <n v="258"/>
    <n v="251"/>
    <n v="306"/>
    <n v="224"/>
    <n v="114"/>
    <n v="63"/>
    <n v="78"/>
    <n v="96"/>
    <n v="470"/>
    <n v="895"/>
    <n v="360"/>
    <n v="218"/>
    <n v="328"/>
    <n v="454"/>
    <n v="305"/>
    <n v="376"/>
    <n v="171"/>
    <n v="38"/>
    <n v="42"/>
    <n v="38"/>
    <n v="966"/>
  </r>
  <r>
    <x v="0"/>
    <s v="Pest Control"/>
    <x v="1"/>
    <s v="Rastreros"/>
    <x v="8"/>
    <x v="0"/>
    <s v="Aero Max S/O"/>
    <n v="12"/>
    <n v="48"/>
    <n v="13"/>
    <n v="190"/>
    <n v="185"/>
    <n v="275"/>
    <n v="182"/>
    <n v="256"/>
    <n v="71"/>
    <n v="137"/>
    <n v="152"/>
    <n v="108"/>
    <n v="71"/>
    <n v="67"/>
    <n v="68"/>
    <n v="148"/>
    <n v="370"/>
    <n v="347"/>
    <n v="95"/>
    <n v="145"/>
    <n v="258"/>
    <n v="136"/>
    <n v="175"/>
    <n v="95"/>
    <n v="27"/>
    <n v="11"/>
    <n v="23"/>
    <n v="378"/>
  </r>
  <r>
    <x v="0"/>
    <s v="Pest Control"/>
    <x v="1"/>
    <s v="Rastreros"/>
    <x v="8"/>
    <x v="0"/>
    <s v="Essentials Cucarachas"/>
    <n v="12"/>
    <n v="0"/>
    <n v="0"/>
    <n v="40"/>
    <n v="14"/>
    <n v="20"/>
    <n v="7"/>
    <n v="11"/>
    <n v="25"/>
    <n v="4"/>
    <n v="5"/>
    <n v="0"/>
    <n v="0"/>
    <n v="0"/>
    <n v="0"/>
    <n v="0"/>
    <n v="37"/>
    <n v="47"/>
    <n v="0"/>
    <n v="2"/>
    <n v="689"/>
    <n v="143"/>
    <n v="92"/>
    <n v="0"/>
    <n v="0"/>
    <n v="0"/>
    <n v="0"/>
    <n v="0"/>
  </r>
  <r>
    <x v="0"/>
    <s v="Pest Control"/>
    <x v="1"/>
    <s v="Rastreros"/>
    <x v="8"/>
    <x v="0"/>
    <s v="Max Jeringas"/>
    <n v="6"/>
    <n v="6"/>
    <n v="5"/>
    <n v="95"/>
    <n v="134"/>
    <n v="121"/>
    <n v="89"/>
    <n v="167"/>
    <n v="55"/>
    <n v="64"/>
    <n v="75"/>
    <n v="53"/>
    <n v="20"/>
    <n v="12"/>
    <n v="30"/>
    <n v="74"/>
    <n v="224"/>
    <n v="112"/>
    <n v="86"/>
    <n v="58"/>
    <n v="97"/>
    <n v="64"/>
    <n v="75"/>
    <n v="44"/>
    <n v="10"/>
    <n v="11"/>
    <n v="15"/>
    <n v="206"/>
  </r>
  <r>
    <x v="0"/>
    <s v="Pest Control"/>
    <x v="1"/>
    <s v="Rastreros"/>
    <x v="8"/>
    <x v="0"/>
    <s v="Cebos"/>
    <n v="12"/>
    <n v="8"/>
    <n v="14"/>
    <n v="126"/>
    <n v="215"/>
    <n v="188"/>
    <n v="194"/>
    <n v="143"/>
    <n v="98"/>
    <n v="115"/>
    <n v="72"/>
    <n v="53"/>
    <n v="30"/>
    <n v="16"/>
    <n v="71"/>
    <n v="118"/>
    <n v="337"/>
    <n v="259"/>
    <n v="136"/>
    <n v="143"/>
    <n v="192"/>
    <n v="70"/>
    <n v="125"/>
    <n v="65"/>
    <n v="3"/>
    <n v="18"/>
    <n v="28"/>
    <n v="320"/>
  </r>
  <r>
    <x v="0"/>
    <s v="Pest Control"/>
    <x v="1"/>
    <s v="Rastreros"/>
    <x v="9"/>
    <x v="0"/>
    <s v="Aero Mata Hormigas"/>
    <n v="12"/>
    <n v="23"/>
    <n v="5"/>
    <n v="68"/>
    <n v="98"/>
    <n v="77"/>
    <n v="101"/>
    <n v="58"/>
    <n v="50"/>
    <n v="37"/>
    <n v="53"/>
    <n v="12"/>
    <n v="7"/>
    <n v="5"/>
    <n v="22"/>
    <n v="64"/>
    <n v="154"/>
    <n v="105"/>
    <n v="48"/>
    <n v="41"/>
    <n v="71"/>
    <n v="18"/>
    <n v="52"/>
    <n v="35"/>
    <n v="26"/>
    <n v="2"/>
    <n v="10"/>
    <n v="81"/>
  </r>
  <r>
    <x v="0"/>
    <s v="Pest Control"/>
    <x v="1"/>
    <s v="Rastreros"/>
    <x v="10"/>
    <x v="0"/>
    <s v="Aero Matapulgas"/>
    <n v="12"/>
    <n v="28"/>
    <n v="11"/>
    <n v="75"/>
    <n v="110"/>
    <n v="110"/>
    <n v="61"/>
    <n v="33"/>
    <n v="81"/>
    <n v="23"/>
    <n v="40"/>
    <n v="12"/>
    <n v="19"/>
    <n v="12"/>
    <n v="12"/>
    <n v="87"/>
    <n v="176"/>
    <n v="129"/>
    <n v="9"/>
    <n v="55"/>
    <n v="63"/>
    <n v="33"/>
    <n v="45"/>
    <n v="26"/>
    <n v="6"/>
    <n v="0"/>
    <n v="7"/>
    <n v="103"/>
  </r>
  <r>
    <x v="0"/>
    <s v="Pest Control"/>
    <x v="1"/>
    <s v="Voladores"/>
    <x v="11"/>
    <x v="0"/>
    <s v="Aero Antipolilla"/>
    <n v="12"/>
    <n v="25"/>
    <n v="11"/>
    <n v="142"/>
    <n v="140"/>
    <n v="151"/>
    <n v="85"/>
    <n v="38"/>
    <n v="37"/>
    <n v="46"/>
    <n v="47"/>
    <n v="24"/>
    <n v="25"/>
    <n v="14"/>
    <n v="31"/>
    <n v="111"/>
    <n v="192"/>
    <n v="104"/>
    <n v="53"/>
    <n v="61"/>
    <n v="56"/>
    <n v="46"/>
    <n v="61"/>
    <n v="10"/>
    <n v="10"/>
    <n v="16"/>
    <n v="13"/>
    <n v="139"/>
  </r>
  <r>
    <x v="0"/>
    <s v="Pest Control"/>
    <x v="1"/>
    <s v="Voladores"/>
    <x v="12"/>
    <x v="0"/>
    <s v="Antipolillas Continuo"/>
    <m/>
    <n v="0"/>
    <n v="0"/>
    <n v="12"/>
    <n v="2"/>
    <n v="7"/>
    <n v="5"/>
    <n v="2"/>
    <n v="6"/>
    <n v="11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1"/>
    <s v="Pest Control"/>
    <x v="0"/>
    <s v="CAMA"/>
    <x v="0"/>
    <x v="0"/>
    <s v="Espirales Lavanda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x v="1"/>
    <s v="Pest Control"/>
    <x v="0"/>
    <s v="CAMA"/>
    <x v="1"/>
    <x v="0"/>
    <s v="45N Ap.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37"/>
    <n v="61"/>
    <n v="2"/>
    <n v="26"/>
    <n v="0"/>
    <n v="0"/>
    <n v="2"/>
    <n v="0"/>
    <n v="0"/>
  </r>
  <r>
    <x v="1"/>
    <s v="Pest Control"/>
    <x v="0"/>
    <s v="CAMA"/>
    <x v="1"/>
    <x v="0"/>
    <s v="45N Rep."/>
    <n v="12"/>
    <n v="0"/>
    <n v="0"/>
    <n v="0"/>
    <n v="0"/>
    <n v="0"/>
    <n v="0"/>
    <n v="0"/>
    <n v="0"/>
    <n v="0"/>
    <n v="0"/>
    <n v="0"/>
    <n v="0"/>
    <n v="0"/>
    <n v="0"/>
    <n v="0"/>
    <n v="0"/>
    <n v="6"/>
    <n v="11"/>
    <n v="5"/>
    <n v="2"/>
    <n v="12"/>
    <n v="29"/>
    <n v="2"/>
    <n v="0"/>
    <n v="2"/>
    <n v="0"/>
    <n v="5"/>
  </r>
  <r>
    <x v="1"/>
    <s v="Pest Control"/>
    <x v="0"/>
    <s v="CAMA"/>
    <x v="1"/>
    <x v="0"/>
    <s v="45N Ap. Promo"/>
    <n v="6"/>
    <n v="0"/>
    <n v="0"/>
    <n v="0"/>
    <n v="0"/>
    <n v="0"/>
    <n v="0"/>
    <n v="0"/>
    <n v="0"/>
    <n v="0"/>
    <n v="0"/>
    <n v="0"/>
    <n v="0"/>
    <n v="0"/>
    <n v="0"/>
    <n v="0"/>
    <n v="1"/>
    <n v="22"/>
    <n v="21"/>
    <n v="0"/>
    <n v="0"/>
    <n v="0"/>
    <n v="0"/>
    <n v="0"/>
    <n v="0"/>
    <n v="0"/>
    <n v="0"/>
    <n v="0"/>
  </r>
  <r>
    <x v="1"/>
    <s v="Pest Control"/>
    <x v="0"/>
    <s v="CAMA"/>
    <x v="2"/>
    <x v="1"/>
    <s v="Tabletas Rep. x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x v="1"/>
    <s v="Pest Control"/>
    <x v="0"/>
    <s v="CAMA"/>
    <x v="2"/>
    <x v="1"/>
    <s v="Tabletas Rep. x2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1"/>
    <n v="0"/>
    <n v="1"/>
    <n v="0"/>
    <n v="1"/>
    <n v="0"/>
    <n v="0"/>
  </r>
  <r>
    <x v="1"/>
    <s v="Pest Control"/>
    <x v="0"/>
    <s v="CAMA"/>
    <x v="2"/>
    <x v="0"/>
    <s v="Tabletas Ap.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x v="1"/>
    <s v="Pest Control"/>
    <x v="0"/>
    <s v="CAMA"/>
    <x v="2"/>
    <x v="0"/>
    <s v="Tabletas Doble Accion Rep. x2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</r>
  <r>
    <x v="1"/>
    <s v="Pest Control"/>
    <x v="0"/>
    <s v="CAMA"/>
    <x v="2"/>
    <x v="0"/>
    <s v="Tabletas Rep. X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x v="1"/>
    <s v="Pest Control"/>
    <x v="0"/>
    <s v="CAMP"/>
    <x v="3"/>
    <x v="1"/>
    <s v="Repelente Aero 170"/>
    <m/>
    <n v="0"/>
    <n v="0"/>
    <n v="0"/>
    <n v="0"/>
    <n v="0"/>
    <n v="0"/>
    <n v="0"/>
    <n v="0"/>
    <n v="0"/>
    <n v="0"/>
    <n v="0"/>
    <n v="0"/>
    <n v="0"/>
    <n v="0"/>
    <n v="0"/>
    <n v="32"/>
    <n v="0"/>
    <n v="18"/>
    <n v="65"/>
    <n v="69"/>
    <n v="0"/>
    <n v="30"/>
    <n v="3"/>
    <n v="0"/>
    <n v="1"/>
    <n v="5"/>
    <n v="4"/>
  </r>
  <r>
    <x v="1"/>
    <s v="Pest Control"/>
    <x v="0"/>
    <s v="CAMP"/>
    <x v="3"/>
    <x v="2"/>
    <s v="Extra Dur. Aero 17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281"/>
    <n v="64"/>
    <n v="0"/>
    <n v="54"/>
    <n v="2"/>
    <n v="0"/>
    <n v="7"/>
    <n v="0"/>
    <n v="5"/>
  </r>
  <r>
    <x v="1"/>
    <s v="Pest Control"/>
    <x v="0"/>
    <s v="CAMP"/>
    <x v="3"/>
    <x v="2"/>
    <s v="Family Aero 170"/>
    <m/>
    <n v="0"/>
    <n v="0"/>
    <n v="0"/>
    <n v="0"/>
    <n v="0"/>
    <n v="0"/>
    <n v="0"/>
    <n v="0"/>
    <n v="0"/>
    <n v="0"/>
    <n v="0"/>
    <n v="0"/>
    <n v="0"/>
    <n v="0"/>
    <n v="0"/>
    <n v="9"/>
    <n v="0"/>
    <n v="49"/>
    <n v="13"/>
    <n v="26"/>
    <n v="20"/>
    <n v="54"/>
    <n v="0"/>
    <n v="0"/>
    <n v="7"/>
    <n v="0"/>
    <n v="2"/>
  </r>
  <r>
    <x v="1"/>
    <s v="Pest Control"/>
    <x v="0"/>
    <s v="CAMP"/>
    <x v="4"/>
    <x v="2"/>
    <s v="Family Crema 196g"/>
    <m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0"/>
    <n v="23"/>
    <n v="0"/>
    <n v="0"/>
    <n v="10"/>
    <n v="0"/>
    <n v="0"/>
    <n v="0"/>
    <n v="0"/>
  </r>
  <r>
    <x v="1"/>
    <s v="Pest Control"/>
    <x v="0"/>
    <s v="CAMP"/>
    <x v="4"/>
    <x v="2"/>
    <s v="Family Crema 60g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6"/>
    <n v="4"/>
    <n v="0"/>
    <n v="0"/>
    <n v="0"/>
    <n v="0"/>
  </r>
  <r>
    <x v="1"/>
    <s v="Pest Control"/>
    <x v="0"/>
    <s v="CAMP"/>
    <x v="4"/>
    <x v="2"/>
    <s v="Kids Crema 100g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7"/>
    <n v="0"/>
    <n v="0"/>
  </r>
  <r>
    <x v="1"/>
    <s v="Pest Control"/>
    <x v="0"/>
    <s v="CAMP"/>
    <x v="6"/>
    <x v="2"/>
    <s v="Family Spray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</r>
  <r>
    <x v="1"/>
    <s v="Pest Control"/>
    <x v="0"/>
    <s v="IAM"/>
    <x v="7"/>
    <x v="3"/>
    <s v="on MMM"/>
    <m/>
    <n v="0"/>
    <n v="0"/>
    <n v="0"/>
    <n v="0"/>
    <n v="0"/>
    <n v="0"/>
    <n v="0"/>
    <n v="0"/>
    <n v="0"/>
    <n v="0"/>
    <n v="0"/>
    <n v="0"/>
    <n v="0"/>
    <n v="0"/>
    <n v="0"/>
    <n v="7"/>
    <n v="0"/>
    <n v="34"/>
    <n v="6"/>
    <n v="33"/>
    <n v="3"/>
    <n v="31"/>
    <n v="0"/>
    <n v="1"/>
    <n v="6"/>
    <n v="1"/>
    <n v="6"/>
  </r>
  <r>
    <x v="1"/>
    <s v="Pest Control"/>
    <x v="0"/>
    <s v="IAM"/>
    <x v="7"/>
    <x v="1"/>
    <s v="Aero MMM TP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x v="1"/>
    <s v="Pest Control"/>
    <x v="0"/>
    <s v="IAM"/>
    <x v="7"/>
    <x v="1"/>
    <s v="MMM Aero"/>
    <m/>
    <n v="0"/>
    <n v="0"/>
    <n v="0"/>
    <n v="0"/>
    <n v="0"/>
    <n v="0"/>
    <n v="0"/>
    <n v="0"/>
    <n v="0"/>
    <n v="0"/>
    <n v="0"/>
    <n v="0"/>
    <n v="0"/>
    <n v="0"/>
    <n v="0"/>
    <n v="11"/>
    <n v="5"/>
    <n v="34"/>
    <n v="29"/>
    <n v="35"/>
    <n v="13"/>
    <n v="71"/>
    <n v="10"/>
    <n v="4"/>
    <n v="9"/>
    <n v="0"/>
    <n v="0"/>
  </r>
  <r>
    <x v="1"/>
    <s v="Pest Control"/>
    <x v="0"/>
    <s v="IAM"/>
    <x v="7"/>
    <x v="0"/>
    <s v="Aero Casa y Jardin Clasico"/>
    <n v="12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1"/>
  </r>
  <r>
    <x v="1"/>
    <s v="Pest Control"/>
    <x v="0"/>
    <s v="IAM"/>
    <x v="7"/>
    <x v="0"/>
    <s v="Aero MMM Azul"/>
    <n v="12"/>
    <n v="0"/>
    <n v="0"/>
    <n v="0"/>
    <n v="0"/>
    <n v="0"/>
    <n v="0"/>
    <n v="0"/>
    <n v="0"/>
    <n v="0"/>
    <n v="0"/>
    <n v="0"/>
    <n v="0"/>
    <n v="0"/>
    <n v="0"/>
    <n v="0"/>
    <n v="4"/>
    <n v="2"/>
    <n v="3"/>
    <n v="0"/>
    <n v="5"/>
    <n v="13"/>
    <n v="60"/>
    <n v="0"/>
    <n v="2"/>
    <n v="8"/>
    <n v="0"/>
    <n v="0"/>
  </r>
  <r>
    <x v="1"/>
    <s v="Pest Control"/>
    <x v="0"/>
    <s v="IAM"/>
    <x v="7"/>
    <x v="0"/>
    <s v="Aero MMM Azul TP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x v="1"/>
    <s v="Pest Control"/>
    <x v="0"/>
    <s v="IAM"/>
    <x v="7"/>
    <x v="0"/>
    <s v="Aero MMM S/O 420 BP"/>
    <n v="12"/>
    <n v="0"/>
    <n v="0"/>
    <n v="0"/>
    <n v="0"/>
    <n v="0"/>
    <n v="0"/>
    <n v="0"/>
    <n v="0"/>
    <n v="0"/>
    <n v="0"/>
    <n v="0"/>
    <n v="0"/>
    <n v="0"/>
    <n v="0"/>
    <n v="0"/>
    <n v="6"/>
    <n v="10"/>
    <n v="41"/>
    <n v="0"/>
    <n v="21"/>
    <n v="48"/>
    <n v="85"/>
    <n v="16"/>
    <n v="3"/>
    <n v="17"/>
    <n v="18"/>
    <n v="0"/>
  </r>
  <r>
    <x v="1"/>
    <s v="Pest Control"/>
    <x v="1"/>
    <s v="Rastreros"/>
    <x v="8"/>
    <x v="3"/>
    <s v="on Verde"/>
    <m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0"/>
    <n v="20"/>
    <n v="0"/>
    <n v="0"/>
    <n v="0"/>
    <n v="0"/>
    <n v="0"/>
    <n v="0"/>
    <n v="0"/>
  </r>
  <r>
    <x v="1"/>
    <s v="Pest Control"/>
    <x v="1"/>
    <s v="Rastreros"/>
    <x v="8"/>
    <x v="0"/>
    <s v="Aero Exterminador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5"/>
    <n v="30"/>
    <n v="0"/>
    <n v="10"/>
    <n v="0"/>
    <n v="0"/>
    <n v="1"/>
    <n v="0"/>
    <n v="4"/>
  </r>
  <r>
    <x v="1"/>
    <s v="Pest Control"/>
    <x v="1"/>
    <s v="Rastreros"/>
    <x v="8"/>
    <x v="0"/>
    <s v="Aero Max S/O"/>
    <n v="12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4"/>
    <n v="1"/>
    <n v="1"/>
    <n v="0"/>
    <n v="1"/>
    <n v="1"/>
    <n v="1"/>
    <n v="0"/>
    <n v="2"/>
  </r>
  <r>
    <x v="1"/>
    <s v="Pest Control"/>
    <x v="1"/>
    <s v="Rastreros"/>
    <x v="8"/>
    <x v="0"/>
    <s v="Essentials Cucarachas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</r>
  <r>
    <x v="1"/>
    <s v="Pest Control"/>
    <x v="1"/>
    <s v="Rastreros"/>
    <x v="8"/>
    <x v="0"/>
    <s v="Max Jeringas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x v="1"/>
    <s v="Pest Control"/>
    <x v="1"/>
    <s v="Rastreros"/>
    <x v="8"/>
    <x v="0"/>
    <s v="Cebos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x v="1"/>
    <s v="Pest Control"/>
    <x v="1"/>
    <s v="Rastreros"/>
    <x v="9"/>
    <x v="0"/>
    <s v="Aero Mata Hormigas"/>
    <n v="12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1"/>
  </r>
  <r>
    <x v="1"/>
    <s v="Pest Control"/>
    <x v="1"/>
    <s v="Rastreros"/>
    <x v="10"/>
    <x v="0"/>
    <s v="Aero Matapulgas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2"/>
  </r>
  <r>
    <x v="1"/>
    <s v="Pest Control"/>
    <x v="1"/>
    <s v="Voladores"/>
    <x v="11"/>
    <x v="0"/>
    <s v="Aero Antipolilla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1"/>
    <n v="1"/>
    <n v="0"/>
  </r>
  <r>
    <x v="2"/>
    <s v="Pest Control"/>
    <x v="0"/>
    <s v="CAMA"/>
    <x v="0"/>
    <x v="0"/>
    <s v="Espirales Lavanda"/>
    <n v="24"/>
    <n v="0"/>
    <n v="77"/>
    <n v="217"/>
    <n v="230"/>
    <n v="459"/>
    <n v="131"/>
    <n v="43"/>
    <n v="262"/>
    <n v="70"/>
    <n v="2"/>
    <n v="0"/>
    <n v="0"/>
    <n v="2"/>
    <n v="17"/>
    <n v="290"/>
    <n v="235"/>
    <n v="70"/>
    <n v="280"/>
    <n v="182"/>
    <n v="122"/>
    <n v="83"/>
    <n v="47"/>
    <n v="0"/>
    <n v="0"/>
    <n v="33"/>
    <n v="2"/>
    <n v="301"/>
  </r>
  <r>
    <x v="2"/>
    <s v="Pest Control"/>
    <x v="0"/>
    <s v="CAMA"/>
    <x v="0"/>
    <x v="0"/>
    <s v="Espirales Original"/>
    <n v="24"/>
    <n v="0"/>
    <n v="0"/>
    <n v="205"/>
    <n v="210"/>
    <n v="147"/>
    <n v="82"/>
    <n v="45"/>
    <n v="107"/>
    <n v="40"/>
    <n v="17"/>
    <n v="0"/>
    <n v="2"/>
    <n v="1"/>
    <n v="7"/>
    <n v="301"/>
    <n v="174"/>
    <n v="127"/>
    <n v="266"/>
    <n v="115"/>
    <n v="20"/>
    <n v="77"/>
    <n v="0"/>
    <n v="62"/>
    <n v="1"/>
    <n v="0"/>
    <n v="1"/>
    <n v="204"/>
  </r>
  <r>
    <x v="2"/>
    <s v="Pest Control"/>
    <x v="0"/>
    <s v="CAMA"/>
    <x v="0"/>
    <x v="0"/>
    <s v="Espirales Sobres"/>
    <m/>
    <n v="0"/>
    <n v="0"/>
    <n v="2"/>
    <n v="10"/>
    <n v="19"/>
    <n v="0"/>
    <n v="0"/>
    <n v="0"/>
    <n v="10"/>
    <n v="0"/>
    <n v="0"/>
    <n v="0"/>
    <n v="0"/>
    <n v="0"/>
    <n v="66"/>
    <n v="5"/>
    <n v="0"/>
    <n v="0"/>
    <n v="0"/>
    <n v="0"/>
    <n v="0"/>
    <n v="4"/>
    <n v="0"/>
    <n v="0"/>
    <n v="0"/>
    <n v="2"/>
    <n v="0"/>
  </r>
  <r>
    <x v="2"/>
    <s v="Pest Control"/>
    <x v="0"/>
    <s v="CAMA"/>
    <x v="1"/>
    <x v="1"/>
    <s v="45N Ap."/>
    <m/>
    <n v="0"/>
    <n v="0"/>
    <n v="105"/>
    <n v="145"/>
    <n v="130"/>
    <n v="98"/>
    <n v="10"/>
    <n v="17"/>
    <n v="0"/>
    <n v="0"/>
    <n v="0"/>
    <n v="0"/>
    <n v="0"/>
    <n v="0"/>
    <n v="0"/>
    <n v="100"/>
    <n v="50"/>
    <n v="177"/>
    <n v="70"/>
    <n v="32"/>
    <n v="15"/>
    <n v="52"/>
    <n v="0"/>
    <n v="0"/>
    <n v="0"/>
    <n v="0"/>
    <n v="112"/>
  </r>
  <r>
    <x v="2"/>
    <s v="Pest Control"/>
    <x v="0"/>
    <s v="CAMA"/>
    <x v="1"/>
    <x v="1"/>
    <s v="45N Rep."/>
    <m/>
    <n v="0"/>
    <n v="0"/>
    <n v="90"/>
    <n v="226"/>
    <n v="255"/>
    <n v="119"/>
    <n v="231"/>
    <n v="35"/>
    <n v="55"/>
    <n v="9"/>
    <n v="0"/>
    <n v="0"/>
    <n v="0"/>
    <n v="0"/>
    <n v="170"/>
    <n v="169"/>
    <n v="192"/>
    <n v="103"/>
    <n v="201"/>
    <n v="94"/>
    <n v="115"/>
    <n v="72"/>
    <n v="63"/>
    <n v="0"/>
    <n v="0"/>
    <n v="0"/>
    <n v="157"/>
  </r>
  <r>
    <x v="2"/>
    <s v="Pest Control"/>
    <x v="0"/>
    <s v="CAMA"/>
    <x v="1"/>
    <x v="0"/>
    <s v="45N Ap."/>
    <n v="6"/>
    <n v="0"/>
    <n v="0"/>
    <n v="234"/>
    <n v="37"/>
    <n v="0"/>
    <n v="0"/>
    <n v="200"/>
    <n v="40"/>
    <n v="40"/>
    <n v="29"/>
    <n v="0"/>
    <n v="0"/>
    <n v="0"/>
    <n v="0"/>
    <n v="0"/>
    <n v="4"/>
    <n v="0"/>
    <n v="0"/>
    <n v="265"/>
    <n v="122"/>
    <n v="54"/>
    <n v="150"/>
    <n v="0"/>
    <n v="0"/>
    <n v="0"/>
    <n v="0"/>
    <n v="24"/>
  </r>
  <r>
    <x v="2"/>
    <s v="Pest Control"/>
    <x v="0"/>
    <s v="CAMA"/>
    <x v="1"/>
    <x v="0"/>
    <s v="45N Rep."/>
    <n v="12"/>
    <n v="4"/>
    <n v="0"/>
    <n v="192"/>
    <n v="570"/>
    <n v="223"/>
    <n v="263"/>
    <n v="362"/>
    <n v="196"/>
    <n v="232"/>
    <n v="76"/>
    <n v="3"/>
    <n v="5"/>
    <n v="0"/>
    <n v="0"/>
    <n v="166"/>
    <n v="381"/>
    <n v="390"/>
    <n v="226"/>
    <n v="488"/>
    <n v="131"/>
    <n v="225"/>
    <n v="219"/>
    <n v="89"/>
    <n v="7"/>
    <n v="94"/>
    <n v="3"/>
    <n v="328"/>
  </r>
  <r>
    <x v="2"/>
    <s v="Pest Control"/>
    <x v="0"/>
    <s v="CAMA"/>
    <x v="1"/>
    <x v="0"/>
    <s v="45N Ap. Promo"/>
    <n v="6"/>
    <n v="0"/>
    <n v="0"/>
    <n v="140"/>
    <n v="977"/>
    <n v="859"/>
    <n v="674"/>
    <n v="546"/>
    <n v="290"/>
    <n v="21"/>
    <n v="10"/>
    <n v="0"/>
    <n v="0"/>
    <n v="0"/>
    <n v="6"/>
    <n v="945"/>
    <n v="944"/>
    <n v="998"/>
    <n v="175"/>
    <n v="0"/>
    <n v="0"/>
    <n v="0"/>
    <n v="0"/>
    <n v="0"/>
    <n v="0"/>
    <n v="0"/>
    <n v="0"/>
    <n v="702"/>
  </r>
  <r>
    <x v="2"/>
    <s v="Pest Control"/>
    <x v="0"/>
    <s v="CAMA"/>
    <x v="1"/>
    <x v="0"/>
    <s v="45N Rep. Bloosoms"/>
    <n v="12"/>
    <n v="0"/>
    <n v="0"/>
    <n v="0"/>
    <n v="0"/>
    <n v="0"/>
    <n v="0"/>
    <n v="0"/>
    <n v="0"/>
    <n v="0"/>
    <n v="0"/>
    <n v="0"/>
    <n v="0"/>
    <n v="0"/>
    <n v="0"/>
    <n v="74"/>
    <n v="15"/>
    <n v="195"/>
    <n v="106"/>
    <n v="132"/>
    <n v="0"/>
    <n v="48"/>
    <n v="6"/>
    <n v="24"/>
    <n v="0"/>
    <n v="0"/>
    <n v="0"/>
    <n v="156"/>
  </r>
  <r>
    <x v="2"/>
    <s v="Pest Control"/>
    <x v="0"/>
    <s v="CAMA"/>
    <x v="1"/>
    <x v="1"/>
    <s v="45 Noches Rep.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</r>
  <r>
    <x v="2"/>
    <s v="Pest Control"/>
    <x v="0"/>
    <s v="CAMA"/>
    <x v="2"/>
    <x v="1"/>
    <s v="Tabletas Rep. x12"/>
    <m/>
    <n v="0"/>
    <n v="0"/>
    <n v="215"/>
    <n v="580"/>
    <n v="960"/>
    <n v="367"/>
    <n v="127"/>
    <n v="211"/>
    <n v="96"/>
    <n v="20"/>
    <n v="0"/>
    <n v="2"/>
    <n v="0"/>
    <n v="5"/>
    <n v="306"/>
    <n v="585"/>
    <n v="665"/>
    <n v="327"/>
    <n v="293"/>
    <n v="160"/>
    <n v="206"/>
    <n v="148"/>
    <n v="16"/>
    <n v="0"/>
    <n v="0"/>
    <n v="0"/>
    <n v="469"/>
  </r>
  <r>
    <x v="2"/>
    <s v="Pest Control"/>
    <x v="0"/>
    <s v="CAMA"/>
    <x v="2"/>
    <x v="1"/>
    <s v="Tabletas Rep. x24"/>
    <m/>
    <n v="0"/>
    <n v="13"/>
    <n v="107"/>
    <n v="188"/>
    <n v="156"/>
    <n v="114"/>
    <n v="58"/>
    <n v="58"/>
    <n v="30"/>
    <n v="20"/>
    <n v="2"/>
    <n v="0"/>
    <n v="0"/>
    <n v="6"/>
    <n v="110"/>
    <n v="228"/>
    <n v="108"/>
    <n v="54"/>
    <n v="66"/>
    <n v="7"/>
    <n v="30"/>
    <n v="3"/>
    <n v="8"/>
    <n v="5"/>
    <n v="1"/>
    <n v="4"/>
    <n v="188"/>
  </r>
  <r>
    <x v="2"/>
    <s v="Pest Control"/>
    <x v="0"/>
    <s v="CAMA"/>
    <x v="2"/>
    <x v="0"/>
    <s v="Tabletas Ap."/>
    <m/>
    <n v="0"/>
    <n v="0"/>
    <n v="381"/>
    <n v="573"/>
    <n v="545"/>
    <n v="470"/>
    <n v="143"/>
    <n v="57"/>
    <n v="20"/>
    <n v="0"/>
    <n v="0"/>
    <n v="0"/>
    <n v="0"/>
    <n v="0"/>
    <n v="555"/>
    <n v="493"/>
    <n v="284"/>
    <n v="120"/>
    <n v="366"/>
    <n v="62"/>
    <n v="0"/>
    <n v="90"/>
    <n v="4"/>
    <n v="0"/>
    <n v="0"/>
    <n v="0"/>
    <n v="278"/>
  </r>
  <r>
    <x v="2"/>
    <s v="Pest Control"/>
    <x v="0"/>
    <s v="CAMA"/>
    <x v="2"/>
    <x v="0"/>
    <s v="Tabletas Doble Accion Rep. x24"/>
    <m/>
    <n v="1"/>
    <n v="1"/>
    <n v="196"/>
    <n v="170"/>
    <n v="263"/>
    <n v="94"/>
    <n v="33"/>
    <n v="45"/>
    <n v="54"/>
    <n v="9"/>
    <n v="0"/>
    <n v="8"/>
    <n v="4"/>
    <n v="0"/>
    <n v="130"/>
    <n v="247"/>
    <n v="168"/>
    <n v="144"/>
    <n v="49"/>
    <n v="0"/>
    <n v="8"/>
    <n v="38"/>
    <n v="3"/>
    <n v="4"/>
    <n v="0"/>
    <n v="2"/>
    <n v="153"/>
  </r>
  <r>
    <x v="2"/>
    <s v="Pest Control"/>
    <x v="0"/>
    <s v="CAMA"/>
    <x v="2"/>
    <x v="0"/>
    <s v="Tabletas Rep. X12"/>
    <m/>
    <n v="0"/>
    <n v="0"/>
    <n v="747"/>
    <n v="1648"/>
    <n v="764"/>
    <n v="62"/>
    <n v="26"/>
    <n v="20"/>
    <n v="0"/>
    <n v="5"/>
    <n v="0"/>
    <n v="0"/>
    <n v="0"/>
    <n v="0"/>
    <n v="2"/>
    <n v="766"/>
    <n v="322"/>
    <n v="120"/>
    <n v="290"/>
    <n v="56"/>
    <n v="32"/>
    <n v="18"/>
    <n v="0"/>
    <n v="5"/>
    <n v="0"/>
    <n v="1"/>
    <n v="298"/>
  </r>
  <r>
    <x v="2"/>
    <s v="Pest Control"/>
    <x v="0"/>
    <s v="CAMA"/>
    <x v="2"/>
    <x v="0"/>
    <s v="Tabletas Rep. x72"/>
    <m/>
    <n v="0"/>
    <n v="24"/>
    <n v="51"/>
    <n v="62"/>
    <n v="63"/>
    <n v="219"/>
    <n v="58"/>
    <n v="0"/>
    <n v="0"/>
    <n v="0"/>
    <n v="0"/>
    <n v="0"/>
    <n v="0"/>
    <n v="0"/>
    <n v="13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3"/>
    <x v="1"/>
    <s v="Repelente Aero 165"/>
    <m/>
    <n v="0"/>
    <n v="0"/>
    <n v="150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3"/>
    <x v="1"/>
    <s v="Repelente Aero 170"/>
    <m/>
    <n v="0"/>
    <n v="0"/>
    <n v="0"/>
    <n v="525"/>
    <n v="245"/>
    <n v="422"/>
    <n v="299"/>
    <n v="70"/>
    <n v="45"/>
    <n v="5"/>
    <n v="0"/>
    <n v="0"/>
    <n v="0"/>
    <n v="0"/>
    <n v="184"/>
    <n v="424"/>
    <n v="367"/>
    <n v="750"/>
    <n v="1493"/>
    <n v="499"/>
    <n v="1108"/>
    <n v="1026"/>
    <n v="205"/>
    <n v="56"/>
    <n v="20"/>
    <n v="480"/>
    <n v="274"/>
  </r>
  <r>
    <x v="2"/>
    <s v="Pest Control"/>
    <x v="0"/>
    <s v="CAMP"/>
    <x v="3"/>
    <x v="2"/>
    <s v="Extra Dur. Aero 170"/>
    <m/>
    <n v="0"/>
    <n v="0"/>
    <n v="214"/>
    <n v="956"/>
    <n v="556"/>
    <n v="488"/>
    <n v="326"/>
    <n v="91"/>
    <n v="23"/>
    <n v="10"/>
    <n v="0"/>
    <n v="0"/>
    <n v="0"/>
    <n v="0"/>
    <n v="278"/>
    <n v="526"/>
    <n v="543"/>
    <n v="808"/>
    <n v="1422"/>
    <n v="780"/>
    <n v="777"/>
    <n v="1119"/>
    <n v="0"/>
    <n v="193"/>
    <n v="12"/>
    <n v="1005"/>
    <n v="275"/>
  </r>
  <r>
    <x v="2"/>
    <s v="Pest Control"/>
    <x v="0"/>
    <s v="CAMP"/>
    <x v="3"/>
    <x v="2"/>
    <s v="Extra Dur. Aero BP 290"/>
    <m/>
    <n v="0"/>
    <n v="0"/>
    <n v="24"/>
    <n v="51"/>
    <n v="62"/>
    <n v="130"/>
    <n v="285"/>
    <n v="0"/>
    <n v="0"/>
    <n v="0"/>
    <n v="0"/>
    <n v="0"/>
    <n v="0"/>
    <n v="10"/>
    <n v="30"/>
    <n v="206"/>
    <n v="93"/>
    <n v="208"/>
    <n v="465"/>
    <n v="186"/>
    <n v="0"/>
    <n v="0"/>
    <n v="0"/>
    <n v="0"/>
    <n v="4"/>
    <n v="106"/>
    <n v="275"/>
  </r>
  <r>
    <x v="2"/>
    <s v="Pest Control"/>
    <x v="0"/>
    <s v="CAMP"/>
    <x v="3"/>
    <x v="2"/>
    <s v="Family Aero 170"/>
    <m/>
    <n v="280"/>
    <n v="31"/>
    <n v="478"/>
    <n v="1343"/>
    <n v="353"/>
    <n v="504"/>
    <n v="464"/>
    <n v="32"/>
    <n v="29"/>
    <n v="16"/>
    <n v="0"/>
    <n v="0"/>
    <n v="0"/>
    <n v="0"/>
    <n v="536"/>
    <n v="782"/>
    <n v="872"/>
    <n v="1159"/>
    <n v="3185"/>
    <n v="1287"/>
    <n v="800"/>
    <n v="1700"/>
    <n v="510"/>
    <n v="127"/>
    <n v="25"/>
    <n v="2005"/>
    <n v="343"/>
  </r>
  <r>
    <x v="2"/>
    <s v="Pest Control"/>
    <x v="0"/>
    <s v="CAMP"/>
    <x v="3"/>
    <x v="2"/>
    <s v="Family Aero BP 290"/>
    <m/>
    <n v="0"/>
    <n v="31"/>
    <n v="236"/>
    <n v="20"/>
    <n v="321"/>
    <n v="186"/>
    <n v="310"/>
    <n v="0"/>
    <n v="31"/>
    <n v="0"/>
    <n v="0"/>
    <n v="0"/>
    <n v="0"/>
    <n v="12"/>
    <n v="31"/>
    <n v="402"/>
    <n v="43"/>
    <n v="308"/>
    <n v="499"/>
    <n v="895"/>
    <n v="170"/>
    <n v="0"/>
    <n v="0"/>
    <n v="0"/>
    <n v="0"/>
    <n v="106"/>
    <n v="284"/>
  </r>
  <r>
    <x v="2"/>
    <s v="Pest Control"/>
    <x v="0"/>
    <s v="CAMP"/>
    <x v="3"/>
    <x v="2"/>
    <s v="Family S&amp;D Aero"/>
    <m/>
    <n v="0"/>
    <n v="0"/>
    <n v="65"/>
    <n v="42"/>
    <n v="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3"/>
    <x v="2"/>
    <s v="Invisible Aero Everyday"/>
    <m/>
    <n v="0"/>
    <n v="0"/>
    <n v="0"/>
    <n v="30"/>
    <n v="50"/>
    <n v="0"/>
    <n v="0"/>
    <n v="0"/>
    <n v="0"/>
    <n v="0"/>
    <n v="0"/>
    <n v="0"/>
    <n v="0"/>
    <n v="0"/>
    <n v="65"/>
    <n v="30"/>
    <n v="69"/>
    <n v="30"/>
    <n v="428"/>
    <n v="49"/>
    <n v="0"/>
    <n v="0"/>
    <n v="146"/>
    <n v="0"/>
    <n v="0"/>
    <n v="0"/>
    <n v="56"/>
  </r>
  <r>
    <x v="2"/>
    <s v="Pest Control"/>
    <x v="0"/>
    <s v="CAMP"/>
    <x v="4"/>
    <x v="2"/>
    <s v="Crema Extra Duracion 100g"/>
    <m/>
    <n v="0"/>
    <n v="0"/>
    <n v="0"/>
    <n v="0"/>
    <n v="0"/>
    <n v="0"/>
    <n v="64"/>
    <n v="0"/>
    <n v="1"/>
    <n v="0"/>
    <n v="0"/>
    <n v="0"/>
    <n v="0"/>
    <n v="0"/>
    <n v="81"/>
    <n v="35"/>
    <n v="0"/>
    <n v="150"/>
    <n v="70"/>
    <n v="70"/>
    <n v="70"/>
    <n v="109"/>
    <n v="0"/>
    <n v="0"/>
    <n v="3"/>
    <n v="0"/>
    <n v="0"/>
  </r>
  <r>
    <x v="2"/>
    <s v="Pest Control"/>
    <x v="0"/>
    <s v="CAMP"/>
    <x v="4"/>
    <x v="2"/>
    <s v="Crema Extra Duracion 90g"/>
    <m/>
    <n v="0"/>
    <n v="0"/>
    <n v="118"/>
    <n v="99"/>
    <n v="20"/>
    <n v="0"/>
    <n v="5"/>
    <n v="0"/>
    <n v="5"/>
    <n v="15"/>
    <n v="0"/>
    <n v="0"/>
    <n v="0"/>
    <n v="0"/>
    <n v="0"/>
    <n v="15"/>
    <n v="0"/>
    <n v="0"/>
    <n v="0"/>
    <n v="0"/>
    <n v="0"/>
    <n v="0"/>
    <n v="0"/>
    <n v="0"/>
    <n v="0"/>
    <n v="0"/>
    <n v="0"/>
  </r>
  <r>
    <x v="2"/>
    <s v="Pest Control"/>
    <x v="0"/>
    <s v="CAMP"/>
    <x v="4"/>
    <x v="2"/>
    <s v="Family Crema 196g"/>
    <m/>
    <n v="0"/>
    <n v="0"/>
    <n v="0"/>
    <n v="0"/>
    <n v="275"/>
    <n v="190"/>
    <n v="260"/>
    <n v="0"/>
    <n v="8"/>
    <n v="3"/>
    <n v="0"/>
    <n v="0"/>
    <n v="0"/>
    <n v="0"/>
    <n v="203"/>
    <n v="336"/>
    <n v="312"/>
    <n v="312"/>
    <n v="636"/>
    <n v="423"/>
    <n v="150"/>
    <n v="797"/>
    <n v="60"/>
    <n v="0"/>
    <n v="0"/>
    <n v="0"/>
    <n v="135"/>
  </r>
  <r>
    <x v="2"/>
    <s v="Pest Control"/>
    <x v="0"/>
    <s v="CAMP"/>
    <x v="4"/>
    <x v="2"/>
    <s v="Family Crema 200g"/>
    <m/>
    <n v="0"/>
    <n v="0"/>
    <n v="117"/>
    <n v="52"/>
    <n v="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4"/>
    <x v="2"/>
    <s v="Family Crema 60g"/>
    <m/>
    <n v="0"/>
    <n v="0"/>
    <n v="190"/>
    <n v="353"/>
    <n v="485"/>
    <n v="564"/>
    <n v="553"/>
    <n v="315"/>
    <n v="94"/>
    <n v="2"/>
    <n v="0"/>
    <n v="0"/>
    <n v="0"/>
    <n v="0"/>
    <n v="152"/>
    <n v="388"/>
    <n v="420"/>
    <n v="312"/>
    <n v="1078"/>
    <n v="920"/>
    <n v="818"/>
    <n v="265"/>
    <n v="200"/>
    <n v="64"/>
    <n v="8"/>
    <n v="3"/>
    <n v="473"/>
  </r>
  <r>
    <x v="2"/>
    <s v="Pest Control"/>
    <x v="0"/>
    <s v="CAMP"/>
    <x v="4"/>
    <x v="2"/>
    <s v="Kids Crema 100g"/>
    <m/>
    <n v="0"/>
    <n v="0"/>
    <n v="0"/>
    <n v="0"/>
    <n v="136"/>
    <n v="141"/>
    <n v="56"/>
    <n v="25"/>
    <n v="9"/>
    <n v="3"/>
    <n v="0"/>
    <n v="0"/>
    <n v="0"/>
    <n v="0"/>
    <n v="138"/>
    <n v="259"/>
    <n v="55"/>
    <n v="191"/>
    <n v="634"/>
    <n v="0"/>
    <n v="3"/>
    <n v="30"/>
    <n v="0"/>
    <n v="0"/>
    <n v="1"/>
    <n v="17"/>
    <n v="202"/>
  </r>
  <r>
    <x v="2"/>
    <s v="Pest Control"/>
    <x v="0"/>
    <s v="CAMP"/>
    <x v="4"/>
    <x v="2"/>
    <s v="Kids Crema 90g"/>
    <m/>
    <n v="0"/>
    <n v="0"/>
    <n v="116"/>
    <n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4"/>
    <x v="2"/>
    <s v="Family Crema 60g Fundita"/>
    <m/>
    <n v="0"/>
    <n v="0"/>
    <n v="0"/>
    <n v="0"/>
    <n v="50"/>
    <n v="0"/>
    <n v="0"/>
    <n v="0"/>
    <n v="0"/>
    <n v="0"/>
    <n v="0"/>
    <n v="0"/>
    <n v="0"/>
    <n v="0"/>
    <n v="0"/>
    <n v="0"/>
    <n v="150"/>
    <n v="42"/>
    <n v="0"/>
    <n v="0"/>
    <n v="0"/>
    <n v="0"/>
    <n v="0"/>
    <n v="0"/>
    <n v="0"/>
    <n v="0"/>
    <n v="0"/>
  </r>
  <r>
    <x v="2"/>
    <s v="Pest Control"/>
    <x v="0"/>
    <s v="CAMP"/>
    <x v="5"/>
    <x v="2"/>
    <s v="Defense Gel"/>
    <m/>
    <n v="0"/>
    <n v="0"/>
    <n v="30"/>
    <n v="125"/>
    <n v="66"/>
    <n v="85"/>
    <n v="75"/>
    <n v="0"/>
    <n v="0"/>
    <n v="0"/>
    <n v="0"/>
    <n v="0"/>
    <n v="0"/>
    <n v="0"/>
    <n v="0"/>
    <n v="200"/>
    <n v="125"/>
    <n v="152"/>
    <n v="343"/>
    <n v="125"/>
    <n v="25"/>
    <n v="371"/>
    <n v="0"/>
    <n v="0"/>
    <n v="0"/>
    <n v="0"/>
    <n v="112"/>
  </r>
  <r>
    <x v="2"/>
    <s v="Pest Control"/>
    <x v="0"/>
    <s v="CAMP"/>
    <x v="6"/>
    <x v="2"/>
    <s v="Defense Spray"/>
    <m/>
    <n v="0"/>
    <n v="0"/>
    <n v="40"/>
    <n v="125"/>
    <n v="141"/>
    <n v="22"/>
    <n v="3"/>
    <n v="0"/>
    <n v="0"/>
    <n v="0"/>
    <n v="0"/>
    <n v="0"/>
    <n v="0"/>
    <n v="0"/>
    <n v="0"/>
    <n v="195"/>
    <n v="125"/>
    <n v="180"/>
    <n v="203"/>
    <n v="6"/>
    <n v="200"/>
    <n v="252"/>
    <n v="2"/>
    <n v="0"/>
    <n v="0"/>
    <n v="0"/>
    <n v="112"/>
  </r>
  <r>
    <x v="2"/>
    <s v="Pest Control"/>
    <x v="0"/>
    <s v="CAMP"/>
    <x v="6"/>
    <x v="2"/>
    <s v="Family Spray"/>
    <m/>
    <n v="0"/>
    <n v="0"/>
    <n v="114"/>
    <n v="104"/>
    <n v="120"/>
    <n v="8"/>
    <n v="118"/>
    <n v="0"/>
    <n v="8"/>
    <n v="0"/>
    <n v="0"/>
    <n v="0"/>
    <n v="0"/>
    <n v="0"/>
    <n v="83"/>
    <n v="45"/>
    <n v="14"/>
    <n v="0"/>
    <n v="0"/>
    <n v="108"/>
    <n v="225"/>
    <n v="370"/>
    <n v="70"/>
    <n v="0"/>
    <n v="0"/>
    <n v="0"/>
    <n v="98"/>
  </r>
  <r>
    <x v="2"/>
    <s v="Pest Control"/>
    <x v="0"/>
    <s v="CAMP"/>
    <x v="6"/>
    <x v="2"/>
    <s v="Invisible Sueño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</r>
  <r>
    <x v="2"/>
    <s v="Pest Control"/>
    <x v="0"/>
    <s v="IAM"/>
    <x v="7"/>
    <x v="3"/>
    <s v="on MMM"/>
    <m/>
    <n v="0"/>
    <n v="975"/>
    <n v="5151"/>
    <n v="4846"/>
    <n v="2609"/>
    <n v="1010"/>
    <n v="5"/>
    <n v="198"/>
    <n v="15"/>
    <n v="60"/>
    <n v="0"/>
    <n v="50"/>
    <n v="25"/>
    <n v="850"/>
    <n v="4206"/>
    <n v="4832"/>
    <n v="2004"/>
    <n v="0"/>
    <n v="84"/>
    <n v="0"/>
    <n v="110"/>
    <n v="245"/>
    <n v="169"/>
    <n v="9"/>
    <n v="150"/>
    <n v="264"/>
    <n v="2982"/>
  </r>
  <r>
    <x v="2"/>
    <s v="Pest Control"/>
    <x v="0"/>
    <s v="IAM"/>
    <x v="7"/>
    <x v="1"/>
    <s v="Aero MMM TP"/>
    <m/>
    <n v="0"/>
    <n v="0"/>
    <n v="1450"/>
    <n v="2095"/>
    <n v="1826"/>
    <n v="2984"/>
    <n v="765"/>
    <n v="406"/>
    <n v="882"/>
    <n v="75"/>
    <n v="0"/>
    <n v="30"/>
    <n v="0"/>
    <n v="110"/>
    <n v="1490"/>
    <n v="2706"/>
    <n v="2778"/>
    <n v="1359"/>
    <n v="770"/>
    <n v="90"/>
    <n v="360"/>
    <n v="172"/>
    <n v="201"/>
    <n v="63"/>
    <n v="0"/>
    <n v="29"/>
    <n v="2225"/>
  </r>
  <r>
    <x v="2"/>
    <s v="Pest Control"/>
    <x v="0"/>
    <s v="IAM"/>
    <x v="7"/>
    <x v="1"/>
    <s v="MMM Aero"/>
    <m/>
    <n v="5"/>
    <n v="10"/>
    <n v="3193"/>
    <n v="3655"/>
    <n v="2840"/>
    <n v="386"/>
    <n v="9"/>
    <n v="0"/>
    <n v="24"/>
    <n v="20"/>
    <n v="30"/>
    <n v="30"/>
    <n v="10"/>
    <n v="5"/>
    <n v="135"/>
    <n v="800"/>
    <n v="155"/>
    <n v="150"/>
    <n v="405"/>
    <n v="65"/>
    <n v="70"/>
    <n v="250"/>
    <n v="125"/>
    <n v="70"/>
    <n v="6"/>
    <n v="10"/>
    <n v="1560"/>
  </r>
  <r>
    <x v="2"/>
    <s v="Pest Control"/>
    <x v="0"/>
    <s v="IAM"/>
    <x v="7"/>
    <x v="0"/>
    <s v="Aero Casa y Jardin"/>
    <m/>
    <n v="14"/>
    <n v="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IAM"/>
    <x v="7"/>
    <x v="0"/>
    <s v="Aero Casa y Jardin Clasico"/>
    <n v="12"/>
    <n v="0"/>
    <n v="0"/>
    <n v="542"/>
    <n v="420"/>
    <n v="274"/>
    <n v="86"/>
    <n v="128"/>
    <n v="193"/>
    <n v="79"/>
    <n v="28"/>
    <n v="15"/>
    <n v="4"/>
    <n v="0"/>
    <n v="15"/>
    <n v="419"/>
    <n v="310"/>
    <n v="234"/>
    <n v="166"/>
    <n v="128"/>
    <n v="106"/>
    <n v="87"/>
    <n v="171"/>
    <n v="50"/>
    <n v="36"/>
    <n v="44"/>
    <n v="12"/>
    <n v="382"/>
  </r>
  <r>
    <x v="2"/>
    <s v="Pest Control"/>
    <x v="0"/>
    <s v="IAM"/>
    <x v="7"/>
    <x v="0"/>
    <s v="Aero MMM Azul"/>
    <n v="12"/>
    <n v="380"/>
    <n v="486"/>
    <n v="3201"/>
    <n v="2200"/>
    <n v="2203"/>
    <n v="60"/>
    <n v="0"/>
    <n v="40"/>
    <n v="7"/>
    <n v="0"/>
    <n v="65"/>
    <n v="0"/>
    <n v="12"/>
    <n v="1100"/>
    <n v="896"/>
    <n v="850"/>
    <n v="405"/>
    <n v="25"/>
    <n v="250"/>
    <n v="0"/>
    <n v="190"/>
    <n v="266"/>
    <n v="76"/>
    <n v="97"/>
    <n v="26"/>
    <n v="7"/>
    <n v="1392"/>
  </r>
  <r>
    <x v="2"/>
    <s v="Pest Control"/>
    <x v="0"/>
    <s v="IAM"/>
    <x v="7"/>
    <x v="0"/>
    <s v="Aero MMM Azul TP"/>
    <m/>
    <n v="0"/>
    <n v="0"/>
    <n v="1155"/>
    <n v="2425"/>
    <n v="1864"/>
    <n v="2863"/>
    <n v="669"/>
    <n v="395"/>
    <n v="609"/>
    <n v="15"/>
    <n v="115"/>
    <n v="0"/>
    <n v="40"/>
    <n v="170"/>
    <n v="2783"/>
    <n v="2070"/>
    <n v="2665"/>
    <n v="1355"/>
    <n v="730"/>
    <n v="130"/>
    <n v="230"/>
    <n v="80"/>
    <n v="171"/>
    <n v="63"/>
    <n v="130"/>
    <n v="101"/>
    <n v="3001"/>
  </r>
  <r>
    <x v="2"/>
    <s v="Pest Control"/>
    <x v="0"/>
    <s v="IAM"/>
    <x v="7"/>
    <x v="0"/>
    <s v="Aero MMM Eficacia Segura"/>
    <m/>
    <n v="0"/>
    <n v="0"/>
    <n v="98"/>
    <n v="76"/>
    <n v="48"/>
    <n v="28"/>
    <n v="0"/>
    <n v="0"/>
    <n v="0"/>
    <n v="18"/>
    <n v="40"/>
    <n v="0"/>
    <n v="0"/>
    <n v="0"/>
    <n v="85"/>
    <n v="0"/>
    <n v="51"/>
    <n v="0"/>
    <n v="0"/>
    <n v="0"/>
    <n v="0"/>
    <n v="0"/>
    <n v="0"/>
    <n v="0"/>
    <n v="0"/>
    <n v="0"/>
    <n v="0"/>
  </r>
  <r>
    <x v="2"/>
    <s v="Pest Control"/>
    <x v="0"/>
    <s v="IAM"/>
    <x v="7"/>
    <x v="0"/>
    <s v="Aero MMM S/O 420 BP"/>
    <n v="12"/>
    <n v="1033"/>
    <n v="1235"/>
    <n v="7301"/>
    <n v="6132"/>
    <n v="3772"/>
    <n v="781"/>
    <n v="155"/>
    <n v="297"/>
    <n v="645"/>
    <n v="507"/>
    <n v="267"/>
    <n v="130"/>
    <n v="60"/>
    <n v="1095"/>
    <n v="2950"/>
    <n v="3484"/>
    <n v="2780"/>
    <n v="2802"/>
    <n v="900"/>
    <n v="612"/>
    <n v="462"/>
    <n v="920"/>
    <n v="372"/>
    <n v="127"/>
    <n v="190"/>
    <n v="424"/>
    <n v="3010"/>
  </r>
  <r>
    <x v="2"/>
    <s v="Pest Control"/>
    <x v="0"/>
    <s v="IAM"/>
    <x v="7"/>
    <x v="0"/>
    <s v="Essentials Casa y Jardin"/>
    <n v="12"/>
    <n v="0"/>
    <n v="0"/>
    <n v="480"/>
    <n v="340"/>
    <n v="0"/>
    <n v="0"/>
    <n v="10"/>
    <n v="0"/>
    <n v="0"/>
    <n v="0"/>
    <n v="0"/>
    <n v="0"/>
    <n v="0"/>
    <n v="0"/>
    <n v="15"/>
    <n v="0"/>
    <n v="0"/>
    <n v="0"/>
    <n v="13"/>
    <n v="0"/>
    <n v="0"/>
    <n v="0"/>
    <n v="0"/>
    <n v="0"/>
    <n v="0"/>
    <n v="0"/>
    <n v="0"/>
  </r>
  <r>
    <x v="2"/>
    <s v="Pest Control"/>
    <x v="0"/>
    <s v="IAM"/>
    <x v="7"/>
    <x v="0"/>
    <s v="Aero MMM Essentials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</r>
  <r>
    <x v="2"/>
    <s v="Pest Control"/>
    <x v="1"/>
    <s v="Rastreros"/>
    <x v="8"/>
    <x v="3"/>
    <s v="on Verde"/>
    <m/>
    <n v="126"/>
    <n v="28"/>
    <n v="324"/>
    <n v="331"/>
    <n v="342"/>
    <n v="106"/>
    <n v="15"/>
    <n v="66"/>
    <n v="0"/>
    <n v="73"/>
    <n v="14"/>
    <n v="0"/>
    <n v="15"/>
    <n v="0"/>
    <n v="441"/>
    <n v="113"/>
    <n v="130"/>
    <n v="92"/>
    <n v="0"/>
    <n v="43"/>
    <n v="38"/>
    <n v="90"/>
    <n v="39"/>
    <n v="0"/>
    <n v="46"/>
    <n v="5"/>
    <n v="172"/>
  </r>
  <r>
    <x v="2"/>
    <s v="Pest Control"/>
    <x v="1"/>
    <s v="Rastreros"/>
    <x v="8"/>
    <x v="0"/>
    <s v="Aero Cocina"/>
    <m/>
    <n v="3"/>
    <n v="28"/>
    <n v="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1"/>
    <s v="Rastreros"/>
    <x v="8"/>
    <x v="0"/>
    <s v="Aero Exterminador"/>
    <n v="12"/>
    <n v="155"/>
    <n v="21"/>
    <n v="393"/>
    <n v="728"/>
    <n v="655"/>
    <n v="201"/>
    <n v="84"/>
    <n v="296"/>
    <n v="287"/>
    <n v="125"/>
    <n v="129"/>
    <n v="30"/>
    <n v="68"/>
    <n v="215"/>
    <n v="751"/>
    <n v="402"/>
    <n v="377"/>
    <n v="230"/>
    <n v="233"/>
    <n v="182"/>
    <n v="245"/>
    <n v="297"/>
    <n v="40"/>
    <n v="25"/>
    <n v="38"/>
    <n v="46"/>
    <n v="790"/>
  </r>
  <r>
    <x v="2"/>
    <s v="Pest Control"/>
    <x v="1"/>
    <s v="Rastreros"/>
    <x v="8"/>
    <x v="0"/>
    <s v="Aero Max S/O"/>
    <n v="12"/>
    <n v="182"/>
    <n v="33"/>
    <n v="484"/>
    <n v="364"/>
    <n v="541"/>
    <n v="236"/>
    <n v="190"/>
    <n v="161"/>
    <n v="224"/>
    <n v="87"/>
    <n v="140"/>
    <n v="40"/>
    <n v="55"/>
    <n v="108"/>
    <n v="875"/>
    <n v="71"/>
    <n v="433"/>
    <n v="186"/>
    <n v="189"/>
    <n v="258"/>
    <n v="263"/>
    <n v="176"/>
    <n v="57"/>
    <n v="35"/>
    <n v="66"/>
    <n v="35"/>
    <n v="482"/>
  </r>
  <r>
    <x v="2"/>
    <s v="Pest Control"/>
    <x v="1"/>
    <s v="Rastreros"/>
    <x v="8"/>
    <x v="0"/>
    <s v="Essentials Cucarachas"/>
    <n v="12"/>
    <n v="0"/>
    <n v="0"/>
    <n v="283"/>
    <n v="490"/>
    <n v="1"/>
    <n v="40"/>
    <n v="0"/>
    <n v="28"/>
    <n v="0"/>
    <n v="0"/>
    <n v="0"/>
    <n v="0"/>
    <n v="0"/>
    <n v="0"/>
    <n v="88"/>
    <n v="20"/>
    <n v="28"/>
    <n v="0"/>
    <n v="35"/>
    <n v="0"/>
    <n v="0"/>
    <n v="0"/>
    <n v="0"/>
    <n v="0"/>
    <n v="0"/>
    <n v="0"/>
    <n v="0"/>
  </r>
  <r>
    <x v="2"/>
    <s v="Pest Control"/>
    <x v="1"/>
    <s v="Rastreros"/>
    <x v="8"/>
    <x v="0"/>
    <s v="Max Jeringas"/>
    <n v="6"/>
    <n v="60"/>
    <n v="40"/>
    <n v="295"/>
    <n v="376"/>
    <n v="272"/>
    <n v="103"/>
    <n v="91"/>
    <n v="30"/>
    <n v="100"/>
    <n v="68"/>
    <n v="25"/>
    <n v="15"/>
    <n v="6"/>
    <n v="96"/>
    <n v="501"/>
    <n v="162"/>
    <n v="265"/>
    <n v="0"/>
    <n v="40"/>
    <n v="35"/>
    <n v="60"/>
    <n v="78"/>
    <n v="0"/>
    <n v="10"/>
    <n v="37"/>
    <n v="0"/>
    <n v="262"/>
  </r>
  <r>
    <x v="2"/>
    <s v="Pest Control"/>
    <x v="1"/>
    <s v="Rastreros"/>
    <x v="8"/>
    <x v="0"/>
    <s v="Cebos"/>
    <n v="12"/>
    <n v="71"/>
    <n v="10"/>
    <n v="660"/>
    <n v="412"/>
    <n v="545"/>
    <n v="316"/>
    <n v="113"/>
    <n v="284"/>
    <n v="107"/>
    <n v="130"/>
    <n v="75"/>
    <n v="10"/>
    <n v="38"/>
    <n v="70"/>
    <n v="330"/>
    <n v="465"/>
    <n v="357"/>
    <n v="267"/>
    <n v="355"/>
    <n v="195"/>
    <n v="103"/>
    <n v="184"/>
    <n v="51"/>
    <n v="50"/>
    <n v="24"/>
    <n v="12"/>
    <n v="420"/>
  </r>
  <r>
    <x v="2"/>
    <s v="Pest Control"/>
    <x v="1"/>
    <s v="Rastreros"/>
    <x v="9"/>
    <x v="0"/>
    <s v="Aero Mata Hormigas"/>
    <n v="12"/>
    <n v="0"/>
    <n v="5"/>
    <n v="254"/>
    <n v="42"/>
    <n v="105"/>
    <n v="111"/>
    <n v="15"/>
    <n v="78"/>
    <n v="10"/>
    <n v="55"/>
    <n v="0"/>
    <n v="25"/>
    <n v="2"/>
    <n v="29"/>
    <n v="61"/>
    <n v="217"/>
    <n v="116"/>
    <n v="6"/>
    <n v="31"/>
    <n v="0"/>
    <n v="1"/>
    <n v="30"/>
    <n v="0"/>
    <n v="0"/>
    <n v="0"/>
    <n v="0"/>
    <n v="183"/>
  </r>
  <r>
    <x v="2"/>
    <s v="Pest Control"/>
    <x v="1"/>
    <s v="Rastreros"/>
    <x v="10"/>
    <x v="0"/>
    <s v="Aero Matapulgas"/>
    <n v="12"/>
    <n v="2"/>
    <n v="34"/>
    <n v="301"/>
    <n v="279"/>
    <n v="297"/>
    <n v="84"/>
    <n v="5"/>
    <n v="77"/>
    <n v="76"/>
    <n v="63"/>
    <n v="35"/>
    <n v="21"/>
    <n v="0"/>
    <n v="25"/>
    <n v="397"/>
    <n v="227"/>
    <n v="181"/>
    <n v="29"/>
    <n v="33"/>
    <n v="22"/>
    <n v="83"/>
    <n v="37"/>
    <n v="0"/>
    <n v="0"/>
    <n v="31"/>
    <n v="0"/>
    <n v="260"/>
  </r>
  <r>
    <x v="2"/>
    <s v="Pest Control"/>
    <x v="1"/>
    <s v="Voladores"/>
    <x v="11"/>
    <x v="0"/>
    <s v="Aero Antipolilla"/>
    <n v="12"/>
    <n v="79"/>
    <n v="41"/>
    <n v="550"/>
    <n v="344"/>
    <n v="371"/>
    <n v="69"/>
    <n v="0"/>
    <n v="30"/>
    <n v="0"/>
    <n v="68"/>
    <n v="79"/>
    <n v="10"/>
    <n v="34"/>
    <n v="106"/>
    <n v="630"/>
    <n v="292"/>
    <n v="59"/>
    <n v="125"/>
    <n v="133"/>
    <n v="0"/>
    <n v="15"/>
    <n v="56"/>
    <n v="5"/>
    <n v="0"/>
    <n v="2"/>
    <n v="7"/>
    <n v="239"/>
  </r>
  <r>
    <x v="2"/>
    <s v="Pest Control"/>
    <x v="1"/>
    <s v="Voladores"/>
    <x v="12"/>
    <x v="0"/>
    <s v="Antipolillas Continuo"/>
    <m/>
    <n v="10"/>
    <n v="0"/>
    <n v="85"/>
    <n v="91"/>
    <n v="40"/>
    <n v="30"/>
    <n v="55"/>
    <n v="0"/>
    <n v="0"/>
    <n v="0"/>
    <n v="0"/>
    <n v="17"/>
    <n v="0"/>
    <n v="13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A"/>
    <x v="0"/>
    <x v="0"/>
    <s v="Espirales Lavanda"/>
    <n v="24"/>
    <n v="1"/>
    <n v="0"/>
    <n v="169"/>
    <n v="27"/>
    <n v="60"/>
    <n v="168"/>
    <n v="331"/>
    <n v="168"/>
    <n v="147"/>
    <n v="31"/>
    <n v="0"/>
    <n v="0"/>
    <n v="5"/>
    <n v="0"/>
    <n v="62"/>
    <n v="180"/>
    <n v="104"/>
    <n v="445"/>
    <n v="623"/>
    <n v="254"/>
    <n v="272"/>
    <n v="198"/>
    <n v="0"/>
    <n v="0"/>
    <n v="108"/>
    <n v="2"/>
    <n v="89"/>
  </r>
  <r>
    <x v="3"/>
    <s v="Pest Control"/>
    <x v="0"/>
    <s v="CAMA"/>
    <x v="0"/>
    <x v="0"/>
    <s v="Espirales Original"/>
    <n v="24"/>
    <n v="0"/>
    <n v="0"/>
    <n v="65"/>
    <n v="4"/>
    <n v="17"/>
    <n v="126"/>
    <n v="186"/>
    <n v="86"/>
    <n v="18"/>
    <n v="7"/>
    <n v="7"/>
    <n v="4"/>
    <n v="4"/>
    <n v="0"/>
    <n v="4"/>
    <n v="26"/>
    <n v="73"/>
    <n v="285"/>
    <n v="527"/>
    <n v="-23"/>
    <n v="96"/>
    <n v="77"/>
    <n v="230"/>
    <n v="13"/>
    <n v="6"/>
    <n v="0"/>
    <n v="53"/>
  </r>
  <r>
    <x v="3"/>
    <s v="Pest Control"/>
    <x v="0"/>
    <s v="CAMA"/>
    <x v="1"/>
    <x v="1"/>
    <s v="45N Ap."/>
    <m/>
    <n v="1"/>
    <n v="3"/>
    <n v="126"/>
    <n v="311"/>
    <n v="82"/>
    <n v="154"/>
    <n v="128"/>
    <n v="29"/>
    <n v="11"/>
    <n v="2"/>
    <n v="2"/>
    <n v="4"/>
    <n v="11"/>
    <n v="0"/>
    <n v="0"/>
    <n v="113"/>
    <n v="16"/>
    <n v="201"/>
    <n v="192"/>
    <n v="119"/>
    <n v="64"/>
    <n v="92"/>
    <n v="20"/>
    <n v="3"/>
    <n v="16"/>
    <n v="0"/>
    <n v="88"/>
  </r>
  <r>
    <x v="3"/>
    <s v="Pest Control"/>
    <x v="0"/>
    <s v="CAMA"/>
    <x v="1"/>
    <x v="1"/>
    <s v="45N Rep."/>
    <m/>
    <n v="2"/>
    <n v="0"/>
    <n v="87"/>
    <n v="70"/>
    <n v="211"/>
    <n v="196"/>
    <n v="137"/>
    <n v="62"/>
    <n v="47"/>
    <n v="38"/>
    <n v="105"/>
    <n v="7"/>
    <n v="7"/>
    <n v="0"/>
    <n v="4"/>
    <n v="120"/>
    <n v="82"/>
    <n v="171"/>
    <n v="266"/>
    <n v="40"/>
    <n v="65"/>
    <n v="145"/>
    <n v="30"/>
    <n v="10"/>
    <n v="13"/>
    <n v="0"/>
    <n v="0"/>
  </r>
  <r>
    <x v="3"/>
    <s v="Pest Control"/>
    <x v="0"/>
    <s v="CAMA"/>
    <x v="1"/>
    <x v="0"/>
    <s v="45N Ap."/>
    <n v="6"/>
    <n v="3"/>
    <n v="2"/>
    <n v="479"/>
    <n v="204"/>
    <n v="0"/>
    <n v="0"/>
    <n v="0"/>
    <n v="0"/>
    <n v="0"/>
    <n v="0"/>
    <n v="0"/>
    <n v="0"/>
    <n v="0"/>
    <n v="54"/>
    <n v="25"/>
    <n v="14"/>
    <n v="0"/>
    <n v="0"/>
    <n v="583"/>
    <n v="249"/>
    <n v="166"/>
    <n v="195"/>
    <n v="48"/>
    <n v="14"/>
    <n v="6"/>
    <n v="1"/>
    <n v="0"/>
  </r>
  <r>
    <x v="3"/>
    <s v="Pest Control"/>
    <x v="0"/>
    <s v="CAMA"/>
    <x v="1"/>
    <x v="0"/>
    <s v="45N Rep."/>
    <n v="12"/>
    <n v="2"/>
    <n v="1"/>
    <n v="976"/>
    <n v="224"/>
    <n v="409"/>
    <n v="237"/>
    <n v="366"/>
    <n v="309"/>
    <n v="301"/>
    <n v="170"/>
    <n v="85"/>
    <n v="31"/>
    <n v="25"/>
    <n v="42"/>
    <n v="551"/>
    <n v="242"/>
    <n v="487"/>
    <n v="450"/>
    <n v="409"/>
    <n v="333"/>
    <n v="417"/>
    <n v="307"/>
    <n v="34"/>
    <n v="14"/>
    <n v="41"/>
    <n v="1"/>
    <n v="386"/>
  </r>
  <r>
    <x v="3"/>
    <s v="Pest Control"/>
    <x v="0"/>
    <s v="CAMA"/>
    <x v="1"/>
    <x v="0"/>
    <s v="45N Ap. Promo"/>
    <n v="6"/>
    <n v="0"/>
    <n v="0"/>
    <n v="1101"/>
    <n v="467"/>
    <n v="630"/>
    <n v="1518"/>
    <n v="838"/>
    <n v="364"/>
    <n v="189"/>
    <n v="78"/>
    <n v="41"/>
    <n v="24"/>
    <n v="72"/>
    <n v="25"/>
    <n v="482"/>
    <n v="1144"/>
    <n v="1000"/>
    <n v="426"/>
    <n v="0"/>
    <n v="0"/>
    <n v="0"/>
    <n v="0"/>
    <n v="0"/>
    <n v="0"/>
    <n v="0"/>
    <n v="0"/>
    <n v="537"/>
  </r>
  <r>
    <x v="3"/>
    <s v="Pest Control"/>
    <x v="0"/>
    <s v="CAMA"/>
    <x v="1"/>
    <x v="0"/>
    <s v="45N Rep. Bloosoms"/>
    <n v="12"/>
    <n v="0"/>
    <n v="0"/>
    <n v="0"/>
    <n v="0"/>
    <n v="0"/>
    <n v="0"/>
    <n v="0"/>
    <n v="0"/>
    <n v="0"/>
    <n v="0"/>
    <n v="0"/>
    <n v="0"/>
    <n v="0"/>
    <n v="0"/>
    <n v="17"/>
    <n v="234"/>
    <n v="218"/>
    <n v="287"/>
    <n v="267"/>
    <n v="239"/>
    <n v="198"/>
    <n v="228"/>
    <n v="27"/>
    <n v="9"/>
    <n v="22"/>
    <n v="0"/>
    <n v="103"/>
  </r>
  <r>
    <x v="3"/>
    <s v="Pest Control"/>
    <x v="0"/>
    <s v="CAMA"/>
    <x v="1"/>
    <x v="1"/>
    <s v="45 Noches Rep.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"/>
  </r>
  <r>
    <x v="3"/>
    <s v="Pest Control"/>
    <x v="0"/>
    <s v="CAMA"/>
    <x v="2"/>
    <x v="1"/>
    <s v="Tabletas Rep. x12"/>
    <m/>
    <n v="4"/>
    <n v="145"/>
    <n v="75"/>
    <n v="189"/>
    <n v="712"/>
    <n v="749"/>
    <n v="368"/>
    <n v="219"/>
    <n v="202"/>
    <n v="215"/>
    <n v="109"/>
    <n v="11"/>
    <n v="45"/>
    <n v="10"/>
    <n v="350"/>
    <n v="109"/>
    <n v="393"/>
    <n v="579"/>
    <n v="549"/>
    <n v="234"/>
    <n v="360"/>
    <n v="274"/>
    <n v="41"/>
    <n v="0"/>
    <n v="73"/>
    <n v="0"/>
    <n v="199"/>
  </r>
  <r>
    <x v="3"/>
    <s v="Pest Control"/>
    <x v="0"/>
    <s v="CAMA"/>
    <x v="2"/>
    <x v="1"/>
    <s v="Tabletas Rep. x24"/>
    <m/>
    <n v="2"/>
    <n v="0"/>
    <n v="22"/>
    <n v="40"/>
    <n v="208"/>
    <n v="153"/>
    <n v="86"/>
    <n v="71"/>
    <n v="67"/>
    <n v="36"/>
    <n v="32"/>
    <n v="8"/>
    <n v="19"/>
    <n v="7"/>
    <n v="77"/>
    <n v="61"/>
    <n v="114"/>
    <n v="134"/>
    <n v="130"/>
    <n v="39"/>
    <n v="140"/>
    <n v="24"/>
    <n v="1"/>
    <n v="14"/>
    <n v="2"/>
    <n v="0"/>
    <n v="45"/>
  </r>
  <r>
    <x v="3"/>
    <s v="Pest Control"/>
    <x v="0"/>
    <s v="CAMA"/>
    <x v="2"/>
    <x v="0"/>
    <s v="Tabletas Ap."/>
    <m/>
    <n v="3"/>
    <n v="3"/>
    <n v="477"/>
    <n v="210"/>
    <n v="659"/>
    <n v="840"/>
    <n v="550"/>
    <n v="205"/>
    <n v="133"/>
    <n v="68"/>
    <n v="150"/>
    <n v="3"/>
    <n v="24"/>
    <n v="4"/>
    <n v="148"/>
    <n v="337"/>
    <n v="762"/>
    <n v="741"/>
    <n v="686"/>
    <n v="184"/>
    <n v="276"/>
    <n v="296"/>
    <n v="86"/>
    <n v="10"/>
    <n v="28"/>
    <n v="1"/>
    <n v="301"/>
  </r>
  <r>
    <x v="3"/>
    <s v="Pest Control"/>
    <x v="0"/>
    <s v="CAMA"/>
    <x v="2"/>
    <x v="0"/>
    <s v="Tabletas Doble Accion Rep. x24"/>
    <m/>
    <n v="4"/>
    <n v="3"/>
    <n v="127"/>
    <n v="19"/>
    <n v="221"/>
    <n v="117"/>
    <n v="117"/>
    <n v="68"/>
    <n v="91"/>
    <n v="30"/>
    <n v="26"/>
    <n v="4"/>
    <n v="3"/>
    <n v="31"/>
    <n v="29"/>
    <n v="156"/>
    <n v="128"/>
    <n v="103"/>
    <n v="100"/>
    <n v="75"/>
    <n v="32"/>
    <n v="31"/>
    <n v="22"/>
    <n v="5"/>
    <n v="7"/>
    <n v="1"/>
    <n v="52"/>
  </r>
  <r>
    <x v="3"/>
    <s v="Pest Control"/>
    <x v="0"/>
    <s v="CAMA"/>
    <x v="2"/>
    <x v="0"/>
    <s v="Tabletas Rep. X12"/>
    <m/>
    <n v="0"/>
    <n v="0"/>
    <n v="627"/>
    <n v="249"/>
    <n v="337"/>
    <n v="253"/>
    <n v="172"/>
    <n v="26"/>
    <n v="128"/>
    <n v="50"/>
    <n v="73"/>
    <n v="19"/>
    <n v="30"/>
    <n v="12"/>
    <n v="234"/>
    <n v="715"/>
    <n v="183"/>
    <n v="275"/>
    <n v="636"/>
    <n v="233"/>
    <n v="245"/>
    <n v="210"/>
    <n v="72"/>
    <n v="0"/>
    <n v="3"/>
    <n v="0"/>
    <n v="249"/>
  </r>
  <r>
    <x v="3"/>
    <s v="Pest Control"/>
    <x v="0"/>
    <s v="CAMA"/>
    <x v="2"/>
    <x v="0"/>
    <s v="Tabletas Rep. x72"/>
    <m/>
    <n v="11"/>
    <n v="1"/>
    <n v="34"/>
    <n v="10"/>
    <n v="71"/>
    <n v="292"/>
    <n v="89"/>
    <n v="5"/>
    <n v="30"/>
    <n v="6"/>
    <n v="10"/>
    <n v="0"/>
    <n v="5"/>
    <n v="0"/>
    <n v="17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3"/>
    <x v="1"/>
    <s v="Repelente Aero 165"/>
    <m/>
    <n v="0"/>
    <n v="2"/>
    <n v="2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3"/>
    <x v="1"/>
    <s v="Repelente Aero 170"/>
    <m/>
    <n v="0"/>
    <n v="0"/>
    <n v="447"/>
    <n v="25"/>
    <n v="671"/>
    <n v="226"/>
    <n v="456"/>
    <n v="449"/>
    <n v="186"/>
    <n v="78"/>
    <n v="74"/>
    <n v="4"/>
    <n v="4"/>
    <n v="0"/>
    <n v="34"/>
    <n v="422"/>
    <n v="552"/>
    <n v="704"/>
    <n v="1245"/>
    <n v="1113"/>
    <n v="330"/>
    <n v="1110"/>
    <n v="249"/>
    <n v="73"/>
    <n v="51"/>
    <n v="7"/>
    <n v="397"/>
  </r>
  <r>
    <x v="3"/>
    <s v="Pest Control"/>
    <x v="0"/>
    <s v="CAMP"/>
    <x v="3"/>
    <x v="2"/>
    <s v="Extra Dur. Aero 170"/>
    <m/>
    <n v="1"/>
    <n v="0"/>
    <n v="248"/>
    <n v="190"/>
    <n v="273"/>
    <n v="265"/>
    <n v="187"/>
    <n v="266"/>
    <n v="90"/>
    <n v="105"/>
    <n v="98"/>
    <n v="20"/>
    <n v="4"/>
    <n v="0"/>
    <n v="102"/>
    <n v="215"/>
    <n v="438"/>
    <n v="459"/>
    <n v="967"/>
    <n v="563"/>
    <n v="1018"/>
    <n v="1047"/>
    <n v="31"/>
    <n v="315"/>
    <n v="186"/>
    <n v="0"/>
    <n v="232"/>
  </r>
  <r>
    <x v="3"/>
    <s v="Pest Control"/>
    <x v="0"/>
    <s v="CAMP"/>
    <x v="3"/>
    <x v="2"/>
    <s v="Extra Dur. Aero BP 290"/>
    <m/>
    <n v="1"/>
    <n v="1"/>
    <n v="92"/>
    <n v="119"/>
    <n v="83"/>
    <n v="93"/>
    <n v="23"/>
    <n v="91"/>
    <n v="26"/>
    <n v="19"/>
    <n v="33"/>
    <n v="3"/>
    <n v="2"/>
    <n v="0"/>
    <n v="60"/>
    <n v="153"/>
    <n v="204"/>
    <n v="203"/>
    <n v="233"/>
    <n v="429"/>
    <n v="18"/>
    <n v="0"/>
    <n v="0"/>
    <n v="0"/>
    <n v="0"/>
    <n v="0"/>
    <n v="151"/>
  </r>
  <r>
    <x v="3"/>
    <s v="Pest Control"/>
    <x v="0"/>
    <s v="CAMP"/>
    <x v="3"/>
    <x v="2"/>
    <s v="Family Aero 170"/>
    <m/>
    <n v="0"/>
    <n v="42"/>
    <n v="892"/>
    <n v="126"/>
    <n v="130"/>
    <n v="364"/>
    <n v="527"/>
    <n v="267"/>
    <n v="376"/>
    <n v="116"/>
    <n v="99"/>
    <n v="32"/>
    <n v="3"/>
    <n v="0"/>
    <n v="471"/>
    <n v="88"/>
    <n v="627"/>
    <n v="798"/>
    <n v="1952"/>
    <n v="609"/>
    <n v="2030"/>
    <n v="1474"/>
    <n v="527"/>
    <n v="164"/>
    <n v="1"/>
    <n v="0"/>
    <n v="520"/>
  </r>
  <r>
    <x v="3"/>
    <s v="Pest Control"/>
    <x v="0"/>
    <s v="CAMP"/>
    <x v="3"/>
    <x v="2"/>
    <s v="Family Aero BP 290"/>
    <m/>
    <n v="0"/>
    <n v="2"/>
    <n v="58"/>
    <n v="9"/>
    <n v="118"/>
    <n v="175"/>
    <n v="186"/>
    <n v="97"/>
    <n v="47"/>
    <n v="19"/>
    <n v="34"/>
    <n v="0"/>
    <n v="5"/>
    <n v="0"/>
    <n v="20"/>
    <n v="175"/>
    <n v="227"/>
    <n v="326"/>
    <n v="893"/>
    <n v="284"/>
    <n v="108"/>
    <n v="0"/>
    <n v="0"/>
    <n v="0"/>
    <n v="0"/>
    <n v="0"/>
    <n v="216"/>
  </r>
  <r>
    <x v="3"/>
    <s v="Pest Control"/>
    <x v="0"/>
    <s v="CAMP"/>
    <x v="3"/>
    <x v="2"/>
    <s v="Family S&amp;D Aero"/>
    <m/>
    <n v="0"/>
    <n v="2"/>
    <n v="5"/>
    <n v="0"/>
    <n v="20"/>
    <n v="23"/>
    <n v="26"/>
    <n v="9"/>
    <n v="7"/>
    <n v="0"/>
    <n v="1"/>
    <n v="0"/>
    <n v="4"/>
    <n v="31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3"/>
    <x v="2"/>
    <s v="Invisible Aero Everyday"/>
    <m/>
    <n v="0"/>
    <n v="2"/>
    <n v="2"/>
    <n v="3"/>
    <n v="11"/>
    <n v="10"/>
    <n v="10"/>
    <n v="2"/>
    <n v="1"/>
    <n v="2"/>
    <n v="11"/>
    <n v="1"/>
    <n v="1"/>
    <n v="0"/>
    <n v="4"/>
    <n v="0"/>
    <n v="33"/>
    <n v="114"/>
    <n v="84"/>
    <n v="279"/>
    <n v="28"/>
    <n v="0"/>
    <n v="77"/>
    <n v="0"/>
    <n v="0"/>
    <n v="0"/>
    <n v="60"/>
  </r>
  <r>
    <x v="3"/>
    <s v="Pest Control"/>
    <x v="0"/>
    <s v="CAMP"/>
    <x v="4"/>
    <x v="2"/>
    <s v="Crema Extra Duracion 100g"/>
    <m/>
    <n v="0"/>
    <n v="0"/>
    <n v="0"/>
    <n v="0"/>
    <n v="44"/>
    <n v="84"/>
    <n v="61"/>
    <n v="8"/>
    <n v="32"/>
    <n v="13"/>
    <n v="49"/>
    <n v="5"/>
    <n v="4"/>
    <n v="50"/>
    <n v="1"/>
    <n v="46"/>
    <n v="18"/>
    <n v="65"/>
    <n v="208"/>
    <n v="181"/>
    <n v="288"/>
    <n v="192"/>
    <n v="0"/>
    <n v="0"/>
    <n v="35"/>
    <n v="1"/>
    <n v="0"/>
  </r>
  <r>
    <x v="3"/>
    <s v="Pest Control"/>
    <x v="0"/>
    <s v="CAMP"/>
    <x v="4"/>
    <x v="2"/>
    <s v="Crema Extra Duracion 90g"/>
    <m/>
    <n v="0"/>
    <n v="1"/>
    <n v="0"/>
    <n v="2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4"/>
    <x v="2"/>
    <s v="Family Crema 196g"/>
    <m/>
    <n v="0"/>
    <n v="0"/>
    <n v="0"/>
    <n v="0"/>
    <n v="236"/>
    <n v="80"/>
    <n v="111"/>
    <n v="86"/>
    <n v="26"/>
    <n v="0"/>
    <n v="53"/>
    <n v="5"/>
    <n v="6"/>
    <n v="0"/>
    <n v="28"/>
    <n v="82"/>
    <n v="124"/>
    <n v="171"/>
    <n v="372"/>
    <n v="104"/>
    <n v="316"/>
    <n v="1092"/>
    <n v="45"/>
    <n v="3"/>
    <n v="6"/>
    <n v="0"/>
    <n v="45"/>
  </r>
  <r>
    <x v="3"/>
    <s v="Pest Control"/>
    <x v="0"/>
    <s v="CAMP"/>
    <x v="4"/>
    <x v="2"/>
    <s v="Family Crema 200g"/>
    <m/>
    <n v="0"/>
    <n v="1"/>
    <n v="105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4"/>
    <x v="2"/>
    <s v="Family Crema 60g"/>
    <m/>
    <n v="0"/>
    <n v="1"/>
    <n v="212"/>
    <n v="43"/>
    <n v="257"/>
    <n v="100"/>
    <n v="52"/>
    <n v="108"/>
    <n v="36"/>
    <n v="7"/>
    <n v="11"/>
    <n v="5"/>
    <n v="3"/>
    <n v="0"/>
    <n v="73"/>
    <n v="36"/>
    <n v="297"/>
    <n v="192"/>
    <n v="374"/>
    <n v="168"/>
    <n v="511"/>
    <n v="625"/>
    <n v="235"/>
    <n v="7"/>
    <n v="33"/>
    <n v="0"/>
    <n v="115"/>
  </r>
  <r>
    <x v="3"/>
    <s v="Pest Control"/>
    <x v="0"/>
    <s v="CAMP"/>
    <x v="4"/>
    <x v="2"/>
    <s v="Kids Crema 100g"/>
    <m/>
    <n v="0"/>
    <n v="0"/>
    <n v="0"/>
    <n v="0"/>
    <n v="97"/>
    <n v="66"/>
    <n v="40"/>
    <n v="39"/>
    <n v="26"/>
    <n v="12"/>
    <n v="35"/>
    <n v="4"/>
    <n v="4"/>
    <n v="0"/>
    <n v="0"/>
    <n v="93"/>
    <n v="34"/>
    <n v="103"/>
    <n v="247"/>
    <n v="90"/>
    <n v="205"/>
    <n v="272"/>
    <n v="0"/>
    <n v="0"/>
    <n v="63"/>
    <n v="31"/>
    <n v="66"/>
  </r>
  <r>
    <x v="3"/>
    <s v="Pest Control"/>
    <x v="0"/>
    <s v="CAMP"/>
    <x v="4"/>
    <x v="2"/>
    <s v="Kids Crema 90g"/>
    <m/>
    <n v="1"/>
    <n v="1"/>
    <n v="51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4"/>
    <x v="2"/>
    <s v="Family Crema 60g Fundita"/>
    <m/>
    <n v="0"/>
    <n v="0"/>
    <n v="0"/>
    <n v="0"/>
    <n v="0"/>
    <n v="69"/>
    <n v="27"/>
    <n v="0"/>
    <n v="1"/>
    <n v="0"/>
    <n v="0"/>
    <n v="0"/>
    <n v="3"/>
    <n v="0"/>
    <n v="115"/>
    <n v="67"/>
    <n v="56"/>
    <n v="21"/>
    <n v="0"/>
    <n v="0"/>
    <n v="0"/>
    <n v="0"/>
    <n v="0"/>
    <n v="0"/>
    <n v="0"/>
    <n v="0"/>
    <n v="0"/>
  </r>
  <r>
    <x v="3"/>
    <s v="Pest Control"/>
    <x v="0"/>
    <s v="CAMP"/>
    <x v="5"/>
    <x v="2"/>
    <s v="Defense Gel"/>
    <m/>
    <n v="0"/>
    <n v="0"/>
    <n v="0"/>
    <n v="0"/>
    <n v="0"/>
    <n v="0"/>
    <n v="0"/>
    <n v="0"/>
    <n v="4"/>
    <n v="0"/>
    <n v="0"/>
    <n v="0"/>
    <n v="0"/>
    <n v="0"/>
    <n v="0"/>
    <n v="0"/>
    <n v="2"/>
    <n v="3"/>
    <n v="0"/>
    <n v="0"/>
    <n v="0"/>
    <n v="47"/>
    <n v="16"/>
    <n v="0"/>
    <n v="0"/>
    <n v="0"/>
    <n v="45"/>
  </r>
  <r>
    <x v="3"/>
    <s v="Pest Control"/>
    <x v="0"/>
    <s v="CAMP"/>
    <x v="6"/>
    <x v="2"/>
    <s v="Defense Spray"/>
    <m/>
    <n v="0"/>
    <n v="0"/>
    <n v="0"/>
    <n v="0"/>
    <n v="0"/>
    <n v="0"/>
    <n v="0"/>
    <n v="0"/>
    <n v="4"/>
    <n v="0"/>
    <n v="0"/>
    <n v="0"/>
    <n v="0"/>
    <n v="0"/>
    <n v="0"/>
    <n v="0"/>
    <n v="2"/>
    <n v="1"/>
    <n v="7"/>
    <n v="0"/>
    <n v="1"/>
    <n v="56"/>
    <n v="0"/>
    <n v="0"/>
    <n v="0"/>
    <n v="0"/>
    <n v="48"/>
  </r>
  <r>
    <x v="3"/>
    <s v="Pest Control"/>
    <x v="0"/>
    <s v="CAMP"/>
    <x v="6"/>
    <x v="2"/>
    <s v="Family Spray"/>
    <m/>
    <n v="0"/>
    <n v="2"/>
    <n v="63"/>
    <n v="41"/>
    <n v="68"/>
    <n v="142"/>
    <n v="31"/>
    <n v="76"/>
    <n v="12"/>
    <n v="2"/>
    <n v="42"/>
    <n v="2"/>
    <n v="2"/>
    <n v="0"/>
    <n v="11"/>
    <n v="56"/>
    <n v="0"/>
    <n v="0"/>
    <n v="0"/>
    <n v="10"/>
    <n v="0"/>
    <n v="256"/>
    <n v="0"/>
    <n v="0"/>
    <n v="0"/>
    <n v="0"/>
    <n v="43"/>
  </r>
  <r>
    <x v="3"/>
    <s v="Pest Control"/>
    <x v="0"/>
    <s v="CAMP"/>
    <x v="6"/>
    <x v="2"/>
    <s v="Invisible Sueños"/>
    <m/>
    <n v="0"/>
    <n v="0"/>
    <n v="0"/>
    <n v="0"/>
    <n v="0"/>
    <n v="0"/>
    <n v="0"/>
    <n v="0"/>
    <n v="0"/>
    <n v="0"/>
    <n v="0"/>
    <n v="0"/>
    <n v="0"/>
    <n v="0"/>
    <n v="0"/>
    <n v="128"/>
    <n v="132"/>
    <n v="139"/>
    <n v="100"/>
    <n v="134"/>
    <n v="203"/>
    <n v="0"/>
    <n v="129"/>
    <n v="12"/>
    <n v="7"/>
    <n v="0"/>
    <n v="76"/>
  </r>
  <r>
    <x v="3"/>
    <s v="Pest Control"/>
    <x v="0"/>
    <s v="IAM"/>
    <x v="7"/>
    <x v="3"/>
    <s v="on MMM"/>
    <m/>
    <n v="7"/>
    <n v="1716"/>
    <n v="1840"/>
    <n v="410"/>
    <n v="3029"/>
    <n v="1992"/>
    <n v="529"/>
    <n v="677"/>
    <n v="591"/>
    <n v="340"/>
    <n v="296"/>
    <n v="35"/>
    <n v="110"/>
    <n v="5"/>
    <n v="132"/>
    <n v="1530"/>
    <n v="1564"/>
    <n v="1329"/>
    <n v="1177"/>
    <n v="949"/>
    <n v="1092"/>
    <n v="599"/>
    <n v="399"/>
    <n v="91"/>
    <n v="19"/>
    <n v="45"/>
    <n v="888"/>
  </r>
  <r>
    <x v="3"/>
    <s v="Pest Control"/>
    <x v="0"/>
    <s v="IAM"/>
    <x v="7"/>
    <x v="1"/>
    <s v="Aero MMM TP"/>
    <m/>
    <n v="0"/>
    <n v="0"/>
    <n v="353"/>
    <n v="2009"/>
    <n v="1175"/>
    <n v="1369"/>
    <n v="283"/>
    <n v="297"/>
    <n v="273"/>
    <n v="137"/>
    <n v="104"/>
    <n v="302"/>
    <n v="11"/>
    <n v="0"/>
    <n v="229"/>
    <n v="1326"/>
    <n v="1408"/>
    <n v="792"/>
    <n v="911"/>
    <n v="334"/>
    <n v="819"/>
    <n v="182"/>
    <n v="83"/>
    <n v="0"/>
    <n v="90"/>
    <n v="54"/>
    <n v="427"/>
  </r>
  <r>
    <x v="3"/>
    <s v="Pest Control"/>
    <x v="0"/>
    <s v="IAM"/>
    <x v="7"/>
    <x v="1"/>
    <s v="MMM Aero"/>
    <m/>
    <n v="7"/>
    <n v="118"/>
    <n v="2076"/>
    <n v="950"/>
    <n v="839"/>
    <n v="341"/>
    <n v="328"/>
    <n v="414"/>
    <n v="456"/>
    <n v="407"/>
    <n v="240"/>
    <n v="81"/>
    <n v="83"/>
    <n v="20"/>
    <n v="946"/>
    <n v="281"/>
    <n v="939"/>
    <n v="1675"/>
    <n v="614"/>
    <n v="722"/>
    <n v="1122"/>
    <n v="706"/>
    <n v="200"/>
    <n v="46"/>
    <n v="60"/>
    <n v="1"/>
    <n v="715"/>
  </r>
  <r>
    <x v="3"/>
    <s v="Pest Control"/>
    <x v="0"/>
    <s v="IAM"/>
    <x v="7"/>
    <x v="0"/>
    <s v="Aero Casa y Jardin"/>
    <m/>
    <n v="3"/>
    <n v="7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IAM"/>
    <x v="7"/>
    <x v="0"/>
    <s v="Aero Casa y Jardin Clasico"/>
    <n v="12"/>
    <n v="0"/>
    <n v="0"/>
    <n v="374"/>
    <n v="431"/>
    <n v="224"/>
    <n v="91"/>
    <n v="112"/>
    <n v="152"/>
    <n v="195"/>
    <n v="119"/>
    <n v="85"/>
    <n v="27"/>
    <n v="50"/>
    <n v="6"/>
    <n v="196"/>
    <n v="318"/>
    <n v="60"/>
    <n v="336"/>
    <n v="557"/>
    <n v="206"/>
    <n v="330"/>
    <n v="274"/>
    <n v="33"/>
    <n v="27"/>
    <n v="107"/>
    <n v="8"/>
    <n v="210"/>
  </r>
  <r>
    <x v="3"/>
    <s v="Pest Control"/>
    <x v="0"/>
    <s v="IAM"/>
    <x v="7"/>
    <x v="0"/>
    <s v="Aero MMM Azul"/>
    <n v="12"/>
    <n v="8"/>
    <n v="15"/>
    <n v="2774"/>
    <n v="533"/>
    <n v="1587"/>
    <n v="626"/>
    <n v="134"/>
    <n v="506"/>
    <n v="230"/>
    <n v="415"/>
    <n v="199"/>
    <n v="0"/>
    <n v="23"/>
    <n v="140"/>
    <n v="1035"/>
    <n v="807"/>
    <n v="583"/>
    <n v="1284"/>
    <n v="1041"/>
    <n v="851"/>
    <n v="989"/>
    <n v="648"/>
    <n v="220"/>
    <n v="30"/>
    <n v="5"/>
    <n v="9"/>
    <n v="761"/>
  </r>
  <r>
    <x v="3"/>
    <s v="Pest Control"/>
    <x v="0"/>
    <s v="IAM"/>
    <x v="7"/>
    <x v="0"/>
    <s v="Aero MMM Azul TP"/>
    <m/>
    <n v="0"/>
    <n v="0"/>
    <n v="1312"/>
    <n v="1199"/>
    <n v="1335"/>
    <n v="2145"/>
    <n v="1005"/>
    <n v="1065"/>
    <n v="941"/>
    <n v="395"/>
    <n v="147"/>
    <n v="460"/>
    <n v="18"/>
    <n v="5"/>
    <n v="442"/>
    <n v="1516"/>
    <n v="2099"/>
    <n v="978"/>
    <n v="2177"/>
    <n v="1035"/>
    <n v="1377"/>
    <n v="162"/>
    <n v="176"/>
    <n v="0"/>
    <n v="0"/>
    <n v="61"/>
    <n v="1510"/>
  </r>
  <r>
    <x v="3"/>
    <s v="Pest Control"/>
    <x v="0"/>
    <s v="IAM"/>
    <x v="7"/>
    <x v="0"/>
    <s v="Aero MMM Eficacia Segura"/>
    <m/>
    <n v="5"/>
    <n v="1"/>
    <n v="175"/>
    <n v="219"/>
    <n v="138"/>
    <n v="102"/>
    <n v="44"/>
    <n v="28"/>
    <n v="36"/>
    <n v="43"/>
    <n v="24"/>
    <n v="6"/>
    <n v="7"/>
    <n v="7"/>
    <n v="3"/>
    <n v="0"/>
    <n v="0"/>
    <n v="3"/>
    <n v="0"/>
    <n v="0"/>
    <n v="0"/>
    <n v="0"/>
    <n v="0"/>
    <n v="0"/>
    <n v="0"/>
    <n v="0"/>
    <n v="0"/>
  </r>
  <r>
    <x v="3"/>
    <s v="Pest Control"/>
    <x v="0"/>
    <s v="IAM"/>
    <x v="7"/>
    <x v="0"/>
    <s v="Aero MMM S/O 420 BP"/>
    <n v="12"/>
    <n v="236"/>
    <n v="36"/>
    <n v="5824"/>
    <n v="783"/>
    <n v="3940"/>
    <n v="1391"/>
    <n v="830"/>
    <n v="737"/>
    <n v="1233"/>
    <n v="790"/>
    <n v="1054"/>
    <n v="128"/>
    <n v="145"/>
    <n v="62"/>
    <n v="2806"/>
    <n v="1155"/>
    <n v="2975"/>
    <n v="1759"/>
    <n v="2102"/>
    <n v="2067"/>
    <n v="2157"/>
    <n v="1616"/>
    <n v="295"/>
    <n v="138"/>
    <n v="76"/>
    <n v="0"/>
    <n v="1807"/>
  </r>
  <r>
    <x v="3"/>
    <s v="Pest Control"/>
    <x v="0"/>
    <s v="IAM"/>
    <x v="7"/>
    <x v="0"/>
    <s v="Essentials Casa y Jardin"/>
    <n v="12"/>
    <n v="0"/>
    <n v="0"/>
    <n v="134"/>
    <n v="548"/>
    <n v="200"/>
    <n v="84"/>
    <n v="47"/>
    <n v="70"/>
    <n v="46"/>
    <n v="55"/>
    <n v="36"/>
    <n v="11"/>
    <n v="14"/>
    <n v="0"/>
    <n v="45"/>
    <n v="102"/>
    <n v="7"/>
    <n v="112"/>
    <n v="99"/>
    <n v="9"/>
    <n v="0"/>
    <n v="0"/>
    <n v="0"/>
    <n v="0"/>
    <n v="0"/>
    <n v="0"/>
    <n v="0"/>
  </r>
  <r>
    <x v="3"/>
    <s v="Pest Control"/>
    <x v="0"/>
    <s v="IAM"/>
    <x v="7"/>
    <x v="0"/>
    <s v="Aero MMM Essentials"/>
    <n v="12"/>
    <n v="0"/>
    <n v="0"/>
    <n v="0"/>
    <n v="0"/>
    <n v="0"/>
    <n v="0"/>
    <n v="0"/>
    <n v="0"/>
    <n v="0"/>
    <n v="0"/>
    <n v="0"/>
    <n v="0"/>
    <n v="0"/>
    <n v="0"/>
    <n v="274"/>
    <n v="159"/>
    <n v="156"/>
    <n v="37"/>
    <n v="93"/>
    <n v="11"/>
    <n v="87"/>
    <n v="72"/>
    <n v="2"/>
    <n v="2"/>
    <n v="4"/>
    <n v="0"/>
    <n v="3"/>
  </r>
  <r>
    <x v="3"/>
    <s v="Pest Control"/>
    <x v="1"/>
    <s v="Rastreros"/>
    <x v="8"/>
    <x v="3"/>
    <s v="on Verde"/>
    <m/>
    <n v="6"/>
    <n v="16"/>
    <n v="324"/>
    <n v="94"/>
    <n v="98"/>
    <n v="62"/>
    <n v="141"/>
    <n v="114"/>
    <n v="93"/>
    <n v="108"/>
    <n v="118"/>
    <n v="49"/>
    <n v="23"/>
    <n v="12"/>
    <n v="12"/>
    <n v="235"/>
    <n v="62"/>
    <n v="173"/>
    <n v="161"/>
    <n v="193"/>
    <n v="144"/>
    <n v="117"/>
    <n v="56"/>
    <n v="7"/>
    <n v="31"/>
    <n v="16"/>
    <n v="143"/>
  </r>
  <r>
    <x v="3"/>
    <s v="Pest Control"/>
    <x v="1"/>
    <s v="Rastreros"/>
    <x v="8"/>
    <x v="0"/>
    <s v="Aero Cocina"/>
    <m/>
    <n v="7"/>
    <n v="10"/>
    <n v="21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1"/>
    <s v="Rastreros"/>
    <x v="8"/>
    <x v="0"/>
    <s v="Aero Exterminador"/>
    <n v="12"/>
    <n v="50"/>
    <n v="200"/>
    <n v="623"/>
    <n v="260"/>
    <n v="837"/>
    <n v="265"/>
    <n v="594"/>
    <n v="311"/>
    <n v="539"/>
    <n v="319"/>
    <n v="253"/>
    <n v="66"/>
    <n v="81"/>
    <n v="46"/>
    <n v="208"/>
    <n v="744"/>
    <n v="595"/>
    <n v="740"/>
    <n v="507"/>
    <n v="354"/>
    <n v="519"/>
    <n v="141"/>
    <n v="215"/>
    <n v="25"/>
    <n v="84"/>
    <n v="29"/>
    <n v="325"/>
  </r>
  <r>
    <x v="3"/>
    <s v="Pest Control"/>
    <x v="1"/>
    <s v="Rastreros"/>
    <x v="8"/>
    <x v="0"/>
    <s v="Aero Max S/O"/>
    <n v="12"/>
    <n v="24"/>
    <n v="112"/>
    <n v="725"/>
    <n v="44"/>
    <n v="275"/>
    <n v="314"/>
    <n v="456"/>
    <n v="396"/>
    <n v="225"/>
    <n v="138"/>
    <n v="131"/>
    <n v="84"/>
    <n v="38"/>
    <n v="9"/>
    <n v="234"/>
    <n v="484"/>
    <n v="405"/>
    <n v="369"/>
    <n v="615"/>
    <n v="418"/>
    <n v="598"/>
    <n v="128"/>
    <n v="91"/>
    <n v="48"/>
    <n v="147"/>
    <n v="15"/>
    <n v="327"/>
  </r>
  <r>
    <x v="3"/>
    <s v="Pest Control"/>
    <x v="1"/>
    <s v="Rastreros"/>
    <x v="8"/>
    <x v="0"/>
    <s v="Essentials Cucarachas"/>
    <n v="12"/>
    <n v="0"/>
    <n v="0"/>
    <n v="1000"/>
    <n v="413"/>
    <n v="192"/>
    <n v="108"/>
    <n v="79"/>
    <n v="49"/>
    <n v="31"/>
    <n v="10"/>
    <n v="20"/>
    <n v="4"/>
    <n v="4"/>
    <n v="39"/>
    <n v="24"/>
    <n v="64"/>
    <n v="10"/>
    <n v="40"/>
    <n v="45"/>
    <n v="30"/>
    <n v="30"/>
    <n v="3"/>
    <n v="0"/>
    <n v="36"/>
    <n v="5"/>
    <n v="5"/>
    <n v="37"/>
  </r>
  <r>
    <x v="3"/>
    <s v="Pest Control"/>
    <x v="1"/>
    <s v="Rastreros"/>
    <x v="8"/>
    <x v="0"/>
    <s v="Max Jeringas"/>
    <n v="6"/>
    <n v="57"/>
    <n v="44"/>
    <n v="438"/>
    <n v="355"/>
    <n v="279"/>
    <n v="160"/>
    <n v="303"/>
    <n v="102"/>
    <n v="165"/>
    <n v="110"/>
    <n v="147"/>
    <n v="131"/>
    <n v="31"/>
    <n v="21"/>
    <n v="39"/>
    <n v="361"/>
    <n v="271"/>
    <n v="302"/>
    <n v="245"/>
    <n v="27"/>
    <n v="190"/>
    <n v="70"/>
    <n v="0"/>
    <n v="0"/>
    <n v="30"/>
    <n v="1"/>
    <n v="349"/>
  </r>
  <r>
    <x v="3"/>
    <s v="Pest Control"/>
    <x v="1"/>
    <s v="Rastreros"/>
    <x v="8"/>
    <x v="0"/>
    <s v="Cebos"/>
    <n v="12"/>
    <n v="48"/>
    <n v="57"/>
    <n v="808"/>
    <n v="91"/>
    <n v="867"/>
    <n v="142"/>
    <n v="367"/>
    <n v="185"/>
    <n v="280"/>
    <n v="254"/>
    <n v="86"/>
    <n v="69"/>
    <n v="148"/>
    <n v="26"/>
    <n v="242"/>
    <n v="42"/>
    <n v="481"/>
    <n v="907"/>
    <n v="375"/>
    <n v="278"/>
    <n v="325"/>
    <n v="78"/>
    <n v="71"/>
    <n v="35"/>
    <n v="104"/>
    <n v="33"/>
    <n v="217"/>
  </r>
  <r>
    <x v="3"/>
    <s v="Pest Control"/>
    <x v="1"/>
    <s v="Rastreros"/>
    <x v="9"/>
    <x v="0"/>
    <s v="Aero Mata Hormigas"/>
    <n v="12"/>
    <n v="4"/>
    <n v="2"/>
    <n v="288"/>
    <n v="41"/>
    <n v="109"/>
    <n v="166"/>
    <n v="74"/>
    <n v="54"/>
    <n v="128"/>
    <n v="79"/>
    <n v="61"/>
    <n v="34"/>
    <n v="7"/>
    <n v="3"/>
    <n v="4"/>
    <n v="135"/>
    <n v="246"/>
    <n v="18"/>
    <n v="15"/>
    <n v="77"/>
    <n v="68"/>
    <n v="37"/>
    <n v="6"/>
    <n v="7"/>
    <n v="7"/>
    <n v="8"/>
    <n v="99"/>
  </r>
  <r>
    <x v="3"/>
    <s v="Pest Control"/>
    <x v="1"/>
    <s v="Rastreros"/>
    <x v="10"/>
    <x v="0"/>
    <s v="Aero Matapulgas"/>
    <n v="12"/>
    <n v="16"/>
    <n v="30"/>
    <n v="529"/>
    <n v="149"/>
    <n v="191"/>
    <n v="152"/>
    <n v="115"/>
    <n v="67"/>
    <n v="65"/>
    <n v="70"/>
    <n v="114"/>
    <n v="20"/>
    <n v="46"/>
    <n v="1"/>
    <n v="69"/>
    <n v="387"/>
    <n v="172"/>
    <n v="273"/>
    <n v="203"/>
    <n v="165"/>
    <n v="110"/>
    <n v="75"/>
    <n v="23"/>
    <n v="9"/>
    <n v="53"/>
    <n v="28"/>
    <n v="62"/>
  </r>
  <r>
    <x v="3"/>
    <s v="Pest Control"/>
    <x v="1"/>
    <s v="Voladores"/>
    <x v="11"/>
    <x v="0"/>
    <s v="Aero Antipolilla"/>
    <n v="12"/>
    <n v="22"/>
    <n v="57"/>
    <n v="507"/>
    <n v="240"/>
    <n v="262"/>
    <n v="191"/>
    <n v="156"/>
    <n v="89"/>
    <n v="174"/>
    <n v="140"/>
    <n v="112"/>
    <n v="20"/>
    <n v="83"/>
    <n v="29"/>
    <n v="169"/>
    <n v="337"/>
    <n v="134"/>
    <n v="743"/>
    <n v="33"/>
    <n v="97"/>
    <n v="133"/>
    <n v="146"/>
    <n v="30"/>
    <n v="16"/>
    <n v="35"/>
    <n v="21"/>
    <n v="247"/>
  </r>
  <r>
    <x v="3"/>
    <s v="Pest Control"/>
    <x v="1"/>
    <s v="Voladores"/>
    <x v="12"/>
    <x v="0"/>
    <s v="Antipolillas Continuo"/>
    <m/>
    <n v="12"/>
    <n v="15"/>
    <n v="119"/>
    <n v="47"/>
    <n v="21"/>
    <n v="46"/>
    <n v="42"/>
    <n v="16"/>
    <n v="57"/>
    <n v="36"/>
    <n v="48"/>
    <n v="11"/>
    <n v="14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s v="Pest Control"/>
    <x v="0"/>
    <s v="CAMA"/>
    <x v="0"/>
    <x v="0"/>
    <s v="Espirales Lavanda"/>
    <x v="0"/>
    <s v="Raid Espirales Lavanda"/>
    <n v="0"/>
    <n v="24"/>
    <n v="3456"/>
    <n v="1488"/>
    <n v="4152"/>
    <n v="6072"/>
    <n v="3504"/>
    <n v="2064"/>
    <n v="2712"/>
    <n v="960"/>
    <n v="0"/>
    <n v="0"/>
    <n v="0"/>
    <n v="408"/>
    <n v="3312"/>
    <n v="6984"/>
    <n v="4440"/>
    <n v="5304"/>
    <n v="7032"/>
    <n v="4416"/>
    <n v="2592"/>
    <n v="1560"/>
    <n v="0"/>
    <n v="0"/>
    <n v="168"/>
    <n v="72"/>
    <n v="7488"/>
  </r>
  <r>
    <x v="0"/>
    <s v="Pest Control"/>
    <x v="0"/>
    <s v="CAMA"/>
    <x v="0"/>
    <x v="0"/>
    <s v="Espirales Original"/>
    <x v="0"/>
    <s v="Raid Espirales Original"/>
    <n v="0"/>
    <n v="24"/>
    <n v="3216"/>
    <n v="2328"/>
    <n v="4032"/>
    <n v="5832"/>
    <n v="2520"/>
    <n v="1488"/>
    <n v="2040"/>
    <n v="600"/>
    <n v="312"/>
    <n v="48"/>
    <n v="72"/>
    <n v="0"/>
    <n v="2928"/>
    <n v="6144"/>
    <n v="3528"/>
    <n v="4872"/>
    <n v="6696"/>
    <n v="2232"/>
    <n v="1920"/>
    <n v="1320"/>
    <n v="3168"/>
    <n v="360"/>
    <n v="48"/>
    <n v="48"/>
    <n v="6384"/>
  </r>
  <r>
    <x v="0"/>
    <s v="Pest Control"/>
    <x v="0"/>
    <s v="CAMA"/>
    <x v="0"/>
    <x v="0"/>
    <s v="Espirales Sobres"/>
    <x v="0"/>
    <s v="Raid Espirales Sobres"/>
    <n v="0"/>
    <n v="0"/>
    <n v="240"/>
    <n v="336"/>
    <n v="672"/>
    <n v="360"/>
    <n v="120"/>
    <n v="96"/>
    <n v="192"/>
    <n v="24"/>
    <n v="0"/>
    <n v="0"/>
    <n v="0"/>
    <n v="0"/>
    <n v="120"/>
    <n v="192"/>
    <n v="240"/>
    <n v="0"/>
    <n v="456"/>
    <n v="1536"/>
    <n v="120"/>
    <n v="840"/>
    <n v="0"/>
    <n v="0"/>
    <n v="0"/>
    <n v="0"/>
    <n v="0"/>
  </r>
  <r>
    <x v="0"/>
    <s v="Pest Control"/>
    <x v="0"/>
    <s v="CAMA"/>
    <x v="1"/>
    <x v="1"/>
    <s v="45N Ap."/>
    <x v="1"/>
    <s v="Fuyi 45N Ap."/>
    <n v="0"/>
    <n v="0"/>
    <n v="216"/>
    <n v="288"/>
    <n v="216"/>
    <n v="306"/>
    <n v="96"/>
    <n v="60"/>
    <n v="42"/>
    <n v="42"/>
    <n v="36"/>
    <n v="0"/>
    <n v="0"/>
    <n v="0"/>
    <n v="288"/>
    <n v="1080"/>
    <n v="0"/>
    <n v="294"/>
    <n v="594"/>
    <n v="42"/>
    <n v="30"/>
    <n v="36"/>
    <n v="24"/>
    <n v="0"/>
    <n v="0"/>
    <n v="0"/>
    <n v="606"/>
  </r>
  <r>
    <x v="0"/>
    <s v="Pest Control"/>
    <x v="0"/>
    <s v="CAMA"/>
    <x v="1"/>
    <x v="1"/>
    <s v="45N Rep."/>
    <x v="1"/>
    <s v="Fuyi 45N Rep."/>
    <n v="0"/>
    <n v="12"/>
    <n v="312"/>
    <n v="732"/>
    <n v="888"/>
    <n v="588"/>
    <n v="144"/>
    <n v="216"/>
    <n v="120"/>
    <n v="228"/>
    <n v="168"/>
    <n v="216"/>
    <n v="0"/>
    <n v="60"/>
    <n v="552"/>
    <n v="2052"/>
    <n v="1284"/>
    <n v="660"/>
    <n v="1188"/>
    <n v="468"/>
    <n v="672"/>
    <n v="684"/>
    <n v="96"/>
    <n v="0"/>
    <n v="0"/>
    <n v="36"/>
    <n v="684"/>
  </r>
  <r>
    <x v="0"/>
    <s v="Pest Control"/>
    <x v="0"/>
    <s v="CAMA"/>
    <x v="1"/>
    <x v="0"/>
    <s v="45N Ap."/>
    <x v="1"/>
    <s v="Raid 45N Ap."/>
    <n v="0"/>
    <n v="60"/>
    <n v="324"/>
    <n v="60"/>
    <n v="0"/>
    <n v="0"/>
    <n v="294"/>
    <n v="102"/>
    <n v="0"/>
    <n v="12"/>
    <n v="72"/>
    <n v="78"/>
    <n v="0"/>
    <n v="24"/>
    <n v="264"/>
    <n v="330"/>
    <n v="60"/>
    <n v="504"/>
    <n v="2652"/>
    <n v="888"/>
    <n v="192"/>
    <n v="726"/>
    <n v="120"/>
    <n v="12"/>
    <n v="0"/>
    <n v="0"/>
    <n v="150"/>
  </r>
  <r>
    <x v="0"/>
    <s v="Pest Control"/>
    <x v="0"/>
    <s v="CAMA"/>
    <x v="1"/>
    <x v="0"/>
    <s v="45N Rep."/>
    <x v="1"/>
    <s v="Raid 45N Rep."/>
    <n v="0"/>
    <n v="60"/>
    <n v="588"/>
    <n v="2676"/>
    <n v="3072"/>
    <n v="1488"/>
    <n v="1632"/>
    <n v="636"/>
    <n v="1164"/>
    <n v="468"/>
    <n v="300"/>
    <n v="312"/>
    <n v="156"/>
    <n v="264"/>
    <n v="1764"/>
    <n v="3840"/>
    <n v="1956"/>
    <n v="1536"/>
    <n v="2568"/>
    <n v="1464"/>
    <n v="1128"/>
    <n v="2100"/>
    <n v="348"/>
    <n v="36"/>
    <n v="0"/>
    <n v="84"/>
    <n v="3720"/>
  </r>
  <r>
    <x v="0"/>
    <s v="Pest Control"/>
    <x v="0"/>
    <s v="CAMA"/>
    <x v="1"/>
    <x v="0"/>
    <s v="45N Ap. Promo"/>
    <x v="1"/>
    <s v="Raid 45N Ap. Promo"/>
    <n v="0"/>
    <n v="0"/>
    <n v="1380"/>
    <n v="4104"/>
    <n v="2742"/>
    <n v="1962"/>
    <n v="1308"/>
    <n v="1182"/>
    <n v="552"/>
    <n v="102"/>
    <n v="18"/>
    <n v="12"/>
    <n v="0"/>
    <n v="102"/>
    <n v="2766"/>
    <n v="3870"/>
    <n v="2544"/>
    <n v="2910"/>
    <n v="0"/>
    <n v="0"/>
    <n v="0"/>
    <n v="0"/>
    <n v="0"/>
    <n v="0"/>
    <n v="0"/>
    <n v="0"/>
    <n v="2142"/>
  </r>
  <r>
    <x v="0"/>
    <s v="Pest Control"/>
    <x v="0"/>
    <s v="CAMA"/>
    <x v="1"/>
    <x v="0"/>
    <s v="45N Rep. Bloosoms"/>
    <x v="1"/>
    <s v="Raid 45N Rep. Bloosoms"/>
    <n v="0"/>
    <n v="0"/>
    <n v="0"/>
    <n v="0"/>
    <n v="0"/>
    <n v="0"/>
    <n v="0"/>
    <n v="0"/>
    <n v="0"/>
    <n v="0"/>
    <n v="0"/>
    <n v="0"/>
    <n v="0"/>
    <n v="0"/>
    <n v="480"/>
    <n v="660"/>
    <n v="360"/>
    <n v="540"/>
    <n v="288"/>
    <n v="240"/>
    <n v="0"/>
    <n v="360"/>
    <n v="0"/>
    <n v="0"/>
    <n v="0"/>
    <n v="0"/>
    <n v="444"/>
  </r>
  <r>
    <x v="0"/>
    <s v="Pest Control"/>
    <x v="0"/>
    <s v="CAMA"/>
    <x v="1"/>
    <x v="1"/>
    <s v="45 Noches Rep."/>
    <x v="1"/>
    <s v="Fuyi 45 Noches Rep.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"/>
  </r>
  <r>
    <x v="0"/>
    <s v="Pest Control"/>
    <x v="0"/>
    <s v="CAMA"/>
    <x v="2"/>
    <x v="1"/>
    <s v="Tabletas Rep. x12"/>
    <x v="2"/>
    <s v="Fuyi Tabletas Rep. x12"/>
    <n v="0"/>
    <n v="60"/>
    <n v="2160"/>
    <n v="3440"/>
    <n v="6780"/>
    <n v="4120"/>
    <n v="1260"/>
    <n v="1520"/>
    <n v="1500"/>
    <n v="900"/>
    <n v="840"/>
    <n v="160"/>
    <n v="200"/>
    <n v="120"/>
    <n v="3160"/>
    <n v="11300"/>
    <n v="7120"/>
    <n v="6120"/>
    <n v="4800"/>
    <n v="3640"/>
    <n v="1900"/>
    <n v="3100"/>
    <n v="560"/>
    <n v="360"/>
    <n v="80"/>
    <n v="100"/>
    <n v="7160"/>
  </r>
  <r>
    <x v="0"/>
    <s v="Pest Control"/>
    <x v="0"/>
    <s v="CAMA"/>
    <x v="2"/>
    <x v="1"/>
    <s v="Tabletas Rep. x24"/>
    <x v="2"/>
    <s v="Fuyi Tabletas Rep. x24"/>
    <n v="0"/>
    <n v="0"/>
    <n v="2400"/>
    <n v="6240"/>
    <n v="8320"/>
    <n v="5200"/>
    <n v="2000"/>
    <n v="880"/>
    <n v="400"/>
    <n v="640"/>
    <n v="1760"/>
    <n v="400"/>
    <n v="0"/>
    <n v="320"/>
    <n v="4560"/>
    <n v="9200"/>
    <n v="9840"/>
    <n v="5040"/>
    <n v="3440"/>
    <n v="1680"/>
    <n v="2960"/>
    <n v="1440"/>
    <n v="240"/>
    <n v="320"/>
    <n v="240"/>
    <n v="320"/>
    <n v="6400"/>
  </r>
  <r>
    <x v="0"/>
    <s v="Pest Control"/>
    <x v="0"/>
    <s v="CAMA"/>
    <x v="2"/>
    <x v="0"/>
    <s v="Tabletas Ap."/>
    <x v="2"/>
    <s v="Raid Tabletas Ap."/>
    <n v="54"/>
    <n v="30"/>
    <n v="822"/>
    <n v="1836"/>
    <n v="2556"/>
    <n v="1506"/>
    <n v="630"/>
    <n v="222"/>
    <n v="234"/>
    <n v="36"/>
    <n v="84"/>
    <n v="6"/>
    <n v="12"/>
    <n v="66"/>
    <n v="912"/>
    <n v="2124"/>
    <n v="1236"/>
    <n v="1608"/>
    <n v="1248"/>
    <n v="504"/>
    <n v="312"/>
    <n v="456"/>
    <n v="90"/>
    <n v="30"/>
    <n v="0"/>
    <n v="0"/>
    <n v="1302"/>
  </r>
  <r>
    <x v="0"/>
    <s v="Pest Control"/>
    <x v="0"/>
    <s v="CAMA"/>
    <x v="2"/>
    <x v="0"/>
    <s v="Tabletas Doble Accion Rep. x24"/>
    <x v="2"/>
    <s v="Raid Tabletas Doble Accion Rep. x24"/>
    <n v="400"/>
    <n v="160"/>
    <n v="4080"/>
    <n v="9200"/>
    <n v="6640"/>
    <n v="8720"/>
    <n v="1040"/>
    <n v="1440"/>
    <n v="2480"/>
    <n v="880"/>
    <n v="2080"/>
    <n v="560"/>
    <n v="240"/>
    <n v="400"/>
    <n v="7280"/>
    <n v="10800"/>
    <n v="7360"/>
    <n v="3440"/>
    <n v="5760"/>
    <n v="1520"/>
    <n v="1280"/>
    <n v="3920"/>
    <n v="240"/>
    <n v="160"/>
    <n v="160"/>
    <n v="160"/>
    <n v="7920"/>
  </r>
  <r>
    <x v="0"/>
    <s v="Pest Control"/>
    <x v="0"/>
    <s v="CAMA"/>
    <x v="2"/>
    <x v="0"/>
    <s v="Tabletas Rep. x12"/>
    <x v="2"/>
    <s v="Raid Tabletas Rep. X12"/>
    <n v="0"/>
    <n v="0"/>
    <n v="4560"/>
    <n v="10340"/>
    <n v="3920"/>
    <n v="4720"/>
    <n v="1200"/>
    <n v="1020"/>
    <n v="1760"/>
    <n v="1040"/>
    <n v="1480"/>
    <n v="320"/>
    <n v="160"/>
    <n v="280"/>
    <n v="5280"/>
    <n v="7140"/>
    <n v="5440"/>
    <n v="4660"/>
    <n v="6940"/>
    <n v="2340"/>
    <n v="700"/>
    <n v="2140"/>
    <n v="640"/>
    <n v="200"/>
    <n v="100"/>
    <n v="80"/>
    <n v="7060"/>
  </r>
  <r>
    <x v="0"/>
    <s v="Pest Control"/>
    <x v="0"/>
    <s v="CAMA"/>
    <x v="2"/>
    <x v="0"/>
    <s v="Tabletas Rep. x72"/>
    <x v="2"/>
    <s v="Raid Tabletas Rep. x72"/>
    <n v="0"/>
    <n v="1"/>
    <n v="33"/>
    <n v="41"/>
    <n v="38"/>
    <n v="33"/>
    <n v="29"/>
    <n v="9"/>
    <n v="10"/>
    <n v="7"/>
    <n v="5"/>
    <n v="10"/>
    <n v="0"/>
    <n v="0"/>
    <n v="36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3"/>
    <x v="1"/>
    <s v="Repelente Aero 165"/>
    <x v="3"/>
    <s v="Fuyi Repelente Aero 165"/>
    <n v="0"/>
    <n v="12"/>
    <n v="1656"/>
    <n v="4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3"/>
    <x v="1"/>
    <s v="Repelente Aero 170"/>
    <x v="3"/>
    <s v="Fuyi Repelente Aero 170"/>
    <n v="0"/>
    <n v="0"/>
    <n v="0"/>
    <n v="1704"/>
    <n v="2556"/>
    <n v="2820"/>
    <n v="1344"/>
    <n v="1320"/>
    <n v="1332"/>
    <n v="792"/>
    <n v="0"/>
    <n v="72"/>
    <n v="0"/>
    <n v="36"/>
    <n v="636"/>
    <n v="5364"/>
    <n v="6168"/>
    <n v="3540"/>
    <n v="13632"/>
    <n v="7656"/>
    <n v="180"/>
    <n v="12600"/>
    <n v="3888"/>
    <n v="600"/>
    <n v="168"/>
    <n v="492"/>
    <n v="6888"/>
  </r>
  <r>
    <x v="0"/>
    <s v="Pest Control"/>
    <x v="0"/>
    <s v="CAMP"/>
    <x v="3"/>
    <x v="2"/>
    <s v="Extra Dur. Aero 170"/>
    <x v="3"/>
    <s v="Off! Extra Dur. Aero 170"/>
    <n v="0"/>
    <n v="24"/>
    <n v="1344"/>
    <n v="2208"/>
    <n v="2196"/>
    <n v="4584"/>
    <n v="1320"/>
    <n v="252"/>
    <n v="636"/>
    <n v="348"/>
    <n v="24"/>
    <n v="0"/>
    <n v="0"/>
    <n v="12"/>
    <n v="996"/>
    <n v="1812"/>
    <n v="3204"/>
    <n v="5064"/>
    <n v="12540"/>
    <n v="3384"/>
    <n v="5148"/>
    <n v="9300"/>
    <n v="0"/>
    <n v="564"/>
    <n v="504"/>
    <n v="252"/>
    <n v="4980"/>
  </r>
  <r>
    <x v="0"/>
    <s v="Pest Control"/>
    <x v="0"/>
    <s v="CAMP"/>
    <x v="3"/>
    <x v="2"/>
    <s v="Extra Dur. Aero BP 290"/>
    <x v="3"/>
    <s v="Off! Extra Dur. Aero BP 290"/>
    <n v="0"/>
    <n v="0"/>
    <n v="204"/>
    <n v="180"/>
    <n v="396"/>
    <n v="300"/>
    <n v="120"/>
    <n v="72"/>
    <n v="84"/>
    <n v="0"/>
    <n v="12"/>
    <n v="0"/>
    <n v="0"/>
    <n v="0"/>
    <n v="12"/>
    <n v="468"/>
    <n v="324"/>
    <n v="60"/>
    <n v="792"/>
    <n v="600"/>
    <n v="0"/>
    <n v="0"/>
    <n v="0"/>
    <n v="0"/>
    <n v="84"/>
    <n v="0"/>
    <n v="564"/>
  </r>
  <r>
    <x v="0"/>
    <s v="Pest Control"/>
    <x v="0"/>
    <s v="CAMP"/>
    <x v="3"/>
    <x v="2"/>
    <s v="Family Aero 170"/>
    <x v="3"/>
    <s v="Off! Family Aero 170"/>
    <n v="0"/>
    <n v="0"/>
    <n v="4596"/>
    <n v="5964"/>
    <n v="3912"/>
    <n v="7020"/>
    <n v="2004"/>
    <n v="2112"/>
    <n v="1620"/>
    <n v="1080"/>
    <n v="276"/>
    <n v="0"/>
    <n v="12"/>
    <n v="0"/>
    <n v="3396"/>
    <n v="6336"/>
    <n v="9108"/>
    <n v="7644"/>
    <n v="32928"/>
    <n v="10044"/>
    <n v="11448"/>
    <n v="17736"/>
    <n v="4500"/>
    <n v="1332"/>
    <n v="564"/>
    <n v="1116"/>
    <n v="11304"/>
  </r>
  <r>
    <x v="0"/>
    <s v="Pest Control"/>
    <x v="0"/>
    <s v="CAMP"/>
    <x v="3"/>
    <x v="2"/>
    <s v="Family Aero BP 290"/>
    <x v="3"/>
    <s v="Off! Family Aero BP 290"/>
    <n v="0"/>
    <n v="0"/>
    <n v="300"/>
    <n v="372"/>
    <n v="1116"/>
    <n v="168"/>
    <n v="168"/>
    <n v="60"/>
    <n v="192"/>
    <n v="60"/>
    <n v="0"/>
    <n v="0"/>
    <n v="0"/>
    <n v="0"/>
    <n v="60"/>
    <n v="1200"/>
    <n v="732"/>
    <n v="360"/>
    <n v="1392"/>
    <n v="912"/>
    <n v="0"/>
    <n v="0"/>
    <n v="0"/>
    <n v="0"/>
    <n v="180"/>
    <n v="0"/>
    <n v="564"/>
  </r>
  <r>
    <x v="0"/>
    <s v="Pest Control"/>
    <x v="0"/>
    <s v="CAMP"/>
    <x v="3"/>
    <x v="2"/>
    <s v="Family S&amp;D Aero"/>
    <x v="3"/>
    <s v="Off! Family S&amp;D Aero"/>
    <n v="0"/>
    <n v="0"/>
    <n v="60"/>
    <n v="72"/>
    <n v="36"/>
    <n v="96"/>
    <n v="168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3"/>
    <x v="2"/>
    <s v="Invisible Aero Everyday"/>
    <x v="3"/>
    <s v="Off! Invisible Aero Everyday"/>
    <n v="0"/>
    <n v="0"/>
    <n v="72"/>
    <n v="12"/>
    <n v="36"/>
    <n v="120"/>
    <n v="12"/>
    <n v="24"/>
    <n v="0"/>
    <n v="0"/>
    <n v="0"/>
    <n v="0"/>
    <n v="0"/>
    <n v="0"/>
    <n v="24"/>
    <n v="240"/>
    <n v="324"/>
    <n v="12"/>
    <n v="60"/>
    <n v="0"/>
    <n v="0"/>
    <n v="0"/>
    <n v="0"/>
    <n v="0"/>
    <n v="0"/>
    <n v="0"/>
    <n v="300"/>
  </r>
  <r>
    <x v="0"/>
    <s v="Pest Control"/>
    <x v="0"/>
    <s v="CAMP"/>
    <x v="4"/>
    <x v="2"/>
    <s v="Crema Extra Duracion 100g"/>
    <x v="4"/>
    <s v="Off! Crema Extra Duracion 100g"/>
    <n v="0"/>
    <n v="0"/>
    <n v="0"/>
    <n v="0"/>
    <n v="0"/>
    <n v="84"/>
    <n v="24"/>
    <n v="12"/>
    <n v="12"/>
    <n v="0"/>
    <n v="12"/>
    <n v="0"/>
    <n v="0"/>
    <n v="0"/>
    <n v="36"/>
    <n v="432"/>
    <n v="504"/>
    <n v="120"/>
    <n v="444"/>
    <n v="168"/>
    <n v="252"/>
    <n v="204"/>
    <n v="36"/>
    <n v="0"/>
    <n v="0"/>
    <n v="0"/>
    <n v="0"/>
  </r>
  <r>
    <x v="0"/>
    <s v="Pest Control"/>
    <x v="0"/>
    <s v="CAMP"/>
    <x v="4"/>
    <x v="2"/>
    <s v="Crema Extra Duracion 90g"/>
    <x v="4"/>
    <s v="Off! Crema Extra Duracion 90g"/>
    <n v="0"/>
    <n v="0"/>
    <n v="108"/>
    <n v="204"/>
    <n v="120"/>
    <n v="36"/>
    <n v="6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4"/>
    <x v="2"/>
    <s v="Family Crema 196g"/>
    <x v="4"/>
    <s v="Off! Family Crema 196g"/>
    <n v="0"/>
    <n v="0"/>
    <n v="0"/>
    <n v="0"/>
    <n v="900"/>
    <n v="912"/>
    <n v="612"/>
    <n v="204"/>
    <n v="480"/>
    <n v="60"/>
    <n v="84"/>
    <n v="0"/>
    <n v="0"/>
    <n v="0"/>
    <n v="504"/>
    <n v="1032"/>
    <n v="924"/>
    <n v="744"/>
    <n v="2832"/>
    <n v="780"/>
    <n v="1416"/>
    <n v="3264"/>
    <n v="72"/>
    <n v="48"/>
    <n v="0"/>
    <n v="0"/>
    <n v="1488"/>
  </r>
  <r>
    <x v="0"/>
    <s v="Pest Control"/>
    <x v="0"/>
    <s v="CAMP"/>
    <x v="4"/>
    <x v="2"/>
    <s v="Family Crema 200g"/>
    <x v="4"/>
    <s v="Off! Family Crema 200g"/>
    <n v="0"/>
    <n v="0"/>
    <n v="636"/>
    <n v="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4"/>
    <x v="2"/>
    <s v="Family Crema 60g"/>
    <x v="4"/>
    <s v="Off! Family Crema 60g"/>
    <n v="120"/>
    <n v="0"/>
    <n v="1128"/>
    <n v="1692"/>
    <n v="2496"/>
    <n v="2532"/>
    <n v="1260"/>
    <n v="636"/>
    <n v="972"/>
    <n v="168"/>
    <n v="36"/>
    <n v="0"/>
    <n v="0"/>
    <n v="60"/>
    <n v="1428"/>
    <n v="2880"/>
    <n v="2616"/>
    <n v="1788"/>
    <n v="4296"/>
    <n v="4320"/>
    <n v="3468"/>
    <n v="1440"/>
    <n v="2124"/>
    <n v="60"/>
    <n v="24"/>
    <n v="300"/>
    <n v="6780"/>
  </r>
  <r>
    <x v="0"/>
    <s v="Pest Control"/>
    <x v="0"/>
    <s v="CAMP"/>
    <x v="4"/>
    <x v="2"/>
    <s v="Kids Crema 100g"/>
    <x v="4"/>
    <s v="Off! Kids Crema 100g"/>
    <n v="0"/>
    <n v="0"/>
    <n v="0"/>
    <n v="204"/>
    <n v="672"/>
    <n v="408"/>
    <n v="192"/>
    <n v="48"/>
    <n v="60"/>
    <n v="24"/>
    <n v="0"/>
    <n v="0"/>
    <n v="0"/>
    <n v="0"/>
    <n v="168"/>
    <n v="864"/>
    <n v="588"/>
    <n v="144"/>
    <n v="1572"/>
    <n v="396"/>
    <n v="432"/>
    <n v="444"/>
    <n v="0"/>
    <n v="0"/>
    <n v="48"/>
    <n v="120"/>
    <n v="672"/>
  </r>
  <r>
    <x v="0"/>
    <s v="Pest Control"/>
    <x v="0"/>
    <s v="CAMP"/>
    <x v="4"/>
    <x v="2"/>
    <s v="Kids Crema 90g"/>
    <x v="4"/>
    <s v="Off! Kids Crema 90g"/>
    <n v="0"/>
    <n v="12"/>
    <n v="228"/>
    <n v="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CAMP"/>
    <x v="4"/>
    <x v="2"/>
    <s v="Family Crema 60g Fundita"/>
    <x v="4"/>
    <s v="Off! Family Crema 60g Fundita"/>
    <n v="0"/>
    <n v="0"/>
    <n v="0"/>
    <n v="0"/>
    <n v="0"/>
    <n v="0"/>
    <n v="0"/>
    <n v="0"/>
    <n v="36"/>
    <n v="0"/>
    <n v="0"/>
    <n v="0"/>
    <n v="0"/>
    <n v="0"/>
    <n v="36"/>
    <n v="480"/>
    <n v="420"/>
    <n v="0"/>
    <n v="0"/>
    <n v="0"/>
    <n v="0"/>
    <n v="0"/>
    <n v="0"/>
    <n v="0"/>
    <n v="0"/>
    <n v="0"/>
    <n v="0"/>
  </r>
  <r>
    <x v="0"/>
    <s v="Pest Control"/>
    <x v="0"/>
    <s v="CAMP"/>
    <x v="5"/>
    <x v="2"/>
    <s v="Defense Gel"/>
    <x v="5"/>
    <s v="Off! Defense Gel"/>
    <n v="0"/>
    <n v="0"/>
    <n v="24"/>
    <n v="60"/>
    <n v="144"/>
    <n v="156"/>
    <n v="0"/>
    <n v="24"/>
    <n v="24"/>
    <n v="24"/>
    <n v="0"/>
    <n v="0"/>
    <n v="0"/>
    <n v="0"/>
    <n v="36"/>
    <n v="156"/>
    <n v="24"/>
    <n v="72"/>
    <n v="228"/>
    <n v="60"/>
    <n v="144"/>
    <n v="216"/>
    <n v="0"/>
    <n v="0"/>
    <n v="0"/>
    <n v="0"/>
    <n v="60"/>
  </r>
  <r>
    <x v="0"/>
    <s v="Pest Control"/>
    <x v="0"/>
    <s v="CAMP"/>
    <x v="6"/>
    <x v="2"/>
    <s v="Defense Spray"/>
    <x v="6"/>
    <s v="Off! Defense Spray"/>
    <n v="0"/>
    <n v="0"/>
    <n v="0"/>
    <n v="48"/>
    <n v="144"/>
    <n v="132"/>
    <n v="12"/>
    <n v="12"/>
    <n v="12"/>
    <n v="0"/>
    <n v="0"/>
    <n v="0"/>
    <n v="0"/>
    <n v="0"/>
    <n v="36"/>
    <n v="228"/>
    <n v="48"/>
    <n v="72"/>
    <n v="240"/>
    <n v="0"/>
    <n v="96"/>
    <n v="216"/>
    <n v="36"/>
    <n v="0"/>
    <n v="0"/>
    <n v="0"/>
    <n v="84"/>
  </r>
  <r>
    <x v="0"/>
    <s v="Pest Control"/>
    <x v="0"/>
    <s v="CAMP"/>
    <x v="6"/>
    <x v="2"/>
    <s v="Family Spray"/>
    <x v="6"/>
    <s v="Off! Family Spray"/>
    <n v="0"/>
    <n v="0"/>
    <n v="252"/>
    <n v="468"/>
    <n v="648"/>
    <n v="1224"/>
    <n v="372"/>
    <n v="204"/>
    <n v="120"/>
    <n v="72"/>
    <n v="0"/>
    <n v="0"/>
    <n v="0"/>
    <n v="0"/>
    <n v="348"/>
    <n v="264"/>
    <n v="0"/>
    <n v="0"/>
    <n v="0"/>
    <n v="0"/>
    <n v="696"/>
    <n v="1800"/>
    <n v="60"/>
    <n v="60"/>
    <n v="0"/>
    <n v="0"/>
    <n v="624"/>
  </r>
  <r>
    <x v="0"/>
    <s v="Pest Control"/>
    <x v="0"/>
    <s v="CAMP"/>
    <x v="6"/>
    <x v="2"/>
    <s v="Invisible Sueños"/>
    <x v="6"/>
    <s v="Off! Invisible Sueños"/>
    <n v="0"/>
    <n v="0"/>
    <n v="0"/>
    <n v="0"/>
    <n v="0"/>
    <n v="0"/>
    <n v="0"/>
    <n v="0"/>
    <n v="0"/>
    <n v="0"/>
    <n v="0"/>
    <n v="0"/>
    <n v="0"/>
    <n v="0"/>
    <n v="0"/>
    <n v="132"/>
    <n v="144"/>
    <n v="24"/>
    <n v="84"/>
    <n v="0"/>
    <n v="0"/>
    <n v="0"/>
    <n v="0"/>
    <n v="12"/>
    <n v="0"/>
    <n v="0"/>
    <n v="120"/>
  </r>
  <r>
    <x v="0"/>
    <s v="Pest Control"/>
    <x v="0"/>
    <s v="IAM"/>
    <x v="7"/>
    <x v="3"/>
    <s v="MMM"/>
    <x v="3"/>
    <s v="Baygon MMM"/>
    <n v="936"/>
    <n v="564"/>
    <n v="36876"/>
    <n v="35916"/>
    <n v="35184"/>
    <n v="24540"/>
    <n v="8112"/>
    <n v="5412"/>
    <n v="11676"/>
    <n v="6300"/>
    <n v="7392"/>
    <n v="2496"/>
    <n v="1116"/>
    <n v="3192"/>
    <n v="46560"/>
    <n v="59712"/>
    <n v="31428"/>
    <n v="15264"/>
    <n v="11604"/>
    <n v="14736"/>
    <n v="5136"/>
    <n v="10524"/>
    <n v="11328"/>
    <n v="1380"/>
    <n v="252"/>
    <n v="348"/>
    <n v="47316"/>
  </r>
  <r>
    <x v="0"/>
    <s v="Pest Control"/>
    <x v="0"/>
    <s v="IAM"/>
    <x v="7"/>
    <x v="1"/>
    <s v="Aero MMM TP"/>
    <x v="3"/>
    <s v="Fuyi Aero MMM TP"/>
    <n v="0"/>
    <n v="0"/>
    <n v="1428"/>
    <n v="5904"/>
    <n v="2880"/>
    <n v="5280"/>
    <n v="1470"/>
    <n v="360"/>
    <n v="348"/>
    <n v="924"/>
    <n v="1152"/>
    <n v="240"/>
    <n v="60"/>
    <n v="312"/>
    <n v="6906"/>
    <n v="5706"/>
    <n v="8088"/>
    <n v="4674"/>
    <n v="2598"/>
    <n v="2544"/>
    <n v="2328"/>
    <n v="2256"/>
    <n v="726"/>
    <n v="984"/>
    <n v="60"/>
    <n v="54"/>
    <n v="10440"/>
  </r>
  <r>
    <x v="0"/>
    <s v="Pest Control"/>
    <x v="0"/>
    <s v="IAM"/>
    <x v="7"/>
    <x v="1"/>
    <s v="MMM Aero"/>
    <x v="3"/>
    <s v="Fuyi MMM Aero"/>
    <n v="696"/>
    <n v="588"/>
    <n v="16884"/>
    <n v="23076"/>
    <n v="15972"/>
    <n v="11760"/>
    <n v="1644"/>
    <n v="840"/>
    <n v="1752"/>
    <n v="2604"/>
    <n v="1164"/>
    <n v="480"/>
    <n v="276"/>
    <n v="996"/>
    <n v="18420"/>
    <n v="21564"/>
    <n v="16272"/>
    <n v="3648"/>
    <n v="2400"/>
    <n v="3156"/>
    <n v="2952"/>
    <n v="6312"/>
    <n v="3036"/>
    <n v="264"/>
    <n v="24"/>
    <n v="1464"/>
    <n v="14916"/>
  </r>
  <r>
    <x v="0"/>
    <s v="Pest Control"/>
    <x v="0"/>
    <s v="IAM"/>
    <x v="7"/>
    <x v="0"/>
    <s v="Aero Casa y Jardin"/>
    <x v="3"/>
    <s v="Raid Aero Casa y Jardin"/>
    <n v="192"/>
    <n v="60"/>
    <n v="672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0"/>
    <s v="IAM"/>
    <x v="7"/>
    <x v="0"/>
    <s v="Aero Casa y Jardin Clasico"/>
    <x v="3"/>
    <s v="Raid Aero Casa y Jardin Clasico"/>
    <n v="0"/>
    <n v="0"/>
    <n v="1596"/>
    <n v="4380"/>
    <n v="2172"/>
    <n v="2160"/>
    <n v="1068"/>
    <n v="924"/>
    <n v="1476"/>
    <n v="1272"/>
    <n v="900"/>
    <n v="492"/>
    <n v="228"/>
    <n v="648"/>
    <n v="2508"/>
    <n v="5604"/>
    <n v="2532"/>
    <n v="1188"/>
    <n v="1512"/>
    <n v="2364"/>
    <n v="1020"/>
    <n v="2220"/>
    <n v="708"/>
    <n v="576"/>
    <n v="288"/>
    <n v="132"/>
    <n v="4944"/>
  </r>
  <r>
    <x v="0"/>
    <s v="Pest Control"/>
    <x v="0"/>
    <s v="IAM"/>
    <x v="7"/>
    <x v="0"/>
    <s v="Aero MMM Azul"/>
    <x v="3"/>
    <s v="Raid Aero MMM Azul"/>
    <n v="948"/>
    <n v="276"/>
    <n v="21648"/>
    <n v="26244"/>
    <n v="18048"/>
    <n v="14028"/>
    <n v="5184"/>
    <n v="3216"/>
    <n v="3240"/>
    <n v="2616"/>
    <n v="3036"/>
    <n v="1308"/>
    <n v="1044"/>
    <n v="1464"/>
    <n v="25032"/>
    <n v="25584"/>
    <n v="12348"/>
    <n v="7548"/>
    <n v="8220"/>
    <n v="5928"/>
    <n v="3036"/>
    <n v="11088"/>
    <n v="3420"/>
    <n v="600"/>
    <n v="144"/>
    <n v="1608"/>
    <n v="26268"/>
  </r>
  <r>
    <x v="0"/>
    <s v="Pest Control"/>
    <x v="0"/>
    <s v="IAM"/>
    <x v="7"/>
    <x v="0"/>
    <s v="Aero MMM Azul TP"/>
    <x v="3"/>
    <s v="Raid Aero MMM Azul TP"/>
    <n v="0"/>
    <n v="0"/>
    <n v="2460"/>
    <n v="4986"/>
    <n v="1728"/>
    <n v="5460"/>
    <n v="1560"/>
    <n v="1932"/>
    <n v="1614"/>
    <n v="276"/>
    <n v="1698"/>
    <n v="816"/>
    <n v="138"/>
    <n v="300"/>
    <n v="8196"/>
    <n v="7320"/>
    <n v="6522"/>
    <n v="4506"/>
    <n v="3726"/>
    <n v="4656"/>
    <n v="2520"/>
    <n v="2220"/>
    <n v="1518"/>
    <n v="1020"/>
    <n v="84"/>
    <n v="138"/>
    <n v="10434"/>
  </r>
  <r>
    <x v="0"/>
    <s v="Pest Control"/>
    <x v="0"/>
    <s v="IAM"/>
    <x v="7"/>
    <x v="0"/>
    <s v="Aero MMM Eficacia Segura"/>
    <x v="3"/>
    <s v="Raid Aero MMM Eficacia Segura"/>
    <n v="0"/>
    <n v="24"/>
    <n v="408"/>
    <n v="2244"/>
    <n v="492"/>
    <n v="84"/>
    <n v="36"/>
    <n v="324"/>
    <n v="0"/>
    <n v="0"/>
    <n v="96"/>
    <n v="0"/>
    <n v="0"/>
    <n v="0"/>
    <n v="0"/>
    <n v="216"/>
    <n v="1080"/>
    <n v="0"/>
    <n v="0"/>
    <n v="0"/>
    <n v="0"/>
    <n v="0"/>
    <n v="0"/>
    <n v="0"/>
    <n v="0"/>
    <n v="0"/>
    <n v="0"/>
  </r>
  <r>
    <x v="0"/>
    <s v="Pest Control"/>
    <x v="0"/>
    <s v="IAM"/>
    <x v="7"/>
    <x v="0"/>
    <s v="Aero MMM S/O 420 BP"/>
    <x v="3"/>
    <s v="Raid Aero MMM S/O 420 BP"/>
    <n v="5052"/>
    <n v="456"/>
    <n v="32868"/>
    <n v="49260"/>
    <n v="47532"/>
    <n v="25800"/>
    <n v="9012"/>
    <n v="6936"/>
    <n v="5784"/>
    <n v="14004"/>
    <n v="9456"/>
    <n v="5052"/>
    <n v="1428"/>
    <n v="6432"/>
    <n v="42576"/>
    <n v="63144"/>
    <n v="37752"/>
    <n v="23484"/>
    <n v="10344"/>
    <n v="13788"/>
    <n v="7512"/>
    <n v="26688"/>
    <n v="10980"/>
    <n v="2472"/>
    <n v="360"/>
    <n v="732"/>
    <n v="44376"/>
  </r>
  <r>
    <x v="0"/>
    <s v="Pest Control"/>
    <x v="0"/>
    <s v="IAM"/>
    <x v="7"/>
    <x v="0"/>
    <s v="Essentials Casa y Jardin"/>
    <x v="3"/>
    <s v="Raid Essentials Casa y Jardin"/>
    <n v="0"/>
    <n v="0"/>
    <n v="264"/>
    <n v="288"/>
    <n v="360"/>
    <n v="252"/>
    <n v="72"/>
    <n v="216"/>
    <n v="48"/>
    <n v="0"/>
    <n v="0"/>
    <n v="0"/>
    <n v="0"/>
    <n v="60"/>
    <n v="84"/>
    <n v="456"/>
    <n v="360"/>
    <n v="0"/>
    <n v="156"/>
    <n v="3000"/>
    <n v="0"/>
    <n v="0"/>
    <n v="0"/>
    <n v="0"/>
    <n v="0"/>
    <n v="0"/>
    <n v="0"/>
  </r>
  <r>
    <x v="0"/>
    <s v="Pest Control"/>
    <x v="0"/>
    <s v="IAM"/>
    <x v="7"/>
    <x v="0"/>
    <s v="Aero MMM Essentials"/>
    <x v="3"/>
    <s v="Raid Aero MMM Essentials"/>
    <n v="0"/>
    <n v="0"/>
    <n v="0"/>
    <n v="0"/>
    <n v="0"/>
    <n v="0"/>
    <n v="0"/>
    <n v="0"/>
    <n v="0"/>
    <n v="0"/>
    <n v="0"/>
    <n v="0"/>
    <n v="0"/>
    <n v="0"/>
    <n v="60"/>
    <n v="216"/>
    <n v="0"/>
    <n v="0"/>
    <n v="0"/>
    <n v="0"/>
    <n v="0"/>
    <n v="60"/>
    <n v="0"/>
    <n v="0"/>
    <n v="0"/>
    <n v="0"/>
    <n v="672"/>
  </r>
  <r>
    <x v="0"/>
    <s v="Pest Control"/>
    <x v="1"/>
    <s v="Rastreros"/>
    <x v="8"/>
    <x v="3"/>
    <s v="Verde"/>
    <x v="3"/>
    <s v="Baygon Verde"/>
    <n v="756"/>
    <n v="48"/>
    <n v="1824"/>
    <n v="4020"/>
    <n v="2472"/>
    <n v="1032"/>
    <n v="792"/>
    <n v="960"/>
    <n v="1428"/>
    <n v="1068"/>
    <n v="516"/>
    <n v="300"/>
    <n v="300"/>
    <n v="636"/>
    <n v="1560"/>
    <n v="4824"/>
    <n v="2724"/>
    <n v="1716"/>
    <n v="2232"/>
    <n v="2328"/>
    <n v="1116"/>
    <n v="2076"/>
    <n v="780"/>
    <n v="564"/>
    <n v="120"/>
    <n v="120"/>
    <n v="3720"/>
  </r>
  <r>
    <x v="0"/>
    <s v="Pest Control"/>
    <x v="1"/>
    <s v="Rastreros"/>
    <x v="8"/>
    <x v="0"/>
    <s v="Aero Cocina"/>
    <x v="3"/>
    <s v="Raid Aero Cocina"/>
    <n v="48"/>
    <n v="0"/>
    <n v="528"/>
    <n v="10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x v="1"/>
    <s v="Rastreros"/>
    <x v="8"/>
    <x v="0"/>
    <s v="Aero Exterminador"/>
    <x v="3"/>
    <s v="Raid Aero Exterminador"/>
    <n v="864"/>
    <n v="120"/>
    <n v="5304"/>
    <n v="6396"/>
    <n v="4896"/>
    <n v="3180"/>
    <n v="3096"/>
    <n v="3012"/>
    <n v="3672"/>
    <n v="2688"/>
    <n v="1368"/>
    <n v="756"/>
    <n v="936"/>
    <n v="1152"/>
    <n v="5640"/>
    <n v="10740"/>
    <n v="4320"/>
    <n v="2616"/>
    <n v="3936"/>
    <n v="5448"/>
    <n v="3660"/>
    <n v="4512"/>
    <n v="2052"/>
    <n v="456"/>
    <n v="504"/>
    <n v="456"/>
    <n v="11592"/>
  </r>
  <r>
    <x v="0"/>
    <s v="Pest Control"/>
    <x v="1"/>
    <s v="Rastreros"/>
    <x v="8"/>
    <x v="0"/>
    <s v="Aero Max S/O"/>
    <x v="3"/>
    <s v="Raid Aero Max S/O"/>
    <n v="576"/>
    <n v="156"/>
    <n v="2280"/>
    <n v="2220"/>
    <n v="3300"/>
    <n v="2184"/>
    <n v="3072"/>
    <n v="852"/>
    <n v="1644"/>
    <n v="1824"/>
    <n v="1296"/>
    <n v="852"/>
    <n v="804"/>
    <n v="816"/>
    <n v="1776"/>
    <n v="4440"/>
    <n v="4164"/>
    <n v="1140"/>
    <n v="1740"/>
    <n v="3096"/>
    <n v="1632"/>
    <n v="2100"/>
    <n v="1140"/>
    <n v="324"/>
    <n v="132"/>
    <n v="276"/>
    <n v="4536"/>
  </r>
  <r>
    <x v="0"/>
    <s v="Pest Control"/>
    <x v="1"/>
    <s v="Rastreros"/>
    <x v="8"/>
    <x v="0"/>
    <s v="Essentials Cucarachas"/>
    <x v="3"/>
    <s v="Raid Essentials Cucarachas"/>
    <n v="0"/>
    <n v="0"/>
    <n v="480"/>
    <n v="168"/>
    <n v="240"/>
    <n v="84"/>
    <n v="132"/>
    <n v="300"/>
    <n v="48"/>
    <n v="60"/>
    <n v="0"/>
    <n v="0"/>
    <n v="0"/>
    <n v="0"/>
    <n v="0"/>
    <n v="444"/>
    <n v="564"/>
    <n v="0"/>
    <n v="24"/>
    <n v="8268"/>
    <n v="1716"/>
    <n v="1104"/>
    <n v="0"/>
    <n v="0"/>
    <n v="0"/>
    <n v="0"/>
    <n v="0"/>
  </r>
  <r>
    <x v="0"/>
    <s v="Pest Control"/>
    <x v="1"/>
    <s v="Rastreros"/>
    <x v="8"/>
    <x v="0"/>
    <s v="Max Jeringas"/>
    <x v="7"/>
    <s v="Raid Max Jeringas"/>
    <n v="36"/>
    <n v="30"/>
    <n v="570"/>
    <n v="804"/>
    <n v="726"/>
    <n v="534"/>
    <n v="1002"/>
    <n v="330"/>
    <n v="384"/>
    <n v="450"/>
    <n v="318"/>
    <n v="120"/>
    <n v="72"/>
    <n v="180"/>
    <n v="444"/>
    <n v="1344"/>
    <n v="672"/>
    <n v="516"/>
    <n v="348"/>
    <n v="582"/>
    <n v="384"/>
    <n v="450"/>
    <n v="264"/>
    <n v="60"/>
    <n v="66"/>
    <n v="90"/>
    <n v="1236"/>
  </r>
  <r>
    <x v="0"/>
    <s v="Pest Control"/>
    <x v="1"/>
    <s v="Rastreros"/>
    <x v="8"/>
    <x v="0"/>
    <s v="Cebos"/>
    <x v="8"/>
    <s v="Raid Cebos"/>
    <n v="96"/>
    <n v="168"/>
    <n v="1512"/>
    <n v="2580"/>
    <n v="2256"/>
    <n v="2328"/>
    <n v="1716"/>
    <n v="1176"/>
    <n v="1380"/>
    <n v="864"/>
    <n v="636"/>
    <n v="360"/>
    <n v="192"/>
    <n v="852"/>
    <n v="1416"/>
    <n v="4044"/>
    <n v="3108"/>
    <n v="1632"/>
    <n v="1716"/>
    <n v="2304"/>
    <n v="840"/>
    <n v="1500"/>
    <n v="780"/>
    <n v="36"/>
    <n v="216"/>
    <n v="336"/>
    <n v="3840"/>
  </r>
  <r>
    <x v="0"/>
    <s v="Pest Control"/>
    <x v="1"/>
    <s v="Rastreros"/>
    <x v="9"/>
    <x v="0"/>
    <s v="Aero Mata Hormigas"/>
    <x v="3"/>
    <s v="Raid Aero Mata Hormigas"/>
    <n v="276"/>
    <n v="60"/>
    <n v="816"/>
    <n v="1176"/>
    <n v="924"/>
    <n v="1212"/>
    <n v="696"/>
    <n v="600"/>
    <n v="444"/>
    <n v="636"/>
    <n v="144"/>
    <n v="84"/>
    <n v="60"/>
    <n v="264"/>
    <n v="768"/>
    <n v="1848"/>
    <n v="1260"/>
    <n v="576"/>
    <n v="492"/>
    <n v="852"/>
    <n v="216"/>
    <n v="624"/>
    <n v="420"/>
    <n v="312"/>
    <n v="24"/>
    <n v="120"/>
    <n v="972"/>
  </r>
  <r>
    <x v="0"/>
    <s v="Pest Control"/>
    <x v="1"/>
    <s v="Rastreros"/>
    <x v="10"/>
    <x v="0"/>
    <s v="Aero Matapulgas"/>
    <x v="3"/>
    <s v="Raid Aero Matapulgas"/>
    <n v="336"/>
    <n v="132"/>
    <n v="900"/>
    <n v="1320"/>
    <n v="1320"/>
    <n v="732"/>
    <n v="396"/>
    <n v="972"/>
    <n v="276"/>
    <n v="480"/>
    <n v="144"/>
    <n v="228"/>
    <n v="144"/>
    <n v="144"/>
    <n v="1044"/>
    <n v="2112"/>
    <n v="1548"/>
    <n v="108"/>
    <n v="660"/>
    <n v="756"/>
    <n v="396"/>
    <n v="540"/>
    <n v="312"/>
    <n v="72"/>
    <n v="0"/>
    <n v="84"/>
    <n v="1236"/>
  </r>
  <r>
    <x v="0"/>
    <s v="Pest Control"/>
    <x v="1"/>
    <s v="Voladores"/>
    <x v="11"/>
    <x v="0"/>
    <s v="Aero Antipolilla"/>
    <x v="3"/>
    <s v="Raid Aero Antipolilla"/>
    <n v="300"/>
    <n v="132"/>
    <n v="1704"/>
    <n v="1680"/>
    <n v="1812"/>
    <n v="1020"/>
    <n v="456"/>
    <n v="444"/>
    <n v="552"/>
    <n v="564"/>
    <n v="288"/>
    <n v="300"/>
    <n v="168"/>
    <n v="372"/>
    <n v="1332"/>
    <n v="2304"/>
    <n v="1248"/>
    <n v="636"/>
    <n v="732"/>
    <n v="672"/>
    <n v="552"/>
    <n v="732"/>
    <n v="120"/>
    <n v="120"/>
    <n v="192"/>
    <n v="156"/>
    <n v="1668"/>
  </r>
  <r>
    <x v="0"/>
    <s v="Pest Control"/>
    <x v="1"/>
    <s v="Voladores"/>
    <x v="12"/>
    <x v="0"/>
    <s v="Antipolillas Continuo"/>
    <x v="2"/>
    <s v="Raid Antipolillas Continuo"/>
    <n v="0"/>
    <n v="0"/>
    <n v="144"/>
    <n v="24"/>
    <n v="84"/>
    <n v="60"/>
    <n v="24"/>
    <n v="72"/>
    <n v="132"/>
    <n v="12"/>
    <n v="0"/>
    <n v="12"/>
    <n v="12"/>
    <n v="0"/>
    <n v="0"/>
    <n v="0"/>
    <n v="0"/>
    <n v="0"/>
    <n v="0"/>
    <n v="0"/>
    <n v="0"/>
    <n v="0"/>
    <n v="0"/>
    <n v="0"/>
    <n v="0"/>
    <n v="0"/>
    <n v="0"/>
  </r>
  <r>
    <x v="1"/>
    <s v="Pest Control"/>
    <x v="0"/>
    <s v="CAMA"/>
    <x v="0"/>
    <x v="0"/>
    <s v="Espirales Lavanda"/>
    <x v="0"/>
    <s v="Raid Espirales Lavand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</r>
  <r>
    <x v="1"/>
    <s v="Pest Control"/>
    <x v="0"/>
    <s v="CAMA"/>
    <x v="1"/>
    <x v="0"/>
    <s v="45N Ap."/>
    <x v="1"/>
    <s v="Raid 45N Ap.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222"/>
    <n v="366"/>
    <n v="12"/>
    <n v="156"/>
    <n v="0"/>
    <n v="0"/>
    <n v="12"/>
    <n v="0"/>
    <n v="0"/>
  </r>
  <r>
    <x v="1"/>
    <s v="Pest Control"/>
    <x v="0"/>
    <s v="CAMA"/>
    <x v="1"/>
    <x v="0"/>
    <s v="45N Rep."/>
    <x v="1"/>
    <s v="Raid 45N Rep."/>
    <n v="0"/>
    <n v="0"/>
    <n v="0"/>
    <n v="0"/>
    <n v="0"/>
    <n v="0"/>
    <n v="0"/>
    <n v="0"/>
    <n v="0"/>
    <n v="0"/>
    <n v="0"/>
    <n v="0"/>
    <n v="0"/>
    <n v="0"/>
    <n v="0"/>
    <n v="0"/>
    <n v="72"/>
    <n v="132"/>
    <n v="60"/>
    <n v="24"/>
    <n v="144"/>
    <n v="348"/>
    <n v="24"/>
    <n v="0"/>
    <n v="24"/>
    <n v="0"/>
    <n v="60"/>
  </r>
  <r>
    <x v="1"/>
    <s v="Pest Control"/>
    <x v="0"/>
    <s v="CAMA"/>
    <x v="1"/>
    <x v="0"/>
    <s v="45N Ap. Promo"/>
    <x v="1"/>
    <s v="Raid 45N Ap. Promo"/>
    <n v="0"/>
    <n v="0"/>
    <n v="0"/>
    <n v="0"/>
    <n v="0"/>
    <n v="0"/>
    <n v="0"/>
    <n v="0"/>
    <n v="0"/>
    <n v="0"/>
    <n v="0"/>
    <n v="0"/>
    <n v="0"/>
    <n v="0"/>
    <n v="0"/>
    <n v="6"/>
    <n v="132"/>
    <n v="126"/>
    <n v="0"/>
    <n v="0"/>
    <n v="0"/>
    <n v="0"/>
    <n v="0"/>
    <n v="0"/>
    <n v="0"/>
    <n v="0"/>
    <n v="0"/>
  </r>
  <r>
    <x v="1"/>
    <s v="Pest Control"/>
    <x v="0"/>
    <s v="CAMA"/>
    <x v="2"/>
    <x v="1"/>
    <s v="Tabletas Rep. x12"/>
    <x v="2"/>
    <s v="Fuyi Tabletas Rep. x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</r>
  <r>
    <x v="1"/>
    <s v="Pest Control"/>
    <x v="0"/>
    <s v="CAMA"/>
    <x v="2"/>
    <x v="1"/>
    <s v="Tabletas Rep. x24"/>
    <x v="2"/>
    <s v="Fuyi Tabletas Rep. x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880"/>
    <n v="0"/>
    <n v="80"/>
    <n v="0"/>
    <n v="80"/>
    <n v="0"/>
    <n v="0"/>
  </r>
  <r>
    <x v="1"/>
    <s v="Pest Control"/>
    <x v="0"/>
    <s v="CAMA"/>
    <x v="2"/>
    <x v="0"/>
    <s v="Tabletas Ap."/>
    <x v="2"/>
    <s v="Raid Tabletas Ap.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</r>
  <r>
    <x v="1"/>
    <s v="Pest Control"/>
    <x v="0"/>
    <s v="CAMA"/>
    <x v="2"/>
    <x v="0"/>
    <s v="Tabletas Doble Accion Rep. x24"/>
    <x v="2"/>
    <s v="Raid Tabletas Doble Accion Rep. x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0"/>
    <n v="0"/>
    <n v="80"/>
    <n v="0"/>
    <n v="0"/>
  </r>
  <r>
    <x v="1"/>
    <s v="Pest Control"/>
    <x v="0"/>
    <s v="CAMA"/>
    <x v="2"/>
    <x v="0"/>
    <s v="Tabletas Rep. X12"/>
    <x v="2"/>
    <s v="Raid Tabletas Rep. X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</r>
  <r>
    <x v="1"/>
    <s v="Pest Control"/>
    <x v="0"/>
    <s v="CAMP"/>
    <x v="3"/>
    <x v="1"/>
    <s v="Repelente Aero 170"/>
    <x v="3"/>
    <s v="Fuyi Repelente Aero 170"/>
    <n v="0"/>
    <n v="0"/>
    <n v="0"/>
    <n v="0"/>
    <n v="0"/>
    <n v="0"/>
    <n v="0"/>
    <n v="0"/>
    <n v="0"/>
    <n v="0"/>
    <n v="0"/>
    <n v="0"/>
    <n v="0"/>
    <n v="0"/>
    <n v="0"/>
    <n v="384"/>
    <n v="0"/>
    <n v="216"/>
    <n v="780"/>
    <n v="828"/>
    <n v="0"/>
    <n v="360"/>
    <n v="36"/>
    <n v="0"/>
    <n v="12"/>
    <n v="60"/>
    <n v="48"/>
  </r>
  <r>
    <x v="1"/>
    <s v="Pest Control"/>
    <x v="0"/>
    <s v="CAMP"/>
    <x v="3"/>
    <x v="2"/>
    <s v="Extra Dur. Aero 170"/>
    <x v="3"/>
    <s v="Off! Extra Dur. Aero 170"/>
    <n v="0"/>
    <n v="0"/>
    <n v="0"/>
    <n v="0"/>
    <n v="0"/>
    <n v="0"/>
    <n v="0"/>
    <n v="0"/>
    <n v="0"/>
    <n v="0"/>
    <n v="0"/>
    <n v="0"/>
    <n v="0"/>
    <n v="0"/>
    <n v="0"/>
    <n v="0"/>
    <n v="0"/>
    <n v="480"/>
    <n v="3372"/>
    <n v="768"/>
    <n v="0"/>
    <n v="648"/>
    <n v="24"/>
    <n v="0"/>
    <n v="84"/>
    <n v="0"/>
    <n v="60"/>
  </r>
  <r>
    <x v="1"/>
    <s v="Pest Control"/>
    <x v="0"/>
    <s v="CAMP"/>
    <x v="3"/>
    <x v="2"/>
    <s v="Family Aero 170"/>
    <x v="3"/>
    <s v="Off! Family Aero 170"/>
    <n v="0"/>
    <n v="0"/>
    <n v="0"/>
    <n v="0"/>
    <n v="0"/>
    <n v="0"/>
    <n v="0"/>
    <n v="0"/>
    <n v="0"/>
    <n v="0"/>
    <n v="0"/>
    <n v="0"/>
    <n v="0"/>
    <n v="0"/>
    <n v="0"/>
    <n v="108"/>
    <n v="0"/>
    <n v="588"/>
    <n v="156"/>
    <n v="312"/>
    <n v="240"/>
    <n v="648"/>
    <n v="0"/>
    <n v="0"/>
    <n v="84"/>
    <n v="0"/>
    <n v="24"/>
  </r>
  <r>
    <x v="1"/>
    <s v="Pest Control"/>
    <x v="0"/>
    <s v="CAMP"/>
    <x v="4"/>
    <x v="2"/>
    <s v="Family Crema 196g"/>
    <x v="4"/>
    <s v="Off! Family Crema 196g"/>
    <n v="0"/>
    <n v="0"/>
    <n v="0"/>
    <n v="0"/>
    <n v="0"/>
    <n v="0"/>
    <n v="0"/>
    <n v="0"/>
    <n v="0"/>
    <n v="0"/>
    <n v="0"/>
    <n v="0"/>
    <n v="0"/>
    <n v="0"/>
    <n v="0"/>
    <n v="0"/>
    <n v="0"/>
    <n v="372"/>
    <n v="0"/>
    <n v="276"/>
    <n v="0"/>
    <n v="0"/>
    <n v="120"/>
    <n v="0"/>
    <n v="0"/>
    <n v="0"/>
    <n v="0"/>
  </r>
  <r>
    <x v="1"/>
    <s v="Pest Control"/>
    <x v="0"/>
    <s v="CAMP"/>
    <x v="4"/>
    <x v="2"/>
    <s v="Family Crema 60g"/>
    <x v="4"/>
    <s v="Off! Family Crema 60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72"/>
    <n v="48"/>
    <n v="0"/>
    <n v="0"/>
    <n v="0"/>
    <n v="0"/>
  </r>
  <r>
    <x v="1"/>
    <s v="Pest Control"/>
    <x v="0"/>
    <s v="CAMP"/>
    <x v="4"/>
    <x v="2"/>
    <s v="Kids Crema 100g"/>
    <x v="4"/>
    <s v="Off! Kids Crema 100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2"/>
    <n v="0"/>
    <n v="0"/>
    <n v="84"/>
    <n v="0"/>
    <n v="0"/>
  </r>
  <r>
    <x v="1"/>
    <s v="Pest Control"/>
    <x v="0"/>
    <s v="CAMP"/>
    <x v="6"/>
    <x v="2"/>
    <s v="Family Spray"/>
    <x v="6"/>
    <s v="Off! Family Spra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0"/>
    <n v="0"/>
    <n v="0"/>
  </r>
  <r>
    <x v="1"/>
    <s v="Pest Control"/>
    <x v="0"/>
    <s v="IAM"/>
    <x v="7"/>
    <x v="3"/>
    <s v="MMM"/>
    <x v="3"/>
    <s v="Baygon MMM"/>
    <n v="0"/>
    <n v="0"/>
    <n v="0"/>
    <n v="0"/>
    <n v="0"/>
    <n v="0"/>
    <n v="0"/>
    <n v="0"/>
    <n v="0"/>
    <n v="0"/>
    <n v="0"/>
    <n v="0"/>
    <n v="0"/>
    <n v="0"/>
    <n v="0"/>
    <n v="84"/>
    <n v="0"/>
    <n v="408"/>
    <n v="72"/>
    <n v="396"/>
    <n v="36"/>
    <n v="372"/>
    <n v="0"/>
    <n v="12"/>
    <n v="72"/>
    <n v="12"/>
    <n v="72"/>
  </r>
  <r>
    <x v="1"/>
    <s v="Pest Control"/>
    <x v="0"/>
    <s v="IAM"/>
    <x v="7"/>
    <x v="1"/>
    <s v="Aero MMM TP"/>
    <x v="3"/>
    <s v="Fuyi Aero MMM T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</r>
  <r>
    <x v="1"/>
    <s v="Pest Control"/>
    <x v="0"/>
    <s v="IAM"/>
    <x v="7"/>
    <x v="1"/>
    <s v="MMM Aero"/>
    <x v="3"/>
    <s v="Fuyi MMM Aero"/>
    <n v="0"/>
    <n v="0"/>
    <n v="0"/>
    <n v="0"/>
    <n v="0"/>
    <n v="0"/>
    <n v="0"/>
    <n v="0"/>
    <n v="0"/>
    <n v="0"/>
    <n v="0"/>
    <n v="0"/>
    <n v="0"/>
    <n v="0"/>
    <n v="0"/>
    <n v="132"/>
    <n v="60"/>
    <n v="408"/>
    <n v="348"/>
    <n v="420"/>
    <n v="156"/>
    <n v="852"/>
    <n v="120"/>
    <n v="48"/>
    <n v="108"/>
    <n v="0"/>
    <n v="0"/>
  </r>
  <r>
    <x v="1"/>
    <s v="Pest Control"/>
    <x v="0"/>
    <s v="IAM"/>
    <x v="7"/>
    <x v="0"/>
    <s v="Aero Casa y Jardin Clasico"/>
    <x v="3"/>
    <s v="Raid Aero Casa y Jardin Clasico"/>
    <n v="0"/>
    <n v="0"/>
    <n v="0"/>
    <n v="0"/>
    <n v="0"/>
    <n v="0"/>
    <n v="0"/>
    <n v="0"/>
    <n v="0"/>
    <n v="0"/>
    <n v="0"/>
    <n v="0"/>
    <n v="0"/>
    <n v="0"/>
    <n v="0"/>
    <n v="12"/>
    <n v="12"/>
    <n v="0"/>
    <n v="0"/>
    <n v="12"/>
    <n v="0"/>
    <n v="0"/>
    <n v="0"/>
    <n v="0"/>
    <n v="0"/>
    <n v="0"/>
    <n v="12"/>
  </r>
  <r>
    <x v="1"/>
    <s v="Pest Control"/>
    <x v="0"/>
    <s v="IAM"/>
    <x v="7"/>
    <x v="0"/>
    <s v="Aero MMM Azul"/>
    <x v="3"/>
    <s v="Raid Aero MMM Azul"/>
    <n v="0"/>
    <n v="0"/>
    <n v="0"/>
    <n v="0"/>
    <n v="0"/>
    <n v="0"/>
    <n v="0"/>
    <n v="0"/>
    <n v="0"/>
    <n v="0"/>
    <n v="0"/>
    <n v="0"/>
    <n v="0"/>
    <n v="0"/>
    <n v="0"/>
    <n v="48"/>
    <n v="24"/>
    <n v="36"/>
    <n v="0"/>
    <n v="60"/>
    <n v="156"/>
    <n v="720"/>
    <n v="0"/>
    <n v="24"/>
    <n v="96"/>
    <n v="0"/>
    <n v="0"/>
  </r>
  <r>
    <x v="1"/>
    <s v="Pest Control"/>
    <x v="0"/>
    <s v="IAM"/>
    <x v="7"/>
    <x v="0"/>
    <s v="Aero MMM Azul TP"/>
    <x v="3"/>
    <s v="Raid Aero MMM Azul T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</r>
  <r>
    <x v="1"/>
    <s v="Pest Control"/>
    <x v="0"/>
    <s v="IAM"/>
    <x v="7"/>
    <x v="0"/>
    <s v="Aero MMM S/O 420 BP"/>
    <x v="3"/>
    <s v="Raid Aero MMM S/O 420 BP"/>
    <n v="0"/>
    <n v="0"/>
    <n v="0"/>
    <n v="0"/>
    <n v="0"/>
    <n v="0"/>
    <n v="0"/>
    <n v="0"/>
    <n v="0"/>
    <n v="0"/>
    <n v="0"/>
    <n v="0"/>
    <n v="0"/>
    <n v="0"/>
    <n v="0"/>
    <n v="72"/>
    <n v="120"/>
    <n v="492"/>
    <n v="0"/>
    <n v="252"/>
    <n v="576"/>
    <n v="1020"/>
    <n v="192"/>
    <n v="36"/>
    <n v="204"/>
    <n v="216"/>
    <n v="0"/>
  </r>
  <r>
    <x v="1"/>
    <s v="Pest Control"/>
    <x v="1"/>
    <s v="Rastreros"/>
    <x v="8"/>
    <x v="3"/>
    <s v="Verde"/>
    <x v="3"/>
    <s v="Baygon Verde"/>
    <n v="0"/>
    <n v="0"/>
    <n v="0"/>
    <n v="0"/>
    <n v="0"/>
    <n v="0"/>
    <n v="0"/>
    <n v="0"/>
    <n v="0"/>
    <n v="0"/>
    <n v="0"/>
    <n v="0"/>
    <n v="0"/>
    <n v="0"/>
    <n v="0"/>
    <n v="0"/>
    <n v="0"/>
    <n v="372"/>
    <n v="0"/>
    <n v="240"/>
    <n v="0"/>
    <n v="0"/>
    <n v="0"/>
    <n v="0"/>
    <n v="0"/>
    <n v="0"/>
    <n v="0"/>
  </r>
  <r>
    <x v="1"/>
    <s v="Pest Control"/>
    <x v="1"/>
    <s v="Rastreros"/>
    <x v="8"/>
    <x v="0"/>
    <s v="Aero Exterminador"/>
    <x v="3"/>
    <s v="Raid Aero Exterminador"/>
    <n v="0"/>
    <n v="0"/>
    <n v="0"/>
    <n v="0"/>
    <n v="0"/>
    <n v="0"/>
    <n v="0"/>
    <n v="0"/>
    <n v="0"/>
    <n v="0"/>
    <n v="0"/>
    <n v="0"/>
    <n v="0"/>
    <n v="0"/>
    <n v="0"/>
    <n v="0"/>
    <n v="0"/>
    <n v="372"/>
    <n v="180"/>
    <n v="360"/>
    <n v="0"/>
    <n v="120"/>
    <n v="0"/>
    <n v="0"/>
    <n v="12"/>
    <n v="0"/>
    <n v="48"/>
  </r>
  <r>
    <x v="1"/>
    <s v="Pest Control"/>
    <x v="1"/>
    <s v="Rastreros"/>
    <x v="8"/>
    <x v="0"/>
    <s v="Aero Max S/O"/>
    <x v="3"/>
    <s v="Raid Aero Max S/O"/>
    <n v="0"/>
    <n v="0"/>
    <n v="0"/>
    <n v="0"/>
    <n v="0"/>
    <n v="0"/>
    <n v="0"/>
    <n v="0"/>
    <n v="0"/>
    <n v="0"/>
    <n v="0"/>
    <n v="0"/>
    <n v="0"/>
    <n v="0"/>
    <n v="0"/>
    <n v="12"/>
    <n v="12"/>
    <n v="36"/>
    <n v="48"/>
    <n v="12"/>
    <n v="12"/>
    <n v="0"/>
    <n v="12"/>
    <n v="12"/>
    <n v="12"/>
    <n v="0"/>
    <n v="24"/>
  </r>
  <r>
    <x v="1"/>
    <s v="Pest Control"/>
    <x v="1"/>
    <s v="Rastreros"/>
    <x v="8"/>
    <x v="0"/>
    <s v="Essentials Cucarachas"/>
    <x v="3"/>
    <s v="Raid Essentials Cucaracha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0"/>
    <n v="0"/>
    <n v="0"/>
    <n v="0"/>
    <n v="0"/>
  </r>
  <r>
    <x v="1"/>
    <s v="Pest Control"/>
    <x v="1"/>
    <s v="Rastreros"/>
    <x v="8"/>
    <x v="0"/>
    <s v="Max Jeringas"/>
    <x v="7"/>
    <s v="Raid Max Jeringa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</r>
  <r>
    <x v="1"/>
    <s v="Pest Control"/>
    <x v="1"/>
    <s v="Rastreros"/>
    <x v="8"/>
    <x v="0"/>
    <s v="Cebos"/>
    <x v="8"/>
    <s v="Raid Ceb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</r>
  <r>
    <x v="1"/>
    <s v="Pest Control"/>
    <x v="1"/>
    <s v="Rastreros"/>
    <x v="9"/>
    <x v="0"/>
    <s v="Aero Mata Hormigas"/>
    <x v="3"/>
    <s v="Raid Aero Mata Hormigas"/>
    <n v="0"/>
    <n v="0"/>
    <n v="0"/>
    <n v="0"/>
    <n v="0"/>
    <n v="0"/>
    <n v="0"/>
    <n v="0"/>
    <n v="0"/>
    <n v="0"/>
    <n v="0"/>
    <n v="0"/>
    <n v="0"/>
    <n v="0"/>
    <n v="0"/>
    <n v="12"/>
    <n v="0"/>
    <n v="24"/>
    <n v="0"/>
    <n v="0"/>
    <n v="0"/>
    <n v="0"/>
    <n v="0"/>
    <n v="0"/>
    <n v="0"/>
    <n v="0"/>
    <n v="12"/>
  </r>
  <r>
    <x v="1"/>
    <s v="Pest Control"/>
    <x v="1"/>
    <s v="Rastreros"/>
    <x v="10"/>
    <x v="0"/>
    <s v="Aero Matapulgas"/>
    <x v="3"/>
    <s v="Raid Aero Matapulgas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12"/>
    <n v="0"/>
    <n v="24"/>
  </r>
  <r>
    <x v="1"/>
    <s v="Pest Control"/>
    <x v="1"/>
    <s v="Voladores"/>
    <x v="11"/>
    <x v="0"/>
    <s v="Aero Antipolilla"/>
    <x v="3"/>
    <s v="Raid Aero Antipolill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8"/>
    <n v="0"/>
    <n v="12"/>
    <n v="12"/>
    <n v="0"/>
  </r>
  <r>
    <x v="2"/>
    <s v="Pest Control"/>
    <x v="0"/>
    <s v="CAMA"/>
    <x v="0"/>
    <x v="0"/>
    <s v="Espirales Lavanda"/>
    <x v="0"/>
    <s v="Raid Espirales Lavanda"/>
    <n v="0"/>
    <n v="1848"/>
    <n v="5208"/>
    <n v="5520"/>
    <n v="11016"/>
    <n v="3144"/>
    <n v="1032"/>
    <n v="6288"/>
    <n v="1680"/>
    <n v="48"/>
    <n v="0"/>
    <n v="0"/>
    <n v="48"/>
    <n v="408"/>
    <n v="6960"/>
    <n v="5640"/>
    <n v="1680"/>
    <n v="6720"/>
    <n v="4368"/>
    <n v="2928"/>
    <n v="1992"/>
    <n v="1128"/>
    <n v="0"/>
    <n v="0"/>
    <n v="792"/>
    <n v="48"/>
    <n v="7224"/>
  </r>
  <r>
    <x v="2"/>
    <s v="Pest Control"/>
    <x v="0"/>
    <s v="CAMA"/>
    <x v="0"/>
    <x v="0"/>
    <s v="Espirales Original"/>
    <x v="0"/>
    <s v="Raid Espirales Original"/>
    <n v="0"/>
    <n v="0"/>
    <n v="4920"/>
    <n v="5040"/>
    <n v="3528"/>
    <n v="1968"/>
    <n v="1080"/>
    <n v="2568"/>
    <n v="960"/>
    <n v="408"/>
    <n v="0"/>
    <n v="48"/>
    <n v="24"/>
    <n v="168"/>
    <n v="7224"/>
    <n v="4176"/>
    <n v="3048"/>
    <n v="6384"/>
    <n v="2760"/>
    <n v="480"/>
    <n v="1848"/>
    <n v="0"/>
    <n v="1488"/>
    <n v="24"/>
    <n v="0"/>
    <n v="24"/>
    <n v="4896"/>
  </r>
  <r>
    <x v="2"/>
    <s v="Pest Control"/>
    <x v="0"/>
    <s v="CAMA"/>
    <x v="0"/>
    <x v="0"/>
    <s v="Espirales Sobres"/>
    <x v="0"/>
    <s v="Raid Espirales Sobres"/>
    <n v="0"/>
    <n v="0"/>
    <n v="48"/>
    <n v="240"/>
    <n v="456"/>
    <n v="0"/>
    <n v="0"/>
    <n v="0"/>
    <n v="240"/>
    <n v="0"/>
    <n v="0"/>
    <n v="0"/>
    <n v="0"/>
    <n v="0"/>
    <n v="1584"/>
    <n v="120"/>
    <n v="0"/>
    <n v="0"/>
    <n v="0"/>
    <n v="0"/>
    <n v="0"/>
    <n v="96"/>
    <n v="0"/>
    <n v="0"/>
    <n v="0"/>
    <n v="48"/>
    <n v="0"/>
  </r>
  <r>
    <x v="2"/>
    <s v="Pest Control"/>
    <x v="0"/>
    <s v="CAMA"/>
    <x v="1"/>
    <x v="1"/>
    <s v="45N Ap."/>
    <x v="1"/>
    <s v="Fuyi 45N Ap."/>
    <n v="0"/>
    <n v="0"/>
    <n v="630"/>
    <n v="870"/>
    <n v="780"/>
    <n v="588"/>
    <n v="60"/>
    <n v="102"/>
    <n v="0"/>
    <n v="0"/>
    <n v="0"/>
    <n v="0"/>
    <n v="0"/>
    <n v="0"/>
    <n v="0"/>
    <n v="600"/>
    <n v="300"/>
    <n v="1062"/>
    <n v="420"/>
    <n v="192"/>
    <n v="90"/>
    <n v="312"/>
    <n v="0"/>
    <n v="0"/>
    <n v="0"/>
    <n v="0"/>
    <n v="672"/>
  </r>
  <r>
    <x v="2"/>
    <s v="Pest Control"/>
    <x v="0"/>
    <s v="CAMA"/>
    <x v="1"/>
    <x v="1"/>
    <s v="45N Rep."/>
    <x v="1"/>
    <s v="Fuyi 45N Rep."/>
    <n v="0"/>
    <n v="0"/>
    <n v="1080"/>
    <n v="2712"/>
    <n v="3060"/>
    <n v="1428"/>
    <n v="2772"/>
    <n v="420"/>
    <n v="660"/>
    <n v="108"/>
    <n v="0"/>
    <n v="0"/>
    <n v="0"/>
    <n v="0"/>
    <n v="2040"/>
    <n v="2028"/>
    <n v="2304"/>
    <n v="1236"/>
    <n v="2412"/>
    <n v="1128"/>
    <n v="1380"/>
    <n v="864"/>
    <n v="756"/>
    <n v="0"/>
    <n v="0"/>
    <n v="0"/>
    <n v="1884"/>
  </r>
  <r>
    <x v="2"/>
    <s v="Pest Control"/>
    <x v="0"/>
    <s v="CAMA"/>
    <x v="1"/>
    <x v="0"/>
    <s v="45N Ap."/>
    <x v="1"/>
    <s v="Raid 45N Ap."/>
    <n v="0"/>
    <n v="0"/>
    <n v="1404"/>
    <n v="222"/>
    <n v="0"/>
    <n v="0"/>
    <n v="1200"/>
    <n v="240"/>
    <n v="240"/>
    <n v="174"/>
    <n v="0"/>
    <n v="0"/>
    <n v="0"/>
    <n v="0"/>
    <n v="0"/>
    <n v="24"/>
    <n v="0"/>
    <n v="0"/>
    <n v="1590"/>
    <n v="732"/>
    <n v="324"/>
    <n v="900"/>
    <n v="0"/>
    <n v="0"/>
    <n v="0"/>
    <n v="0"/>
    <n v="144"/>
  </r>
  <r>
    <x v="2"/>
    <s v="Pest Control"/>
    <x v="0"/>
    <s v="CAMA"/>
    <x v="1"/>
    <x v="0"/>
    <s v="45N Rep."/>
    <x v="1"/>
    <s v="Raid 45N Rep."/>
    <n v="48"/>
    <n v="0"/>
    <n v="2304"/>
    <n v="6840"/>
    <n v="2676"/>
    <n v="3156"/>
    <n v="4344"/>
    <n v="2352"/>
    <n v="2784"/>
    <n v="912"/>
    <n v="36"/>
    <n v="60"/>
    <n v="0"/>
    <n v="0"/>
    <n v="1992"/>
    <n v="4572"/>
    <n v="4680"/>
    <n v="2712"/>
    <n v="5856"/>
    <n v="1572"/>
    <n v="2700"/>
    <n v="2628"/>
    <n v="1068"/>
    <n v="84"/>
    <n v="1128"/>
    <n v="36"/>
    <n v="3936"/>
  </r>
  <r>
    <x v="2"/>
    <s v="Pest Control"/>
    <x v="0"/>
    <s v="CAMA"/>
    <x v="1"/>
    <x v="0"/>
    <s v="45N Ap. Promo"/>
    <x v="1"/>
    <s v="Raid 45N Ap. Promo"/>
    <n v="0"/>
    <n v="0"/>
    <n v="840"/>
    <n v="5862"/>
    <n v="5154"/>
    <n v="4044"/>
    <n v="3276"/>
    <n v="1740"/>
    <n v="126"/>
    <n v="60"/>
    <n v="0"/>
    <n v="0"/>
    <n v="0"/>
    <n v="36"/>
    <n v="5670"/>
    <n v="5664"/>
    <n v="5988"/>
    <n v="1050"/>
    <n v="0"/>
    <n v="0"/>
    <n v="0"/>
    <n v="0"/>
    <n v="0"/>
    <n v="0"/>
    <n v="0"/>
    <n v="0"/>
    <n v="4212"/>
  </r>
  <r>
    <x v="2"/>
    <s v="Pest Control"/>
    <x v="0"/>
    <s v="CAMA"/>
    <x v="1"/>
    <x v="0"/>
    <s v="45N Rep. Bloosoms"/>
    <x v="1"/>
    <s v="Raid 45N Rep. Bloosoms"/>
    <n v="0"/>
    <n v="0"/>
    <n v="0"/>
    <n v="0"/>
    <n v="0"/>
    <n v="0"/>
    <n v="0"/>
    <n v="0"/>
    <n v="0"/>
    <n v="0"/>
    <n v="0"/>
    <n v="0"/>
    <n v="0"/>
    <n v="0"/>
    <n v="888"/>
    <n v="180"/>
    <n v="2340"/>
    <n v="1272"/>
    <n v="1584"/>
    <n v="0"/>
    <n v="576"/>
    <n v="72"/>
    <n v="288"/>
    <n v="0"/>
    <n v="0"/>
    <n v="0"/>
    <n v="1872"/>
  </r>
  <r>
    <x v="2"/>
    <s v="Pest Control"/>
    <x v="0"/>
    <s v="CAMA"/>
    <x v="1"/>
    <x v="1"/>
    <s v="45 Noches Rep."/>
    <x v="1"/>
    <s v="Fuyi 45 Noches Rep.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</r>
  <r>
    <x v="2"/>
    <s v="Pest Control"/>
    <x v="0"/>
    <s v="CAMA"/>
    <x v="2"/>
    <x v="1"/>
    <s v="Tabletas Rep. x12"/>
    <x v="2"/>
    <s v="Fuyi Tabletas Rep. x12"/>
    <n v="0"/>
    <n v="0"/>
    <n v="4300"/>
    <n v="11600"/>
    <n v="19200"/>
    <n v="7340"/>
    <n v="2540"/>
    <n v="4220"/>
    <n v="1920"/>
    <n v="400"/>
    <n v="0"/>
    <n v="40"/>
    <n v="0"/>
    <n v="100"/>
    <n v="6120"/>
    <n v="11700"/>
    <n v="13300"/>
    <n v="6540"/>
    <n v="5860"/>
    <n v="3200"/>
    <n v="4120"/>
    <n v="2960"/>
    <n v="320"/>
    <n v="0"/>
    <n v="0"/>
    <n v="0"/>
    <n v="9380"/>
  </r>
  <r>
    <x v="2"/>
    <s v="Pest Control"/>
    <x v="0"/>
    <s v="CAMA"/>
    <x v="2"/>
    <x v="1"/>
    <s v="Tabletas Rep. x24"/>
    <x v="2"/>
    <s v="Fuyi Tabletas Rep. x24"/>
    <n v="0"/>
    <n v="1040"/>
    <n v="8560"/>
    <n v="15040"/>
    <n v="12480"/>
    <n v="9120"/>
    <n v="4640"/>
    <n v="4640"/>
    <n v="2400"/>
    <n v="1600"/>
    <n v="160"/>
    <n v="0"/>
    <n v="0"/>
    <n v="480"/>
    <n v="8800"/>
    <n v="18240"/>
    <n v="8640"/>
    <n v="4320"/>
    <n v="5280"/>
    <n v="560"/>
    <n v="2400"/>
    <n v="240"/>
    <n v="640"/>
    <n v="400"/>
    <n v="80"/>
    <n v="320"/>
    <n v="15040"/>
  </r>
  <r>
    <x v="2"/>
    <s v="Pest Control"/>
    <x v="0"/>
    <s v="CAMA"/>
    <x v="2"/>
    <x v="0"/>
    <s v="Tabletas Ap."/>
    <x v="2"/>
    <s v="Raid Tabletas Ap."/>
    <n v="0"/>
    <n v="0"/>
    <n v="2286"/>
    <n v="3438"/>
    <n v="3270"/>
    <n v="2820"/>
    <n v="858"/>
    <n v="342"/>
    <n v="120"/>
    <n v="0"/>
    <n v="0"/>
    <n v="0"/>
    <n v="0"/>
    <n v="0"/>
    <n v="3330"/>
    <n v="2958"/>
    <n v="1704"/>
    <n v="720"/>
    <n v="2196"/>
    <n v="372"/>
    <n v="0"/>
    <n v="540"/>
    <n v="24"/>
    <n v="0"/>
    <n v="0"/>
    <n v="0"/>
    <n v="1668"/>
  </r>
  <r>
    <x v="2"/>
    <s v="Pest Control"/>
    <x v="0"/>
    <s v="CAMA"/>
    <x v="2"/>
    <x v="0"/>
    <s v="Tabletas Doble Accion Rep. x24"/>
    <x v="2"/>
    <s v="Raid Tabletas Doble Accion Rep. x24"/>
    <n v="80"/>
    <n v="80"/>
    <n v="15680"/>
    <n v="13600"/>
    <n v="21040"/>
    <n v="7520"/>
    <n v="2640"/>
    <n v="3600"/>
    <n v="4320"/>
    <n v="720"/>
    <n v="0"/>
    <n v="640"/>
    <n v="320"/>
    <n v="0"/>
    <n v="10400"/>
    <n v="19760"/>
    <n v="13440"/>
    <n v="11520"/>
    <n v="3920"/>
    <n v="0"/>
    <n v="640"/>
    <n v="3040"/>
    <n v="240"/>
    <n v="320"/>
    <n v="0"/>
    <n v="160"/>
    <n v="12240"/>
  </r>
  <r>
    <x v="2"/>
    <s v="Pest Control"/>
    <x v="0"/>
    <s v="CAMA"/>
    <x v="2"/>
    <x v="0"/>
    <s v="Tabletas Rep. X12"/>
    <x v="2"/>
    <s v="Raid Tabletas Rep. X12"/>
    <n v="0"/>
    <n v="0"/>
    <n v="14940"/>
    <n v="32960"/>
    <n v="15280"/>
    <n v="1240"/>
    <n v="520"/>
    <n v="400"/>
    <n v="0"/>
    <n v="100"/>
    <n v="0"/>
    <n v="0"/>
    <n v="0"/>
    <n v="0"/>
    <n v="40"/>
    <n v="15320"/>
    <n v="6440"/>
    <n v="2400"/>
    <n v="5800"/>
    <n v="1120"/>
    <n v="640"/>
    <n v="360"/>
    <n v="0"/>
    <n v="100"/>
    <n v="0"/>
    <n v="20"/>
    <n v="5960"/>
  </r>
  <r>
    <x v="2"/>
    <s v="Pest Control"/>
    <x v="0"/>
    <s v="CAMA"/>
    <x v="2"/>
    <x v="0"/>
    <s v="Tabletas Rep. x72"/>
    <x v="2"/>
    <s v="Raid Tabletas Rep. x72"/>
    <n v="0"/>
    <n v="24"/>
    <n v="51"/>
    <n v="62"/>
    <n v="63"/>
    <n v="219"/>
    <n v="58"/>
    <n v="0"/>
    <n v="0"/>
    <n v="0"/>
    <n v="0"/>
    <n v="0"/>
    <n v="0"/>
    <n v="0"/>
    <n v="13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3"/>
    <x v="1"/>
    <s v="Repelente Aero 165"/>
    <x v="3"/>
    <s v="Fuyi Repelente Aero 165"/>
    <n v="0"/>
    <n v="0"/>
    <n v="1800"/>
    <n v="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3"/>
    <x v="1"/>
    <s v="Repelente Aero 170"/>
    <x v="3"/>
    <s v="Fuyi Repelente Aero 170"/>
    <n v="0"/>
    <n v="0"/>
    <n v="0"/>
    <n v="6300"/>
    <n v="2940"/>
    <n v="5064"/>
    <n v="3588"/>
    <n v="840"/>
    <n v="540"/>
    <n v="60"/>
    <n v="0"/>
    <n v="0"/>
    <n v="0"/>
    <n v="0"/>
    <n v="2208"/>
    <n v="5088"/>
    <n v="4404"/>
    <n v="9000"/>
    <n v="17916"/>
    <n v="5988"/>
    <n v="13296"/>
    <n v="12312"/>
    <n v="2460"/>
    <n v="672"/>
    <n v="240"/>
    <n v="5760"/>
    <n v="3288"/>
  </r>
  <r>
    <x v="2"/>
    <s v="Pest Control"/>
    <x v="0"/>
    <s v="CAMP"/>
    <x v="3"/>
    <x v="2"/>
    <s v="Extra Dur. Aero 170"/>
    <x v="3"/>
    <s v="Off! Extra Dur. Aero 170"/>
    <n v="0"/>
    <n v="0"/>
    <n v="2568"/>
    <n v="11472"/>
    <n v="6672"/>
    <n v="5856"/>
    <n v="3912"/>
    <n v="1092"/>
    <n v="276"/>
    <n v="120"/>
    <n v="0"/>
    <n v="0"/>
    <n v="0"/>
    <n v="0"/>
    <n v="3336"/>
    <n v="6312"/>
    <n v="6516"/>
    <n v="9696"/>
    <n v="17064"/>
    <n v="9360"/>
    <n v="9324"/>
    <n v="13428"/>
    <n v="0"/>
    <n v="2316"/>
    <n v="144"/>
    <n v="12060"/>
    <n v="3300"/>
  </r>
  <r>
    <x v="2"/>
    <s v="Pest Control"/>
    <x v="0"/>
    <s v="CAMP"/>
    <x v="3"/>
    <x v="2"/>
    <s v="Extra Dur. Aero BP 290"/>
    <x v="3"/>
    <s v="Off! Extra Dur. Aero BP 290"/>
    <n v="0"/>
    <n v="0"/>
    <n v="288"/>
    <n v="612"/>
    <n v="744"/>
    <n v="1560"/>
    <n v="3420"/>
    <n v="0"/>
    <n v="0"/>
    <n v="0"/>
    <n v="0"/>
    <n v="0"/>
    <n v="0"/>
    <n v="120"/>
    <n v="360"/>
    <n v="2472"/>
    <n v="1116"/>
    <n v="2496"/>
    <n v="5580"/>
    <n v="2232"/>
    <n v="0"/>
    <n v="0"/>
    <n v="0"/>
    <n v="0"/>
    <n v="48"/>
    <n v="1272"/>
    <n v="3300"/>
  </r>
  <r>
    <x v="2"/>
    <s v="Pest Control"/>
    <x v="0"/>
    <s v="CAMP"/>
    <x v="3"/>
    <x v="2"/>
    <s v="Family Aero 170"/>
    <x v="3"/>
    <s v="Off! Family Aero 170"/>
    <n v="3360"/>
    <n v="372"/>
    <n v="5736"/>
    <n v="16116"/>
    <n v="4236"/>
    <n v="6048"/>
    <n v="5568"/>
    <n v="384"/>
    <n v="348"/>
    <n v="192"/>
    <n v="0"/>
    <n v="0"/>
    <n v="0"/>
    <n v="0"/>
    <n v="6432"/>
    <n v="9384"/>
    <n v="10464"/>
    <n v="13908"/>
    <n v="38220"/>
    <n v="15444"/>
    <n v="9600"/>
    <n v="20400"/>
    <n v="6120"/>
    <n v="1524"/>
    <n v="300"/>
    <n v="24060"/>
    <n v="4116"/>
  </r>
  <r>
    <x v="2"/>
    <s v="Pest Control"/>
    <x v="0"/>
    <s v="CAMP"/>
    <x v="3"/>
    <x v="2"/>
    <s v="Family Aero BP 290"/>
    <x v="3"/>
    <s v="Off! Family Aero BP 290"/>
    <n v="0"/>
    <n v="372"/>
    <n v="2832"/>
    <n v="240"/>
    <n v="3852"/>
    <n v="2232"/>
    <n v="3720"/>
    <n v="0"/>
    <n v="372"/>
    <n v="0"/>
    <n v="0"/>
    <n v="0"/>
    <n v="0"/>
    <n v="144"/>
    <n v="372"/>
    <n v="4824"/>
    <n v="516"/>
    <n v="3696"/>
    <n v="5988"/>
    <n v="10740"/>
    <n v="2040"/>
    <n v="0"/>
    <n v="0"/>
    <n v="0"/>
    <n v="0"/>
    <n v="1272"/>
    <n v="3408"/>
  </r>
  <r>
    <x v="2"/>
    <s v="Pest Control"/>
    <x v="0"/>
    <s v="CAMP"/>
    <x v="3"/>
    <x v="2"/>
    <s v="Family S&amp;D Aero"/>
    <x v="3"/>
    <s v="Off! Family S&amp;D Aero"/>
    <n v="0"/>
    <n v="0"/>
    <n v="780"/>
    <n v="504"/>
    <n v="14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3"/>
    <x v="2"/>
    <s v="Invisible Aero Everyday"/>
    <x v="3"/>
    <s v="Off! Invisible Aero Everyday"/>
    <n v="0"/>
    <n v="0"/>
    <n v="0"/>
    <n v="360"/>
    <n v="600"/>
    <n v="0"/>
    <n v="0"/>
    <n v="0"/>
    <n v="0"/>
    <n v="0"/>
    <n v="0"/>
    <n v="0"/>
    <n v="0"/>
    <n v="0"/>
    <n v="780"/>
    <n v="360"/>
    <n v="828"/>
    <n v="360"/>
    <n v="5136"/>
    <n v="588"/>
    <n v="0"/>
    <n v="0"/>
    <n v="1752"/>
    <n v="0"/>
    <n v="0"/>
    <n v="0"/>
    <n v="672"/>
  </r>
  <r>
    <x v="2"/>
    <s v="Pest Control"/>
    <x v="0"/>
    <s v="CAMP"/>
    <x v="4"/>
    <x v="2"/>
    <s v="Crema Extra Duracion 100g"/>
    <x v="4"/>
    <s v="Off! Crema Extra Duracion 100g"/>
    <n v="0"/>
    <n v="0"/>
    <n v="0"/>
    <n v="0"/>
    <n v="0"/>
    <n v="0"/>
    <n v="768"/>
    <n v="0"/>
    <n v="12"/>
    <n v="0"/>
    <n v="0"/>
    <n v="0"/>
    <n v="0"/>
    <n v="0"/>
    <n v="972"/>
    <n v="420"/>
    <n v="0"/>
    <n v="1800"/>
    <n v="840"/>
    <n v="840"/>
    <n v="840"/>
    <n v="1308"/>
    <n v="0"/>
    <n v="0"/>
    <n v="36"/>
    <n v="0"/>
    <n v="0"/>
  </r>
  <r>
    <x v="2"/>
    <s v="Pest Control"/>
    <x v="0"/>
    <s v="CAMP"/>
    <x v="4"/>
    <x v="2"/>
    <s v="Crema Extra Duracion 90g"/>
    <x v="4"/>
    <s v="Off! Crema Extra Duracion 90g"/>
    <n v="0"/>
    <n v="0"/>
    <n v="1416"/>
    <n v="1188"/>
    <n v="240"/>
    <n v="0"/>
    <n v="60"/>
    <n v="0"/>
    <n v="60"/>
    <n v="180"/>
    <n v="0"/>
    <n v="0"/>
    <n v="0"/>
    <n v="0"/>
    <n v="0"/>
    <n v="180"/>
    <n v="0"/>
    <n v="0"/>
    <n v="0"/>
    <n v="0"/>
    <n v="0"/>
    <n v="0"/>
    <n v="0"/>
    <n v="0"/>
    <n v="0"/>
    <n v="0"/>
    <n v="0"/>
  </r>
  <r>
    <x v="2"/>
    <s v="Pest Control"/>
    <x v="0"/>
    <s v="CAMP"/>
    <x v="4"/>
    <x v="2"/>
    <s v="Family Crema 196g"/>
    <x v="4"/>
    <s v="Off! Family Crema 196g"/>
    <n v="0"/>
    <n v="0"/>
    <n v="0"/>
    <n v="0"/>
    <n v="3300"/>
    <n v="2280"/>
    <n v="3120"/>
    <n v="0"/>
    <n v="96"/>
    <n v="36"/>
    <n v="0"/>
    <n v="0"/>
    <n v="0"/>
    <n v="0"/>
    <n v="2436"/>
    <n v="4032"/>
    <n v="3744"/>
    <n v="3744"/>
    <n v="7632"/>
    <n v="5076"/>
    <n v="1800"/>
    <n v="9564"/>
    <n v="720"/>
    <n v="0"/>
    <n v="0"/>
    <n v="0"/>
    <n v="1620"/>
  </r>
  <r>
    <x v="2"/>
    <s v="Pest Control"/>
    <x v="0"/>
    <s v="CAMP"/>
    <x v="4"/>
    <x v="2"/>
    <s v="Family Crema 200g"/>
    <x v="4"/>
    <s v="Off! Family Crema 200g"/>
    <n v="0"/>
    <n v="0"/>
    <n v="1404"/>
    <n v="624"/>
    <n v="2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4"/>
    <x v="2"/>
    <s v="Family Crema 60g"/>
    <x v="4"/>
    <s v="Off! Family Crema 60g"/>
    <n v="0"/>
    <n v="0"/>
    <n v="2280"/>
    <n v="4236"/>
    <n v="5820"/>
    <n v="6768"/>
    <n v="6636"/>
    <n v="3780"/>
    <n v="1128"/>
    <n v="24"/>
    <n v="0"/>
    <n v="0"/>
    <n v="0"/>
    <n v="0"/>
    <n v="1824"/>
    <n v="4656"/>
    <n v="5040"/>
    <n v="3744"/>
    <n v="12936"/>
    <n v="11040"/>
    <n v="9816"/>
    <n v="3180"/>
    <n v="2400"/>
    <n v="768"/>
    <n v="96"/>
    <n v="36"/>
    <n v="5676"/>
  </r>
  <r>
    <x v="2"/>
    <s v="Pest Control"/>
    <x v="0"/>
    <s v="CAMP"/>
    <x v="4"/>
    <x v="2"/>
    <s v="Kids Crema 100g"/>
    <x v="4"/>
    <s v="Off! Kids Crema 100g"/>
    <n v="0"/>
    <n v="0"/>
    <n v="0"/>
    <n v="0"/>
    <n v="1632"/>
    <n v="1692"/>
    <n v="672"/>
    <n v="300"/>
    <n v="108"/>
    <n v="36"/>
    <n v="0"/>
    <n v="0"/>
    <n v="0"/>
    <n v="0"/>
    <n v="1656"/>
    <n v="3108"/>
    <n v="660"/>
    <n v="2292"/>
    <n v="7608"/>
    <n v="0"/>
    <n v="36"/>
    <n v="360"/>
    <n v="0"/>
    <n v="0"/>
    <n v="12"/>
    <n v="204"/>
    <n v="2424"/>
  </r>
  <r>
    <x v="2"/>
    <s v="Pest Control"/>
    <x v="0"/>
    <s v="CAMP"/>
    <x v="4"/>
    <x v="2"/>
    <s v="Kids Crema 90g"/>
    <x v="4"/>
    <s v="Off! Kids Crema 90g"/>
    <n v="0"/>
    <n v="0"/>
    <n v="1392"/>
    <n v="1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CAMP"/>
    <x v="4"/>
    <x v="2"/>
    <s v="Family Crema 60g Fundita"/>
    <x v="4"/>
    <s v="Off! Family Crema 60g Fundita"/>
    <n v="0"/>
    <n v="0"/>
    <n v="0"/>
    <n v="0"/>
    <n v="600"/>
    <n v="0"/>
    <n v="0"/>
    <n v="0"/>
    <n v="0"/>
    <n v="0"/>
    <n v="0"/>
    <n v="0"/>
    <n v="0"/>
    <n v="0"/>
    <n v="0"/>
    <n v="0"/>
    <n v="1800"/>
    <n v="504"/>
    <n v="0"/>
    <n v="0"/>
    <n v="0"/>
    <n v="0"/>
    <n v="0"/>
    <n v="0"/>
    <n v="0"/>
    <n v="0"/>
    <n v="0"/>
  </r>
  <r>
    <x v="2"/>
    <s v="Pest Control"/>
    <x v="0"/>
    <s v="CAMP"/>
    <x v="5"/>
    <x v="2"/>
    <s v="Defense Gel"/>
    <x v="5"/>
    <s v="Off! Defense Gel"/>
    <n v="0"/>
    <n v="0"/>
    <n v="360"/>
    <n v="1500"/>
    <n v="792"/>
    <n v="1020"/>
    <n v="900"/>
    <n v="0"/>
    <n v="0"/>
    <n v="0"/>
    <n v="0"/>
    <n v="0"/>
    <n v="0"/>
    <n v="0"/>
    <n v="0"/>
    <n v="2400"/>
    <n v="1500"/>
    <n v="1824"/>
    <n v="4116"/>
    <n v="1500"/>
    <n v="300"/>
    <n v="4452"/>
    <n v="0"/>
    <n v="0"/>
    <n v="0"/>
    <n v="0"/>
    <n v="1344"/>
  </r>
  <r>
    <x v="2"/>
    <s v="Pest Control"/>
    <x v="0"/>
    <s v="CAMP"/>
    <x v="6"/>
    <x v="2"/>
    <s v="Defense Spray"/>
    <x v="6"/>
    <s v="Off! Defense Spray"/>
    <n v="0"/>
    <n v="0"/>
    <n v="480"/>
    <n v="1500"/>
    <n v="1692"/>
    <n v="264"/>
    <n v="36"/>
    <n v="0"/>
    <n v="0"/>
    <n v="0"/>
    <n v="0"/>
    <n v="0"/>
    <n v="0"/>
    <n v="0"/>
    <n v="0"/>
    <n v="2340"/>
    <n v="1500"/>
    <n v="2160"/>
    <n v="2436"/>
    <n v="72"/>
    <n v="2400"/>
    <n v="3024"/>
    <n v="24"/>
    <n v="0"/>
    <n v="0"/>
    <n v="0"/>
    <n v="1344"/>
  </r>
  <r>
    <x v="2"/>
    <s v="Pest Control"/>
    <x v="0"/>
    <s v="CAMP"/>
    <x v="6"/>
    <x v="2"/>
    <s v="Family Spray"/>
    <x v="6"/>
    <s v="Off! Family Spray"/>
    <n v="0"/>
    <n v="0"/>
    <n v="1368"/>
    <n v="1248"/>
    <n v="1440"/>
    <n v="96"/>
    <n v="1416"/>
    <n v="0"/>
    <n v="96"/>
    <n v="0"/>
    <n v="0"/>
    <n v="0"/>
    <n v="0"/>
    <n v="0"/>
    <n v="996"/>
    <n v="540"/>
    <n v="168"/>
    <n v="0"/>
    <n v="0"/>
    <n v="1296"/>
    <n v="2700"/>
    <n v="4440"/>
    <n v="840"/>
    <n v="0"/>
    <n v="0"/>
    <n v="0"/>
    <n v="1176"/>
  </r>
  <r>
    <x v="2"/>
    <s v="Pest Control"/>
    <x v="0"/>
    <s v="CAMP"/>
    <x v="6"/>
    <x v="2"/>
    <s v="Invisible Sueños"/>
    <x v="6"/>
    <s v="Off! Invisible Sueñ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"/>
  </r>
  <r>
    <x v="2"/>
    <s v="Pest Control"/>
    <x v="0"/>
    <s v="IAM"/>
    <x v="7"/>
    <x v="3"/>
    <s v="MMM"/>
    <x v="3"/>
    <s v="Baygon MMM"/>
    <n v="0"/>
    <n v="11700"/>
    <n v="61812"/>
    <n v="58152"/>
    <n v="31308"/>
    <n v="12120"/>
    <n v="60"/>
    <n v="2376"/>
    <n v="180"/>
    <n v="720"/>
    <n v="0"/>
    <n v="600"/>
    <n v="300"/>
    <n v="10200"/>
    <n v="50472"/>
    <n v="57984"/>
    <n v="24048"/>
    <n v="0"/>
    <n v="1008"/>
    <n v="0"/>
    <n v="1320"/>
    <n v="2940"/>
    <n v="2028"/>
    <n v="108"/>
    <n v="1800"/>
    <n v="3168"/>
    <n v="35784"/>
  </r>
  <r>
    <x v="2"/>
    <s v="Pest Control"/>
    <x v="0"/>
    <s v="IAM"/>
    <x v="7"/>
    <x v="1"/>
    <s v="Aero MMM TP"/>
    <x v="3"/>
    <s v="Fuyi Aero MMM TP"/>
    <n v="0"/>
    <n v="0"/>
    <n v="8700"/>
    <n v="12570"/>
    <n v="10956"/>
    <n v="17904"/>
    <n v="4590"/>
    <n v="2436"/>
    <n v="5292"/>
    <n v="450"/>
    <n v="0"/>
    <n v="180"/>
    <n v="0"/>
    <n v="660"/>
    <n v="8940"/>
    <n v="16236"/>
    <n v="16668"/>
    <n v="8154"/>
    <n v="4620"/>
    <n v="540"/>
    <n v="2160"/>
    <n v="1032"/>
    <n v="1206"/>
    <n v="378"/>
    <n v="0"/>
    <n v="174"/>
    <n v="13350"/>
  </r>
  <r>
    <x v="2"/>
    <s v="Pest Control"/>
    <x v="0"/>
    <s v="IAM"/>
    <x v="7"/>
    <x v="1"/>
    <s v="MMM Aero"/>
    <x v="3"/>
    <s v="Fuyi MMM Aero"/>
    <n v="60"/>
    <n v="120"/>
    <n v="38316"/>
    <n v="43860"/>
    <n v="34080"/>
    <n v="4632"/>
    <n v="108"/>
    <n v="0"/>
    <n v="288"/>
    <n v="240"/>
    <n v="360"/>
    <n v="360"/>
    <n v="120"/>
    <n v="60"/>
    <n v="1620"/>
    <n v="9600"/>
    <n v="1860"/>
    <n v="1800"/>
    <n v="4860"/>
    <n v="780"/>
    <n v="840"/>
    <n v="3000"/>
    <n v="1500"/>
    <n v="840"/>
    <n v="72"/>
    <n v="120"/>
    <n v="18720"/>
  </r>
  <r>
    <x v="2"/>
    <s v="Pest Control"/>
    <x v="0"/>
    <s v="IAM"/>
    <x v="7"/>
    <x v="0"/>
    <s v="Aero Casa y Jardin"/>
    <x v="3"/>
    <s v="Raid Aero Casa y Jardin"/>
    <n v="168"/>
    <n v="36"/>
    <n v="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0"/>
    <s v="IAM"/>
    <x v="7"/>
    <x v="0"/>
    <s v="Aero Casa y Jardin Clasico"/>
    <x v="3"/>
    <s v="Raid Aero Casa y Jardin Clasico"/>
    <n v="0"/>
    <n v="0"/>
    <n v="6504"/>
    <n v="5040"/>
    <n v="3288"/>
    <n v="1032"/>
    <n v="1536"/>
    <n v="2316"/>
    <n v="948"/>
    <n v="336"/>
    <n v="180"/>
    <n v="48"/>
    <n v="0"/>
    <n v="180"/>
    <n v="5028"/>
    <n v="3720"/>
    <n v="2808"/>
    <n v="1992"/>
    <n v="1536"/>
    <n v="1272"/>
    <n v="1044"/>
    <n v="2052"/>
    <n v="600"/>
    <n v="432"/>
    <n v="528"/>
    <n v="144"/>
    <n v="4584"/>
  </r>
  <r>
    <x v="2"/>
    <s v="Pest Control"/>
    <x v="0"/>
    <s v="IAM"/>
    <x v="7"/>
    <x v="0"/>
    <s v="Aero MMM Azul"/>
    <x v="3"/>
    <s v="Raid Aero MMM Azul"/>
    <n v="4560"/>
    <n v="5832"/>
    <n v="38412"/>
    <n v="26400"/>
    <n v="26436"/>
    <n v="720"/>
    <n v="0"/>
    <n v="480"/>
    <n v="84"/>
    <n v="0"/>
    <n v="780"/>
    <n v="0"/>
    <n v="144"/>
    <n v="13200"/>
    <n v="10752"/>
    <n v="10200"/>
    <n v="4860"/>
    <n v="300"/>
    <n v="3000"/>
    <n v="0"/>
    <n v="2280"/>
    <n v="3192"/>
    <n v="912"/>
    <n v="1164"/>
    <n v="312"/>
    <n v="84"/>
    <n v="16704"/>
  </r>
  <r>
    <x v="2"/>
    <s v="Pest Control"/>
    <x v="0"/>
    <s v="IAM"/>
    <x v="7"/>
    <x v="0"/>
    <s v="Aero MMM Azul TP"/>
    <x v="3"/>
    <s v="Raid Aero MMM Azul TP"/>
    <n v="0"/>
    <n v="0"/>
    <n v="6930"/>
    <n v="14550"/>
    <n v="11184"/>
    <n v="17178"/>
    <n v="4014"/>
    <n v="2370"/>
    <n v="3654"/>
    <n v="90"/>
    <n v="690"/>
    <n v="0"/>
    <n v="240"/>
    <n v="1020"/>
    <n v="16698"/>
    <n v="12420"/>
    <n v="15990"/>
    <n v="8130"/>
    <n v="4380"/>
    <n v="780"/>
    <n v="1380"/>
    <n v="480"/>
    <n v="1026"/>
    <n v="378"/>
    <n v="780"/>
    <n v="606"/>
    <n v="18006"/>
  </r>
  <r>
    <x v="2"/>
    <s v="Pest Control"/>
    <x v="0"/>
    <s v="IAM"/>
    <x v="7"/>
    <x v="0"/>
    <s v="Aero MMM Eficacia Segura"/>
    <x v="3"/>
    <s v="Raid Aero MMM Eficacia Segura"/>
    <n v="0"/>
    <n v="0"/>
    <n v="1176"/>
    <n v="912"/>
    <n v="576"/>
    <n v="336"/>
    <n v="0"/>
    <n v="0"/>
    <n v="0"/>
    <n v="216"/>
    <n v="480"/>
    <n v="0"/>
    <n v="0"/>
    <n v="0"/>
    <n v="1020"/>
    <n v="0"/>
    <n v="612"/>
    <n v="0"/>
    <n v="0"/>
    <n v="0"/>
    <n v="0"/>
    <n v="0"/>
    <n v="0"/>
    <n v="0"/>
    <n v="0"/>
    <n v="0"/>
    <n v="0"/>
  </r>
  <r>
    <x v="2"/>
    <s v="Pest Control"/>
    <x v="0"/>
    <s v="IAM"/>
    <x v="7"/>
    <x v="0"/>
    <s v="Aero MMM S/O 420 BP"/>
    <x v="3"/>
    <s v="Raid Aero MMM S/O 420 BP"/>
    <n v="12396"/>
    <n v="14820"/>
    <n v="87612"/>
    <n v="73584"/>
    <n v="45264"/>
    <n v="9372"/>
    <n v="1860"/>
    <n v="3564"/>
    <n v="7740"/>
    <n v="6084"/>
    <n v="3204"/>
    <n v="1560"/>
    <n v="720"/>
    <n v="13140"/>
    <n v="35400"/>
    <n v="41808"/>
    <n v="33360"/>
    <n v="33624"/>
    <n v="10800"/>
    <n v="7344"/>
    <n v="5544"/>
    <n v="11040"/>
    <n v="4464"/>
    <n v="1524"/>
    <n v="2280"/>
    <n v="5088"/>
    <n v="36120"/>
  </r>
  <r>
    <x v="2"/>
    <s v="Pest Control"/>
    <x v="0"/>
    <s v="IAM"/>
    <x v="7"/>
    <x v="0"/>
    <s v="Essentials Casa y Jardin"/>
    <x v="3"/>
    <s v="Raid Essentials Casa y Jardin"/>
    <n v="0"/>
    <n v="0"/>
    <n v="5760"/>
    <n v="4080"/>
    <n v="0"/>
    <n v="0"/>
    <n v="120"/>
    <n v="0"/>
    <n v="0"/>
    <n v="0"/>
    <n v="0"/>
    <n v="0"/>
    <n v="0"/>
    <n v="0"/>
    <n v="180"/>
    <n v="0"/>
    <n v="0"/>
    <n v="0"/>
    <n v="156"/>
    <n v="0"/>
    <n v="0"/>
    <n v="0"/>
    <n v="0"/>
    <n v="0"/>
    <n v="0"/>
    <n v="0"/>
    <n v="0"/>
  </r>
  <r>
    <x v="2"/>
    <s v="Pest Control"/>
    <x v="0"/>
    <s v="IAM"/>
    <x v="7"/>
    <x v="0"/>
    <s v="Aero MMM Essentials"/>
    <x v="3"/>
    <s v="Raid Aero MMM Essentia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6"/>
  </r>
  <r>
    <x v="2"/>
    <s v="Pest Control"/>
    <x v="1"/>
    <s v="Rastreros"/>
    <x v="8"/>
    <x v="3"/>
    <s v="Verde"/>
    <x v="3"/>
    <s v="Baygon Verde"/>
    <n v="1512"/>
    <n v="336"/>
    <n v="3888"/>
    <n v="3972"/>
    <n v="4104"/>
    <n v="1272"/>
    <n v="180"/>
    <n v="792"/>
    <n v="0"/>
    <n v="876"/>
    <n v="168"/>
    <n v="0"/>
    <n v="180"/>
    <n v="0"/>
    <n v="5292"/>
    <n v="1356"/>
    <n v="1560"/>
    <n v="1104"/>
    <n v="0"/>
    <n v="516"/>
    <n v="456"/>
    <n v="1080"/>
    <n v="468"/>
    <n v="0"/>
    <n v="552"/>
    <n v="60"/>
    <n v="2064"/>
  </r>
  <r>
    <x v="2"/>
    <s v="Pest Control"/>
    <x v="1"/>
    <s v="Rastreros"/>
    <x v="8"/>
    <x v="0"/>
    <s v="Aero Cocina"/>
    <x v="3"/>
    <s v="Raid Aero Cocina"/>
    <n v="36"/>
    <n v="336"/>
    <n v="30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x v="1"/>
    <s v="Rastreros"/>
    <x v="8"/>
    <x v="0"/>
    <s v="Aero Exterminador"/>
    <x v="3"/>
    <s v="Raid Aero Exterminador"/>
    <n v="1860"/>
    <n v="252"/>
    <n v="4716"/>
    <n v="8736"/>
    <n v="7860"/>
    <n v="2412"/>
    <n v="1008"/>
    <n v="3552"/>
    <n v="3444"/>
    <n v="1500"/>
    <n v="1548"/>
    <n v="360"/>
    <n v="816"/>
    <n v="2580"/>
    <n v="9012"/>
    <n v="4824"/>
    <n v="4524"/>
    <n v="2760"/>
    <n v="2796"/>
    <n v="2184"/>
    <n v="2940"/>
    <n v="3564"/>
    <n v="480"/>
    <n v="300"/>
    <n v="456"/>
    <n v="552"/>
    <n v="9480"/>
  </r>
  <r>
    <x v="2"/>
    <s v="Pest Control"/>
    <x v="1"/>
    <s v="Rastreros"/>
    <x v="8"/>
    <x v="0"/>
    <s v="Aero Max S/O"/>
    <x v="3"/>
    <s v="Raid Aero Max S/O"/>
    <n v="2184"/>
    <n v="396"/>
    <n v="5808"/>
    <n v="4368"/>
    <n v="6492"/>
    <n v="2832"/>
    <n v="2280"/>
    <n v="1932"/>
    <n v="2688"/>
    <n v="1044"/>
    <n v="1680"/>
    <n v="480"/>
    <n v="660"/>
    <n v="1296"/>
    <n v="10500"/>
    <n v="852"/>
    <n v="5196"/>
    <n v="2232"/>
    <n v="2268"/>
    <n v="3096"/>
    <n v="3156"/>
    <n v="2112"/>
    <n v="684"/>
    <n v="420"/>
    <n v="792"/>
    <n v="420"/>
    <n v="5784"/>
  </r>
  <r>
    <x v="2"/>
    <s v="Pest Control"/>
    <x v="1"/>
    <s v="Rastreros"/>
    <x v="8"/>
    <x v="0"/>
    <s v="Essentials Cucarachas"/>
    <x v="3"/>
    <s v="Raid Essentials Cucarachas"/>
    <n v="0"/>
    <n v="0"/>
    <n v="3396"/>
    <n v="5880"/>
    <n v="12"/>
    <n v="480"/>
    <n v="0"/>
    <n v="336"/>
    <n v="0"/>
    <n v="0"/>
    <n v="0"/>
    <n v="0"/>
    <n v="0"/>
    <n v="0"/>
    <n v="1056"/>
    <n v="240"/>
    <n v="336"/>
    <n v="0"/>
    <n v="420"/>
    <n v="0"/>
    <n v="0"/>
    <n v="0"/>
    <n v="0"/>
    <n v="0"/>
    <n v="0"/>
    <n v="0"/>
    <n v="0"/>
  </r>
  <r>
    <x v="2"/>
    <s v="Pest Control"/>
    <x v="1"/>
    <s v="Rastreros"/>
    <x v="8"/>
    <x v="0"/>
    <s v="Max Jeringas"/>
    <x v="7"/>
    <s v="Raid Max Jeringas"/>
    <n v="360"/>
    <n v="240"/>
    <n v="1770"/>
    <n v="2256"/>
    <n v="1632"/>
    <n v="618"/>
    <n v="546"/>
    <n v="180"/>
    <n v="600"/>
    <n v="408"/>
    <n v="150"/>
    <n v="90"/>
    <n v="36"/>
    <n v="576"/>
    <n v="3006"/>
    <n v="972"/>
    <n v="1590"/>
    <n v="0"/>
    <n v="240"/>
    <n v="210"/>
    <n v="360"/>
    <n v="468"/>
    <n v="0"/>
    <n v="60"/>
    <n v="222"/>
    <n v="0"/>
    <n v="1572"/>
  </r>
  <r>
    <x v="2"/>
    <s v="Pest Control"/>
    <x v="1"/>
    <s v="Rastreros"/>
    <x v="8"/>
    <x v="0"/>
    <s v="Cebos"/>
    <x v="8"/>
    <s v="Raid Cebos"/>
    <n v="852"/>
    <n v="120"/>
    <n v="7920"/>
    <n v="4944"/>
    <n v="6540"/>
    <n v="3792"/>
    <n v="1356"/>
    <n v="3408"/>
    <n v="1284"/>
    <n v="1560"/>
    <n v="900"/>
    <n v="120"/>
    <n v="456"/>
    <n v="840"/>
    <n v="3960"/>
    <n v="5580"/>
    <n v="4284"/>
    <n v="3204"/>
    <n v="4260"/>
    <n v="2340"/>
    <n v="1236"/>
    <n v="2208"/>
    <n v="612"/>
    <n v="600"/>
    <n v="288"/>
    <n v="144"/>
    <n v="5040"/>
  </r>
  <r>
    <x v="2"/>
    <s v="Pest Control"/>
    <x v="1"/>
    <s v="Rastreros"/>
    <x v="9"/>
    <x v="0"/>
    <s v="Aero Mata Hormigas"/>
    <x v="3"/>
    <s v="Raid Aero Mata Hormigas"/>
    <n v="0"/>
    <n v="60"/>
    <n v="3048"/>
    <n v="504"/>
    <n v="1260"/>
    <n v="1332"/>
    <n v="180"/>
    <n v="936"/>
    <n v="120"/>
    <n v="660"/>
    <n v="0"/>
    <n v="300"/>
    <n v="24"/>
    <n v="348"/>
    <n v="732"/>
    <n v="2604"/>
    <n v="1392"/>
    <n v="72"/>
    <n v="372"/>
    <n v="0"/>
    <n v="12"/>
    <n v="360"/>
    <n v="0"/>
    <n v="0"/>
    <n v="0"/>
    <n v="0"/>
    <n v="2196"/>
  </r>
  <r>
    <x v="2"/>
    <s v="Pest Control"/>
    <x v="1"/>
    <s v="Rastreros"/>
    <x v="10"/>
    <x v="0"/>
    <s v="Aero Matapulgas"/>
    <x v="3"/>
    <s v="Raid Aero Matapulgas"/>
    <n v="24"/>
    <n v="408"/>
    <n v="3612"/>
    <n v="3348"/>
    <n v="3564"/>
    <n v="1008"/>
    <n v="60"/>
    <n v="924"/>
    <n v="912"/>
    <n v="756"/>
    <n v="420"/>
    <n v="252"/>
    <n v="0"/>
    <n v="300"/>
    <n v="4764"/>
    <n v="2724"/>
    <n v="2172"/>
    <n v="348"/>
    <n v="396"/>
    <n v="264"/>
    <n v="996"/>
    <n v="444"/>
    <n v="0"/>
    <n v="0"/>
    <n v="372"/>
    <n v="0"/>
    <n v="3120"/>
  </r>
  <r>
    <x v="2"/>
    <s v="Pest Control"/>
    <x v="1"/>
    <s v="Voladores"/>
    <x v="11"/>
    <x v="0"/>
    <s v="Aero Antipolilla"/>
    <x v="3"/>
    <s v="Raid Aero Antipolilla"/>
    <n v="948"/>
    <n v="492"/>
    <n v="6600"/>
    <n v="4128"/>
    <n v="4452"/>
    <n v="828"/>
    <n v="0"/>
    <n v="360"/>
    <n v="0"/>
    <n v="816"/>
    <n v="948"/>
    <n v="120"/>
    <n v="408"/>
    <n v="1272"/>
    <n v="7560"/>
    <n v="3504"/>
    <n v="708"/>
    <n v="1500"/>
    <n v="1596"/>
    <n v="0"/>
    <n v="180"/>
    <n v="672"/>
    <n v="60"/>
    <n v="0"/>
    <n v="24"/>
    <n v="84"/>
    <n v="2868"/>
  </r>
  <r>
    <x v="2"/>
    <s v="Pest Control"/>
    <x v="1"/>
    <s v="Voladores"/>
    <x v="12"/>
    <x v="0"/>
    <s v="Antipolillas Continuo"/>
    <x v="2"/>
    <s v="Raid Antipolillas Continuo"/>
    <n v="120"/>
    <n v="0"/>
    <n v="1020"/>
    <n v="1092"/>
    <n v="480"/>
    <n v="360"/>
    <n v="660"/>
    <n v="0"/>
    <n v="0"/>
    <n v="0"/>
    <n v="0"/>
    <n v="204"/>
    <n v="0"/>
    <n v="156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A"/>
    <x v="0"/>
    <x v="0"/>
    <s v="Espirales Lavanda"/>
    <x v="0"/>
    <s v="Raid Espirales Lavanda"/>
    <n v="24"/>
    <n v="0"/>
    <n v="4056"/>
    <n v="648"/>
    <n v="1440"/>
    <n v="4032"/>
    <n v="7944"/>
    <n v="4032"/>
    <n v="3528"/>
    <n v="744"/>
    <n v="0"/>
    <n v="0"/>
    <n v="120"/>
    <n v="0"/>
    <n v="1488"/>
    <n v="4320"/>
    <n v="2496"/>
    <n v="10680"/>
    <n v="14952"/>
    <n v="6096"/>
    <n v="6528"/>
    <n v="4752"/>
    <n v="0"/>
    <n v="0"/>
    <n v="2592"/>
    <n v="48"/>
    <n v="2136"/>
  </r>
  <r>
    <x v="3"/>
    <s v="Pest Control"/>
    <x v="0"/>
    <s v="CAMA"/>
    <x v="0"/>
    <x v="0"/>
    <s v="Espirales Original"/>
    <x v="0"/>
    <s v="Raid Espirales Original"/>
    <n v="0"/>
    <n v="0"/>
    <n v="1560"/>
    <n v="96"/>
    <n v="408"/>
    <n v="3024"/>
    <n v="4464"/>
    <n v="2064"/>
    <n v="432"/>
    <n v="168"/>
    <n v="168"/>
    <n v="96"/>
    <n v="96"/>
    <n v="0"/>
    <n v="96"/>
    <n v="624"/>
    <n v="1752"/>
    <n v="6840"/>
    <n v="12648"/>
    <n v="-552"/>
    <n v="2304"/>
    <n v="1848"/>
    <n v="5520"/>
    <n v="312"/>
    <n v="144"/>
    <n v="0"/>
    <n v="1272"/>
  </r>
  <r>
    <x v="3"/>
    <s v="Pest Control"/>
    <x v="0"/>
    <s v="CAMA"/>
    <x v="1"/>
    <x v="1"/>
    <s v="45N Ap."/>
    <x v="1"/>
    <s v="Fuyi 45N Ap."/>
    <n v="6"/>
    <n v="18"/>
    <n v="756"/>
    <n v="1866"/>
    <n v="492"/>
    <n v="924"/>
    <n v="768"/>
    <n v="174"/>
    <n v="66"/>
    <n v="12"/>
    <n v="12"/>
    <n v="24"/>
    <n v="66"/>
    <n v="0"/>
    <n v="0"/>
    <n v="678"/>
    <n v="96"/>
    <n v="1206"/>
    <n v="1152"/>
    <n v="714"/>
    <n v="384"/>
    <n v="552"/>
    <n v="120"/>
    <n v="18"/>
    <n v="96"/>
    <n v="0"/>
    <n v="528"/>
  </r>
  <r>
    <x v="3"/>
    <s v="Pest Control"/>
    <x v="0"/>
    <s v="CAMA"/>
    <x v="1"/>
    <x v="1"/>
    <s v="45N Rep."/>
    <x v="1"/>
    <s v="Fuyi 45N Rep."/>
    <n v="24"/>
    <n v="0"/>
    <n v="1044"/>
    <n v="840"/>
    <n v="2532"/>
    <n v="2352"/>
    <n v="1644"/>
    <n v="744"/>
    <n v="564"/>
    <n v="456"/>
    <n v="1260"/>
    <n v="84"/>
    <n v="84"/>
    <n v="0"/>
    <n v="48"/>
    <n v="1440"/>
    <n v="984"/>
    <n v="2052"/>
    <n v="3192"/>
    <n v="480"/>
    <n v="780"/>
    <n v="1740"/>
    <n v="360"/>
    <n v="120"/>
    <n v="156"/>
    <n v="0"/>
    <n v="0"/>
  </r>
  <r>
    <x v="3"/>
    <s v="Pest Control"/>
    <x v="0"/>
    <s v="CAMA"/>
    <x v="1"/>
    <x v="0"/>
    <s v="45N Ap."/>
    <x v="1"/>
    <s v="Raid 45N Ap."/>
    <n v="18"/>
    <n v="12"/>
    <n v="2874"/>
    <n v="1224"/>
    <n v="0"/>
    <n v="0"/>
    <n v="0"/>
    <n v="0"/>
    <n v="0"/>
    <n v="0"/>
    <n v="0"/>
    <n v="0"/>
    <n v="0"/>
    <n v="324"/>
    <n v="150"/>
    <n v="84"/>
    <n v="0"/>
    <n v="0"/>
    <n v="3498"/>
    <n v="1494"/>
    <n v="996"/>
    <n v="1170"/>
    <n v="288"/>
    <n v="84"/>
    <n v="36"/>
    <n v="6"/>
    <n v="0"/>
  </r>
  <r>
    <x v="3"/>
    <s v="Pest Control"/>
    <x v="0"/>
    <s v="CAMA"/>
    <x v="1"/>
    <x v="0"/>
    <s v="45N Rep."/>
    <x v="1"/>
    <s v="Raid 45N Rep."/>
    <n v="24"/>
    <n v="12"/>
    <n v="11712"/>
    <n v="2688"/>
    <n v="4908"/>
    <n v="2844"/>
    <n v="4392"/>
    <n v="3708"/>
    <n v="3612"/>
    <n v="2040"/>
    <n v="1020"/>
    <n v="372"/>
    <n v="300"/>
    <n v="504"/>
    <n v="6612"/>
    <n v="2904"/>
    <n v="5844"/>
    <n v="5400"/>
    <n v="4908"/>
    <n v="3996"/>
    <n v="5004"/>
    <n v="3684"/>
    <n v="408"/>
    <n v="168"/>
    <n v="492"/>
    <n v="12"/>
    <n v="4632"/>
  </r>
  <r>
    <x v="3"/>
    <s v="Pest Control"/>
    <x v="0"/>
    <s v="CAMA"/>
    <x v="1"/>
    <x v="0"/>
    <s v="45N Ap. Promo"/>
    <x v="1"/>
    <s v="Raid 45N Ap. Promo"/>
    <n v="0"/>
    <n v="0"/>
    <n v="6606"/>
    <n v="2802"/>
    <n v="3780"/>
    <n v="9108"/>
    <n v="5028"/>
    <n v="2184"/>
    <n v="1134"/>
    <n v="468"/>
    <n v="246"/>
    <n v="144"/>
    <n v="432"/>
    <n v="150"/>
    <n v="2892"/>
    <n v="6864"/>
    <n v="6000"/>
    <n v="2556"/>
    <n v="0"/>
    <n v="0"/>
    <n v="0"/>
    <n v="0"/>
    <n v="0"/>
    <n v="0"/>
    <n v="0"/>
    <n v="0"/>
    <n v="3222"/>
  </r>
  <r>
    <x v="3"/>
    <s v="Pest Control"/>
    <x v="0"/>
    <s v="CAMA"/>
    <x v="1"/>
    <x v="0"/>
    <s v="45N Rep. Bloosoms"/>
    <x v="1"/>
    <s v="Raid 45N Rep. Bloosoms"/>
    <n v="0"/>
    <n v="0"/>
    <n v="0"/>
    <n v="0"/>
    <n v="0"/>
    <n v="0"/>
    <n v="0"/>
    <n v="0"/>
    <n v="0"/>
    <n v="0"/>
    <n v="0"/>
    <n v="0"/>
    <n v="0"/>
    <n v="0"/>
    <n v="204"/>
    <n v="2808"/>
    <n v="2616"/>
    <n v="3444"/>
    <n v="3204"/>
    <n v="2868"/>
    <n v="2376"/>
    <n v="2736"/>
    <n v="324"/>
    <n v="108"/>
    <n v="264"/>
    <n v="0"/>
    <n v="1236"/>
  </r>
  <r>
    <x v="3"/>
    <s v="Pest Control"/>
    <x v="0"/>
    <s v="CAMA"/>
    <x v="1"/>
    <x v="1"/>
    <s v="45 Noches Rep."/>
    <x v="1"/>
    <s v="Fuyi 45 Noches Rep.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6"/>
  </r>
  <r>
    <x v="3"/>
    <s v="Pest Control"/>
    <x v="0"/>
    <s v="CAMA"/>
    <x v="2"/>
    <x v="1"/>
    <s v="Tabletas Rep. x12"/>
    <x v="2"/>
    <s v="Fuyi Tabletas Rep. x12"/>
    <n v="80"/>
    <n v="2900"/>
    <n v="1500"/>
    <n v="3780"/>
    <n v="14240"/>
    <n v="14980"/>
    <n v="7360"/>
    <n v="4380"/>
    <n v="4040"/>
    <n v="4300"/>
    <n v="2180"/>
    <n v="220"/>
    <n v="900"/>
    <n v="200"/>
    <n v="7000"/>
    <n v="2180"/>
    <n v="7860"/>
    <n v="11580"/>
    <n v="10980"/>
    <n v="4680"/>
    <n v="7200"/>
    <n v="5480"/>
    <n v="820"/>
    <n v="0"/>
    <n v="1460"/>
    <n v="0"/>
    <n v="3980"/>
  </r>
  <r>
    <x v="3"/>
    <s v="Pest Control"/>
    <x v="0"/>
    <s v="CAMA"/>
    <x v="2"/>
    <x v="1"/>
    <s v="Tabletas Rep. x24"/>
    <x v="2"/>
    <s v="Fuyi Tabletas Rep. x24"/>
    <n v="160"/>
    <n v="0"/>
    <n v="1760"/>
    <n v="3200"/>
    <n v="16640"/>
    <n v="12240"/>
    <n v="6880"/>
    <n v="5680"/>
    <n v="5360"/>
    <n v="2880"/>
    <n v="2560"/>
    <n v="640"/>
    <n v="1520"/>
    <n v="560"/>
    <n v="6160"/>
    <n v="4880"/>
    <n v="9120"/>
    <n v="10720"/>
    <n v="10400"/>
    <n v="3120"/>
    <n v="11200"/>
    <n v="1920"/>
    <n v="80"/>
    <n v="1120"/>
    <n v="160"/>
    <n v="0"/>
    <n v="3600"/>
  </r>
  <r>
    <x v="3"/>
    <s v="Pest Control"/>
    <x v="0"/>
    <s v="CAMA"/>
    <x v="2"/>
    <x v="0"/>
    <s v="Tabletas Ap."/>
    <x v="2"/>
    <s v="Raid Tabletas Ap."/>
    <n v="18"/>
    <n v="18"/>
    <n v="2862"/>
    <n v="1260"/>
    <n v="3954"/>
    <n v="5040"/>
    <n v="3300"/>
    <n v="1230"/>
    <n v="798"/>
    <n v="408"/>
    <n v="900"/>
    <n v="18"/>
    <n v="144"/>
    <n v="24"/>
    <n v="888"/>
    <n v="2022"/>
    <n v="4572"/>
    <n v="4446"/>
    <n v="4116"/>
    <n v="1104"/>
    <n v="1656"/>
    <n v="1776"/>
    <n v="516"/>
    <n v="60"/>
    <n v="168"/>
    <n v="6"/>
    <n v="1806"/>
  </r>
  <r>
    <x v="3"/>
    <s v="Pest Control"/>
    <x v="0"/>
    <s v="CAMA"/>
    <x v="2"/>
    <x v="0"/>
    <s v="Tabletas Doble Accion Rep. x24"/>
    <x v="2"/>
    <s v="Raid Tabletas Doble Accion Rep. x24"/>
    <n v="320"/>
    <n v="240"/>
    <n v="10160"/>
    <n v="1520"/>
    <n v="17680"/>
    <n v="9360"/>
    <n v="9360"/>
    <n v="5440"/>
    <n v="7280"/>
    <n v="2400"/>
    <n v="2080"/>
    <n v="320"/>
    <n v="240"/>
    <n v="2480"/>
    <n v="2320"/>
    <n v="12480"/>
    <n v="10240"/>
    <n v="8240"/>
    <n v="8000"/>
    <n v="6000"/>
    <n v="2560"/>
    <n v="2480"/>
    <n v="1760"/>
    <n v="400"/>
    <n v="560"/>
    <n v="80"/>
    <n v="4160"/>
  </r>
  <r>
    <x v="3"/>
    <s v="Pest Control"/>
    <x v="0"/>
    <s v="CAMA"/>
    <x v="2"/>
    <x v="0"/>
    <s v="Tabletas Rep. X12"/>
    <x v="2"/>
    <s v="Raid Tabletas Rep. X12"/>
    <n v="0"/>
    <n v="0"/>
    <n v="12540"/>
    <n v="4980"/>
    <n v="6740"/>
    <n v="5060"/>
    <n v="3440"/>
    <n v="520"/>
    <n v="2560"/>
    <n v="1000"/>
    <n v="1460"/>
    <n v="380"/>
    <n v="600"/>
    <n v="240"/>
    <n v="4680"/>
    <n v="14300"/>
    <n v="3660"/>
    <n v="5500"/>
    <n v="12720"/>
    <n v="4660"/>
    <n v="4900"/>
    <n v="4200"/>
    <n v="1440"/>
    <n v="0"/>
    <n v="60"/>
    <n v="0"/>
    <n v="4980"/>
  </r>
  <r>
    <x v="3"/>
    <s v="Pest Control"/>
    <x v="0"/>
    <s v="CAMA"/>
    <x v="2"/>
    <x v="0"/>
    <s v="Tabletas Rep. x72"/>
    <x v="2"/>
    <s v="Raid Tabletas Rep. x72"/>
    <n v="11"/>
    <n v="1"/>
    <n v="34"/>
    <n v="10"/>
    <n v="71"/>
    <n v="292"/>
    <n v="89"/>
    <n v="5"/>
    <n v="30"/>
    <n v="6"/>
    <n v="10"/>
    <n v="0"/>
    <n v="5"/>
    <n v="0"/>
    <n v="17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3"/>
    <x v="1"/>
    <s v="Repelente Aero 165"/>
    <x v="3"/>
    <s v="Fuyi Repelente Aero 165"/>
    <n v="0"/>
    <n v="24"/>
    <n v="30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3"/>
    <x v="1"/>
    <s v="Repelente Aero 170"/>
    <x v="3"/>
    <s v="Fuyi Repelente Aero 170"/>
    <n v="0"/>
    <n v="0"/>
    <n v="5364"/>
    <n v="300"/>
    <n v="8052"/>
    <n v="2712"/>
    <n v="5472"/>
    <n v="5388"/>
    <n v="2232"/>
    <n v="936"/>
    <n v="888"/>
    <n v="48"/>
    <n v="48"/>
    <n v="0"/>
    <n v="408"/>
    <n v="5064"/>
    <n v="6624"/>
    <n v="8448"/>
    <n v="14940"/>
    <n v="13356"/>
    <n v="3960"/>
    <n v="13320"/>
    <n v="2988"/>
    <n v="876"/>
    <n v="612"/>
    <n v="84"/>
    <n v="4764"/>
  </r>
  <r>
    <x v="3"/>
    <s v="Pest Control"/>
    <x v="0"/>
    <s v="CAMP"/>
    <x v="3"/>
    <x v="2"/>
    <s v="Extra Dur. Aero 170"/>
    <x v="3"/>
    <s v="Off! Extra Dur. Aero 170"/>
    <n v="12"/>
    <n v="0"/>
    <n v="2976"/>
    <n v="2280"/>
    <n v="3276"/>
    <n v="3180"/>
    <n v="2244"/>
    <n v="3192"/>
    <n v="1080"/>
    <n v="1260"/>
    <n v="1176"/>
    <n v="240"/>
    <n v="48"/>
    <n v="0"/>
    <n v="1224"/>
    <n v="2580"/>
    <n v="5256"/>
    <n v="5508"/>
    <n v="11604"/>
    <n v="6756"/>
    <n v="12216"/>
    <n v="12564"/>
    <n v="372"/>
    <n v="3780"/>
    <n v="2232"/>
    <n v="0"/>
    <n v="2784"/>
  </r>
  <r>
    <x v="3"/>
    <s v="Pest Control"/>
    <x v="0"/>
    <s v="CAMP"/>
    <x v="3"/>
    <x v="2"/>
    <s v="Extra Dur. Aero BP 290"/>
    <x v="3"/>
    <s v="Off! Extra Dur. Aero BP 290"/>
    <n v="12"/>
    <n v="12"/>
    <n v="1104"/>
    <n v="1428"/>
    <n v="996"/>
    <n v="1116"/>
    <n v="276"/>
    <n v="1092"/>
    <n v="312"/>
    <n v="228"/>
    <n v="396"/>
    <n v="36"/>
    <n v="24"/>
    <n v="0"/>
    <n v="720"/>
    <n v="1836"/>
    <n v="2448"/>
    <n v="2436"/>
    <n v="2796"/>
    <n v="5148"/>
    <n v="216"/>
    <n v="0"/>
    <n v="0"/>
    <n v="0"/>
    <n v="0"/>
    <n v="0"/>
    <n v="1812"/>
  </r>
  <r>
    <x v="3"/>
    <s v="Pest Control"/>
    <x v="0"/>
    <s v="CAMP"/>
    <x v="3"/>
    <x v="2"/>
    <s v="Family Aero 170"/>
    <x v="3"/>
    <s v="Off! Family Aero 170"/>
    <n v="0"/>
    <n v="504"/>
    <n v="10704"/>
    <n v="1512"/>
    <n v="1560"/>
    <n v="4368"/>
    <n v="6324"/>
    <n v="3204"/>
    <n v="4512"/>
    <n v="1392"/>
    <n v="1188"/>
    <n v="384"/>
    <n v="36"/>
    <n v="0"/>
    <n v="5652"/>
    <n v="1056"/>
    <n v="7524"/>
    <n v="9576"/>
    <n v="23424"/>
    <n v="7308"/>
    <n v="24360"/>
    <n v="17688"/>
    <n v="6324"/>
    <n v="1968"/>
    <n v="12"/>
    <n v="0"/>
    <n v="6240"/>
  </r>
  <r>
    <x v="3"/>
    <s v="Pest Control"/>
    <x v="0"/>
    <s v="CAMP"/>
    <x v="3"/>
    <x v="2"/>
    <s v="Family Aero BP 290"/>
    <x v="3"/>
    <s v="Off! Family Aero BP 290"/>
    <n v="0"/>
    <n v="24"/>
    <n v="696"/>
    <n v="108"/>
    <n v="1416"/>
    <n v="2100"/>
    <n v="2232"/>
    <n v="1164"/>
    <n v="564"/>
    <n v="228"/>
    <n v="408"/>
    <n v="0"/>
    <n v="60"/>
    <n v="0"/>
    <n v="240"/>
    <n v="2100"/>
    <n v="2724"/>
    <n v="3912"/>
    <n v="10716"/>
    <n v="3408"/>
    <n v="1296"/>
    <n v="0"/>
    <n v="0"/>
    <n v="0"/>
    <n v="0"/>
    <n v="0"/>
    <n v="2592"/>
  </r>
  <r>
    <x v="3"/>
    <s v="Pest Control"/>
    <x v="0"/>
    <s v="CAMP"/>
    <x v="3"/>
    <x v="2"/>
    <s v="Family S&amp;D Aero"/>
    <x v="3"/>
    <s v="Off! Family S&amp;D Aero"/>
    <n v="0"/>
    <n v="24"/>
    <n v="60"/>
    <n v="0"/>
    <n v="240"/>
    <n v="276"/>
    <n v="312"/>
    <n v="108"/>
    <n v="84"/>
    <n v="0"/>
    <n v="12"/>
    <n v="0"/>
    <n v="48"/>
    <n v="372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3"/>
    <x v="2"/>
    <s v="Invisible Aero Everyday"/>
    <x v="3"/>
    <s v="Off! Invisible Aero Everyday"/>
    <n v="0"/>
    <n v="24"/>
    <n v="24"/>
    <n v="36"/>
    <n v="132"/>
    <n v="120"/>
    <n v="120"/>
    <n v="24"/>
    <n v="12"/>
    <n v="24"/>
    <n v="132"/>
    <n v="12"/>
    <n v="12"/>
    <n v="0"/>
    <n v="48"/>
    <n v="0"/>
    <n v="396"/>
    <n v="1368"/>
    <n v="1008"/>
    <n v="3348"/>
    <n v="336"/>
    <n v="0"/>
    <n v="924"/>
    <n v="0"/>
    <n v="0"/>
    <n v="0"/>
    <n v="720"/>
  </r>
  <r>
    <x v="3"/>
    <s v="Pest Control"/>
    <x v="0"/>
    <s v="CAMP"/>
    <x v="4"/>
    <x v="2"/>
    <s v="Crema Extra Duracion 100g"/>
    <x v="4"/>
    <s v="Off! Crema Extra Duracion 100g"/>
    <n v="0"/>
    <n v="0"/>
    <n v="0"/>
    <n v="0"/>
    <n v="528"/>
    <n v="1008"/>
    <n v="732"/>
    <n v="96"/>
    <n v="384"/>
    <n v="156"/>
    <n v="588"/>
    <n v="60"/>
    <n v="48"/>
    <n v="600"/>
    <n v="12"/>
    <n v="552"/>
    <n v="216"/>
    <n v="780"/>
    <n v="2496"/>
    <n v="2172"/>
    <n v="3456"/>
    <n v="2304"/>
    <n v="0"/>
    <n v="0"/>
    <n v="420"/>
    <n v="12"/>
    <n v="0"/>
  </r>
  <r>
    <x v="3"/>
    <s v="Pest Control"/>
    <x v="0"/>
    <s v="CAMP"/>
    <x v="4"/>
    <x v="2"/>
    <s v="Crema Extra Duracion 90g"/>
    <x v="4"/>
    <s v="Off! Crema Extra Duracion 90g"/>
    <n v="0"/>
    <n v="12"/>
    <n v="0"/>
    <n v="288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4"/>
    <x v="2"/>
    <s v="Family Crema 196g"/>
    <x v="4"/>
    <s v="Off! Family Crema 196g"/>
    <n v="0"/>
    <n v="0"/>
    <n v="0"/>
    <n v="0"/>
    <n v="2832"/>
    <n v="960"/>
    <n v="1332"/>
    <n v="1032"/>
    <n v="312"/>
    <n v="0"/>
    <n v="636"/>
    <n v="60"/>
    <n v="72"/>
    <n v="0"/>
    <n v="336"/>
    <n v="984"/>
    <n v="1488"/>
    <n v="2052"/>
    <n v="4464"/>
    <n v="1248"/>
    <n v="3792"/>
    <n v="13104"/>
    <n v="540"/>
    <n v="36"/>
    <n v="72"/>
    <n v="0"/>
    <n v="540"/>
  </r>
  <r>
    <x v="3"/>
    <s v="Pest Control"/>
    <x v="0"/>
    <s v="CAMP"/>
    <x v="4"/>
    <x v="2"/>
    <s v="Family Crema 200g"/>
    <x v="4"/>
    <s v="Off! Family Crema 200g"/>
    <n v="0"/>
    <n v="12"/>
    <n v="1260"/>
    <n v="5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4"/>
    <x v="2"/>
    <s v="Family Crema 60g"/>
    <x v="4"/>
    <s v="Off! Family Crema 60g"/>
    <n v="0"/>
    <n v="12"/>
    <n v="2544"/>
    <n v="516"/>
    <n v="3084"/>
    <n v="1200"/>
    <n v="624"/>
    <n v="1296"/>
    <n v="432"/>
    <n v="84"/>
    <n v="132"/>
    <n v="60"/>
    <n v="36"/>
    <n v="0"/>
    <n v="876"/>
    <n v="432"/>
    <n v="3564"/>
    <n v="2304"/>
    <n v="4488"/>
    <n v="2016"/>
    <n v="6132"/>
    <n v="7500"/>
    <n v="2820"/>
    <n v="84"/>
    <n v="396"/>
    <n v="0"/>
    <n v="1380"/>
  </r>
  <r>
    <x v="3"/>
    <s v="Pest Control"/>
    <x v="0"/>
    <s v="CAMP"/>
    <x v="4"/>
    <x v="2"/>
    <s v="Kids Crema 100g"/>
    <x v="4"/>
    <s v="Off! Kids Crema 100g"/>
    <n v="0"/>
    <n v="0"/>
    <n v="0"/>
    <n v="0"/>
    <n v="1164"/>
    <n v="792"/>
    <n v="480"/>
    <n v="468"/>
    <n v="312"/>
    <n v="144"/>
    <n v="420"/>
    <n v="48"/>
    <n v="48"/>
    <n v="0"/>
    <n v="0"/>
    <n v="1116"/>
    <n v="408"/>
    <n v="1236"/>
    <n v="2964"/>
    <n v="1080"/>
    <n v="2460"/>
    <n v="3264"/>
    <n v="0"/>
    <n v="0"/>
    <n v="756"/>
    <n v="372"/>
    <n v="792"/>
  </r>
  <r>
    <x v="3"/>
    <s v="Pest Control"/>
    <x v="0"/>
    <s v="CAMP"/>
    <x v="4"/>
    <x v="2"/>
    <s v="Kids Crema 90g"/>
    <x v="4"/>
    <s v="Off! Kids Crema 90g"/>
    <n v="12"/>
    <n v="12"/>
    <n v="612"/>
    <n v="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CAMP"/>
    <x v="4"/>
    <x v="2"/>
    <s v="Family Crema 60g Fundita"/>
    <x v="4"/>
    <s v="Off! Family Crema 60g Fundita"/>
    <n v="0"/>
    <n v="0"/>
    <n v="0"/>
    <n v="0"/>
    <n v="0"/>
    <n v="828"/>
    <n v="324"/>
    <n v="0"/>
    <n v="12"/>
    <n v="0"/>
    <n v="0"/>
    <n v="0"/>
    <n v="36"/>
    <n v="0"/>
    <n v="1380"/>
    <n v="804"/>
    <n v="672"/>
    <n v="252"/>
    <n v="0"/>
    <n v="0"/>
    <n v="0"/>
    <n v="0"/>
    <n v="0"/>
    <n v="0"/>
    <n v="0"/>
    <n v="0"/>
    <n v="0"/>
  </r>
  <r>
    <x v="3"/>
    <s v="Pest Control"/>
    <x v="0"/>
    <s v="CAMP"/>
    <x v="5"/>
    <x v="2"/>
    <s v="Defense Gel"/>
    <x v="5"/>
    <s v="Off! Defense Gel"/>
    <n v="0"/>
    <n v="0"/>
    <n v="0"/>
    <n v="0"/>
    <n v="0"/>
    <n v="0"/>
    <n v="0"/>
    <n v="0"/>
    <n v="48"/>
    <n v="0"/>
    <n v="0"/>
    <n v="0"/>
    <n v="0"/>
    <n v="0"/>
    <n v="0"/>
    <n v="0"/>
    <n v="24"/>
    <n v="36"/>
    <n v="0"/>
    <n v="0"/>
    <n v="0"/>
    <n v="564"/>
    <n v="192"/>
    <n v="0"/>
    <n v="0"/>
    <n v="0"/>
    <n v="540"/>
  </r>
  <r>
    <x v="3"/>
    <s v="Pest Control"/>
    <x v="0"/>
    <s v="CAMP"/>
    <x v="6"/>
    <x v="2"/>
    <s v="Defense Spray"/>
    <x v="6"/>
    <s v="Off! Defense Spray"/>
    <n v="0"/>
    <n v="0"/>
    <n v="0"/>
    <n v="0"/>
    <n v="0"/>
    <n v="0"/>
    <n v="0"/>
    <n v="0"/>
    <n v="48"/>
    <n v="0"/>
    <n v="0"/>
    <n v="0"/>
    <n v="0"/>
    <n v="0"/>
    <n v="0"/>
    <n v="0"/>
    <n v="24"/>
    <n v="12"/>
    <n v="84"/>
    <n v="0"/>
    <n v="12"/>
    <n v="672"/>
    <n v="0"/>
    <n v="0"/>
    <n v="0"/>
    <n v="0"/>
    <n v="576"/>
  </r>
  <r>
    <x v="3"/>
    <s v="Pest Control"/>
    <x v="0"/>
    <s v="CAMP"/>
    <x v="6"/>
    <x v="2"/>
    <s v="Family Spray"/>
    <x v="6"/>
    <s v="Off! Family Spray"/>
    <n v="0"/>
    <n v="24"/>
    <n v="756"/>
    <n v="492"/>
    <n v="816"/>
    <n v="1704"/>
    <n v="372"/>
    <n v="912"/>
    <n v="144"/>
    <n v="24"/>
    <n v="504"/>
    <n v="24"/>
    <n v="24"/>
    <n v="0"/>
    <n v="132"/>
    <n v="672"/>
    <n v="0"/>
    <n v="0"/>
    <n v="0"/>
    <n v="120"/>
    <n v="0"/>
    <n v="3072"/>
    <n v="0"/>
    <n v="0"/>
    <n v="0"/>
    <n v="0"/>
    <n v="516"/>
  </r>
  <r>
    <x v="3"/>
    <s v="Pest Control"/>
    <x v="0"/>
    <s v="CAMP"/>
    <x v="6"/>
    <x v="2"/>
    <s v="Invisible Sueños"/>
    <x v="6"/>
    <s v="Off! Invisible Sueños"/>
    <n v="0"/>
    <n v="0"/>
    <n v="0"/>
    <n v="0"/>
    <n v="0"/>
    <n v="0"/>
    <n v="0"/>
    <n v="0"/>
    <n v="0"/>
    <n v="0"/>
    <n v="0"/>
    <n v="0"/>
    <n v="0"/>
    <n v="0"/>
    <n v="0"/>
    <n v="1536"/>
    <n v="1584"/>
    <n v="1668"/>
    <n v="1200"/>
    <n v="1608"/>
    <n v="2436"/>
    <n v="0"/>
    <n v="1548"/>
    <n v="144"/>
    <n v="84"/>
    <n v="0"/>
    <n v="912"/>
  </r>
  <r>
    <x v="3"/>
    <s v="Pest Control"/>
    <x v="0"/>
    <s v="IAM"/>
    <x v="7"/>
    <x v="3"/>
    <s v="MMM"/>
    <x v="3"/>
    <s v="Baygon MMM"/>
    <n v="84"/>
    <n v="20592"/>
    <n v="22080"/>
    <n v="4920"/>
    <n v="36348"/>
    <n v="23904"/>
    <n v="6348"/>
    <n v="8124"/>
    <n v="7092"/>
    <n v="4080"/>
    <n v="3552"/>
    <n v="420"/>
    <n v="1320"/>
    <n v="60"/>
    <n v="1584"/>
    <n v="18360"/>
    <n v="18768"/>
    <n v="15948"/>
    <n v="14124"/>
    <n v="11388"/>
    <n v="13104"/>
    <n v="7188"/>
    <n v="4788"/>
    <n v="1092"/>
    <n v="228"/>
    <n v="540"/>
    <n v="10656"/>
  </r>
  <r>
    <x v="3"/>
    <s v="Pest Control"/>
    <x v="0"/>
    <s v="IAM"/>
    <x v="7"/>
    <x v="1"/>
    <s v="Aero MMM TP"/>
    <x v="3"/>
    <s v="Fuyi Aero MMM TP"/>
    <n v="0"/>
    <n v="0"/>
    <n v="2118"/>
    <n v="12054"/>
    <n v="7050"/>
    <n v="8214"/>
    <n v="1698"/>
    <n v="1782"/>
    <n v="1638"/>
    <n v="822"/>
    <n v="624"/>
    <n v="1812"/>
    <n v="66"/>
    <n v="0"/>
    <n v="1374"/>
    <n v="7956"/>
    <n v="8448"/>
    <n v="4752"/>
    <n v="5466"/>
    <n v="2004"/>
    <n v="4914"/>
    <n v="1092"/>
    <n v="498"/>
    <n v="0"/>
    <n v="540"/>
    <n v="324"/>
    <n v="2562"/>
  </r>
  <r>
    <x v="3"/>
    <s v="Pest Control"/>
    <x v="0"/>
    <s v="IAM"/>
    <x v="7"/>
    <x v="1"/>
    <s v="MMM Aero"/>
    <x v="3"/>
    <s v="Fuyi MMM Aero"/>
    <n v="84"/>
    <n v="1416"/>
    <n v="24912"/>
    <n v="11400"/>
    <n v="10068"/>
    <n v="4092"/>
    <n v="3936"/>
    <n v="4968"/>
    <n v="5472"/>
    <n v="4884"/>
    <n v="2880"/>
    <n v="972"/>
    <n v="996"/>
    <n v="240"/>
    <n v="11352"/>
    <n v="3372"/>
    <n v="11268"/>
    <n v="20100"/>
    <n v="7368"/>
    <n v="8664"/>
    <n v="13464"/>
    <n v="8472"/>
    <n v="2400"/>
    <n v="552"/>
    <n v="720"/>
    <n v="12"/>
    <n v="8580"/>
  </r>
  <r>
    <x v="3"/>
    <s v="Pest Control"/>
    <x v="0"/>
    <s v="IAM"/>
    <x v="7"/>
    <x v="0"/>
    <s v="Aero Casa y Jardin"/>
    <x v="3"/>
    <s v="Raid Aero Casa y Jardin"/>
    <n v="36"/>
    <n v="84"/>
    <n v="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0"/>
    <s v="IAM"/>
    <x v="7"/>
    <x v="0"/>
    <s v="Aero Casa y Jardin Clasico"/>
    <x v="3"/>
    <s v="Raid Aero Casa y Jardin Clasico"/>
    <n v="0"/>
    <n v="0"/>
    <n v="4488"/>
    <n v="5172"/>
    <n v="2688"/>
    <n v="1092"/>
    <n v="1344"/>
    <n v="1824"/>
    <n v="2340"/>
    <n v="1428"/>
    <n v="1020"/>
    <n v="324"/>
    <n v="600"/>
    <n v="72"/>
    <n v="2352"/>
    <n v="3816"/>
    <n v="720"/>
    <n v="4032"/>
    <n v="6684"/>
    <n v="2472"/>
    <n v="3960"/>
    <n v="3288"/>
    <n v="396"/>
    <n v="324"/>
    <n v="1284"/>
    <n v="96"/>
    <n v="2520"/>
  </r>
  <r>
    <x v="3"/>
    <s v="Pest Control"/>
    <x v="0"/>
    <s v="IAM"/>
    <x v="7"/>
    <x v="0"/>
    <s v="Aero MMM Azul"/>
    <x v="3"/>
    <s v="Raid Aero MMM Azul"/>
    <n v="96"/>
    <n v="180"/>
    <n v="33288"/>
    <n v="6396"/>
    <n v="19044"/>
    <n v="7512"/>
    <n v="1608"/>
    <n v="6072"/>
    <n v="2760"/>
    <n v="4980"/>
    <n v="2388"/>
    <n v="0"/>
    <n v="276"/>
    <n v="1680"/>
    <n v="12420"/>
    <n v="9684"/>
    <n v="6996"/>
    <n v="15408"/>
    <n v="12492"/>
    <n v="10212"/>
    <n v="11868"/>
    <n v="7776"/>
    <n v="2640"/>
    <n v="360"/>
    <n v="60"/>
    <n v="108"/>
    <n v="9132"/>
  </r>
  <r>
    <x v="3"/>
    <s v="Pest Control"/>
    <x v="0"/>
    <s v="IAM"/>
    <x v="7"/>
    <x v="0"/>
    <s v="Aero MMM Azul TP"/>
    <x v="3"/>
    <s v="Raid Aero MMM Azul TP"/>
    <n v="0"/>
    <n v="0"/>
    <n v="7872"/>
    <n v="7194"/>
    <n v="8010"/>
    <n v="12870"/>
    <n v="6030"/>
    <n v="6390"/>
    <n v="5646"/>
    <n v="2370"/>
    <n v="882"/>
    <n v="2760"/>
    <n v="108"/>
    <n v="30"/>
    <n v="2652"/>
    <n v="9096"/>
    <n v="12594"/>
    <n v="5868"/>
    <n v="13062"/>
    <n v="6210"/>
    <n v="8262"/>
    <n v="972"/>
    <n v="1056"/>
    <n v="0"/>
    <n v="0"/>
    <n v="366"/>
    <n v="9060"/>
  </r>
  <r>
    <x v="3"/>
    <s v="Pest Control"/>
    <x v="0"/>
    <s v="IAM"/>
    <x v="7"/>
    <x v="0"/>
    <s v="Aero MMM Eficacia Segura"/>
    <x v="3"/>
    <s v="Raid Aero MMM Eficacia Segura"/>
    <n v="60"/>
    <n v="12"/>
    <n v="2100"/>
    <n v="2628"/>
    <n v="1656"/>
    <n v="1224"/>
    <n v="528"/>
    <n v="336"/>
    <n v="432"/>
    <n v="516"/>
    <n v="288"/>
    <n v="72"/>
    <n v="84"/>
    <n v="84"/>
    <n v="36"/>
    <n v="0"/>
    <n v="0"/>
    <n v="36"/>
    <n v="0"/>
    <n v="0"/>
    <n v="0"/>
    <n v="0"/>
    <n v="0"/>
    <n v="0"/>
    <n v="0"/>
    <n v="0"/>
    <n v="0"/>
  </r>
  <r>
    <x v="3"/>
    <s v="Pest Control"/>
    <x v="0"/>
    <s v="IAM"/>
    <x v="7"/>
    <x v="0"/>
    <s v="Aero MMM S/O 420 BP"/>
    <x v="3"/>
    <s v="Raid Aero MMM S/O 420 BP"/>
    <n v="2832"/>
    <n v="432"/>
    <n v="69888"/>
    <n v="9396"/>
    <n v="47280"/>
    <n v="16692"/>
    <n v="9960"/>
    <n v="8844"/>
    <n v="14796"/>
    <n v="9480"/>
    <n v="12648"/>
    <n v="1536"/>
    <n v="1740"/>
    <n v="744"/>
    <n v="33672"/>
    <n v="13860"/>
    <n v="35700"/>
    <n v="21108"/>
    <n v="25224"/>
    <n v="24804"/>
    <n v="25884"/>
    <n v="19392"/>
    <n v="3540"/>
    <n v="1656"/>
    <n v="912"/>
    <n v="0"/>
    <n v="21684"/>
  </r>
  <r>
    <x v="3"/>
    <s v="Pest Control"/>
    <x v="0"/>
    <s v="IAM"/>
    <x v="7"/>
    <x v="0"/>
    <s v="Essentials Casa y Jardin"/>
    <x v="3"/>
    <s v="Raid Essentials Casa y Jardin"/>
    <n v="0"/>
    <n v="0"/>
    <n v="1608"/>
    <n v="6576"/>
    <n v="2400"/>
    <n v="1008"/>
    <n v="564"/>
    <n v="840"/>
    <n v="552"/>
    <n v="660"/>
    <n v="432"/>
    <n v="132"/>
    <n v="168"/>
    <n v="0"/>
    <n v="540"/>
    <n v="1224"/>
    <n v="84"/>
    <n v="1344"/>
    <n v="1188"/>
    <n v="108"/>
    <n v="0"/>
    <n v="0"/>
    <n v="0"/>
    <n v="0"/>
    <n v="0"/>
    <n v="0"/>
    <n v="0"/>
  </r>
  <r>
    <x v="3"/>
    <s v="Pest Control"/>
    <x v="0"/>
    <s v="IAM"/>
    <x v="7"/>
    <x v="0"/>
    <s v="Aero MMM Essentials"/>
    <x v="3"/>
    <s v="Raid Aero MMM Essentials"/>
    <n v="0"/>
    <n v="0"/>
    <n v="0"/>
    <n v="0"/>
    <n v="0"/>
    <n v="0"/>
    <n v="0"/>
    <n v="0"/>
    <n v="0"/>
    <n v="0"/>
    <n v="0"/>
    <n v="0"/>
    <n v="0"/>
    <n v="0"/>
    <n v="3288"/>
    <n v="1908"/>
    <n v="1872"/>
    <n v="444"/>
    <n v="1116"/>
    <n v="132"/>
    <n v="1044"/>
    <n v="864"/>
    <n v="24"/>
    <n v="24"/>
    <n v="48"/>
    <n v="0"/>
    <n v="36"/>
  </r>
  <r>
    <x v="3"/>
    <s v="Pest Control"/>
    <x v="1"/>
    <s v="Rastreros"/>
    <x v="8"/>
    <x v="3"/>
    <s v="Verde"/>
    <x v="3"/>
    <s v="Baygon Verde"/>
    <n v="72"/>
    <n v="192"/>
    <n v="3888"/>
    <n v="1128"/>
    <n v="1176"/>
    <n v="744"/>
    <n v="1692"/>
    <n v="1368"/>
    <n v="1116"/>
    <n v="1296"/>
    <n v="1416"/>
    <n v="588"/>
    <n v="276"/>
    <n v="144"/>
    <n v="144"/>
    <n v="2820"/>
    <n v="744"/>
    <n v="2076"/>
    <n v="1932"/>
    <n v="2316"/>
    <n v="1728"/>
    <n v="1404"/>
    <n v="672"/>
    <n v="84"/>
    <n v="372"/>
    <n v="192"/>
    <n v="1716"/>
  </r>
  <r>
    <x v="3"/>
    <s v="Pest Control"/>
    <x v="1"/>
    <s v="Rastreros"/>
    <x v="8"/>
    <x v="0"/>
    <s v="Aero Cocina"/>
    <x v="3"/>
    <s v="Raid Aero Cocina"/>
    <n v="84"/>
    <n v="120"/>
    <n v="252"/>
    <n v="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x v="1"/>
    <s v="Rastreros"/>
    <x v="8"/>
    <x v="0"/>
    <s v="Aero Exterminador"/>
    <x v="3"/>
    <s v="Raid Aero Exterminador"/>
    <n v="600"/>
    <n v="2400"/>
    <n v="7476"/>
    <n v="3120"/>
    <n v="10044"/>
    <n v="3180"/>
    <n v="7128"/>
    <n v="3732"/>
    <n v="6468"/>
    <n v="3828"/>
    <n v="3036"/>
    <n v="792"/>
    <n v="972"/>
    <n v="552"/>
    <n v="2496"/>
    <n v="8928"/>
    <n v="7140"/>
    <n v="8880"/>
    <n v="6084"/>
    <n v="4248"/>
    <n v="6228"/>
    <n v="1692"/>
    <n v="2580"/>
    <n v="300"/>
    <n v="1008"/>
    <n v="348"/>
    <n v="3900"/>
  </r>
  <r>
    <x v="3"/>
    <s v="Pest Control"/>
    <x v="1"/>
    <s v="Rastreros"/>
    <x v="8"/>
    <x v="0"/>
    <s v="Aero Max S/O"/>
    <x v="3"/>
    <s v="Raid Aero Max S/O"/>
    <n v="288"/>
    <n v="1344"/>
    <n v="8700"/>
    <n v="528"/>
    <n v="3300"/>
    <n v="3768"/>
    <n v="5472"/>
    <n v="4752"/>
    <n v="2700"/>
    <n v="1656"/>
    <n v="1572"/>
    <n v="1008"/>
    <n v="456"/>
    <n v="108"/>
    <n v="2808"/>
    <n v="5808"/>
    <n v="4860"/>
    <n v="4428"/>
    <n v="7380"/>
    <n v="5016"/>
    <n v="7176"/>
    <n v="1536"/>
    <n v="1092"/>
    <n v="576"/>
    <n v="1764"/>
    <n v="180"/>
    <n v="3924"/>
  </r>
  <r>
    <x v="3"/>
    <s v="Pest Control"/>
    <x v="1"/>
    <s v="Rastreros"/>
    <x v="8"/>
    <x v="0"/>
    <s v="Essentials Cucarachas"/>
    <x v="3"/>
    <s v="Raid Essentials Cucarachas"/>
    <n v="0"/>
    <n v="0"/>
    <n v="12000"/>
    <n v="4956"/>
    <n v="2304"/>
    <n v="1296"/>
    <n v="948"/>
    <n v="588"/>
    <n v="372"/>
    <n v="120"/>
    <n v="240"/>
    <n v="48"/>
    <n v="48"/>
    <n v="468"/>
    <n v="288"/>
    <n v="768"/>
    <n v="120"/>
    <n v="480"/>
    <n v="540"/>
    <n v="360"/>
    <n v="360"/>
    <n v="36"/>
    <n v="0"/>
    <n v="432"/>
    <n v="60"/>
    <n v="60"/>
    <n v="444"/>
  </r>
  <r>
    <x v="3"/>
    <s v="Pest Control"/>
    <x v="1"/>
    <s v="Rastreros"/>
    <x v="8"/>
    <x v="0"/>
    <s v="Max Jeringas"/>
    <x v="7"/>
    <s v="Raid Max Jeringas"/>
    <n v="342"/>
    <n v="264"/>
    <n v="2628"/>
    <n v="2130"/>
    <n v="1674"/>
    <n v="960"/>
    <n v="1818"/>
    <n v="612"/>
    <n v="990"/>
    <n v="660"/>
    <n v="882"/>
    <n v="786"/>
    <n v="186"/>
    <n v="126"/>
    <n v="234"/>
    <n v="2166"/>
    <n v="1626"/>
    <n v="1812"/>
    <n v="1470"/>
    <n v="162"/>
    <n v="1140"/>
    <n v="420"/>
    <n v="0"/>
    <n v="0"/>
    <n v="180"/>
    <n v="6"/>
    <n v="2094"/>
  </r>
  <r>
    <x v="3"/>
    <s v="Pest Control"/>
    <x v="1"/>
    <s v="Rastreros"/>
    <x v="8"/>
    <x v="0"/>
    <s v="Cebos"/>
    <x v="8"/>
    <s v="Raid Cebos"/>
    <n v="576"/>
    <n v="684"/>
    <n v="9696"/>
    <n v="1092"/>
    <n v="10404"/>
    <n v="1704"/>
    <n v="4404"/>
    <n v="2220"/>
    <n v="3360"/>
    <n v="3048"/>
    <n v="1032"/>
    <n v="828"/>
    <n v="1776"/>
    <n v="312"/>
    <n v="2904"/>
    <n v="504"/>
    <n v="5772"/>
    <n v="10884"/>
    <n v="4500"/>
    <n v="3336"/>
    <n v="3900"/>
    <n v="936"/>
    <n v="852"/>
    <n v="420"/>
    <n v="1248"/>
    <n v="396"/>
    <n v="2604"/>
  </r>
  <r>
    <x v="3"/>
    <s v="Pest Control"/>
    <x v="1"/>
    <s v="Rastreros"/>
    <x v="9"/>
    <x v="0"/>
    <s v="Aero Mata Hormigas"/>
    <x v="3"/>
    <s v="Raid Aero Mata Hormigas"/>
    <n v="48"/>
    <n v="24"/>
    <n v="3456"/>
    <n v="492"/>
    <n v="1308"/>
    <n v="1992"/>
    <n v="888"/>
    <n v="648"/>
    <n v="1536"/>
    <n v="948"/>
    <n v="732"/>
    <n v="408"/>
    <n v="84"/>
    <n v="36"/>
    <n v="48"/>
    <n v="1620"/>
    <n v="2952"/>
    <n v="216"/>
    <n v="180"/>
    <n v="924"/>
    <n v="816"/>
    <n v="444"/>
    <n v="72"/>
    <n v="84"/>
    <n v="84"/>
    <n v="96"/>
    <n v="1188"/>
  </r>
  <r>
    <x v="3"/>
    <s v="Pest Control"/>
    <x v="1"/>
    <s v="Rastreros"/>
    <x v="10"/>
    <x v="0"/>
    <s v="Aero Matapulgas"/>
    <x v="3"/>
    <s v="Raid Aero Matapulgas"/>
    <n v="192"/>
    <n v="360"/>
    <n v="6348"/>
    <n v="1788"/>
    <n v="2292"/>
    <n v="1824"/>
    <n v="1380"/>
    <n v="804"/>
    <n v="780"/>
    <n v="840"/>
    <n v="1368"/>
    <n v="240"/>
    <n v="552"/>
    <n v="12"/>
    <n v="828"/>
    <n v="4644"/>
    <n v="2064"/>
    <n v="3276"/>
    <n v="2436"/>
    <n v="1980"/>
    <n v="1320"/>
    <n v="900"/>
    <n v="276"/>
    <n v="108"/>
    <n v="636"/>
    <n v="336"/>
    <n v="744"/>
  </r>
  <r>
    <x v="3"/>
    <s v="Pest Control"/>
    <x v="1"/>
    <s v="Voladores"/>
    <x v="11"/>
    <x v="0"/>
    <s v="Aero Antipolilla"/>
    <x v="3"/>
    <s v="Raid Aero Antipolilla"/>
    <n v="264"/>
    <n v="684"/>
    <n v="6084"/>
    <n v="2880"/>
    <n v="3144"/>
    <n v="2292"/>
    <n v="1872"/>
    <n v="1068"/>
    <n v="2088"/>
    <n v="1680"/>
    <n v="1344"/>
    <n v="240"/>
    <n v="996"/>
    <n v="348"/>
    <n v="2028"/>
    <n v="4044"/>
    <n v="1608"/>
    <n v="8916"/>
    <n v="396"/>
    <n v="1164"/>
    <n v="1596"/>
    <n v="1752"/>
    <n v="360"/>
    <n v="192"/>
    <n v="420"/>
    <n v="252"/>
    <n v="2964"/>
  </r>
  <r>
    <x v="3"/>
    <s v="Pest Control"/>
    <x v="1"/>
    <s v="Voladores"/>
    <x v="12"/>
    <x v="0"/>
    <s v="Antipolillas Continuo"/>
    <x v="2"/>
    <s v="Raid Antipolillas Continuo"/>
    <n v="144"/>
    <n v="180"/>
    <n v="1428"/>
    <n v="564"/>
    <n v="252"/>
    <n v="552"/>
    <n v="504"/>
    <n v="192"/>
    <n v="684"/>
    <n v="432"/>
    <n v="576"/>
    <n v="132"/>
    <n v="168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x v="0"/>
    <s v="PEST CONTROL"/>
    <s v="SC JOHNSON"/>
    <x v="0"/>
    <x v="0"/>
    <x v="0"/>
    <x v="0"/>
    <x v="0"/>
    <n v="64.183999999999997"/>
    <n v="100.345"/>
    <n v="242.23400000000001"/>
    <n v="466.41199999999998"/>
    <n v="638.76300000000003"/>
    <n v="631.06299999999999"/>
    <n v="651.21"/>
    <n v="326.76600000000002"/>
    <n v="468.01299999999998"/>
    <n v="342.786"/>
    <n v="379.38799999999998"/>
    <n v="185.346"/>
    <n v="123.60899999999999"/>
    <n v="178.35900000000001"/>
    <n v="379.90699999999998"/>
    <n v="603.26700000000005"/>
    <n v="547.45699999999999"/>
    <n v="145.43"/>
    <n v="367.89800000000002"/>
    <n v="207.41200000000001"/>
    <n v="205.61099999999999"/>
    <n v="106.342"/>
    <n v="122.92"/>
    <n v="373.45"/>
    <n v="110.089"/>
    <n v="108.449"/>
    <n v="209.03800000000001"/>
    <n v="455.3"/>
    <n v="774.82600000000002"/>
    <n v="746.46900000000005"/>
    <n v="1669.8530000000001"/>
    <n v="1442.46"/>
    <n v="902.83299999999997"/>
    <n v="441.32600000000002"/>
    <n v="420.529"/>
    <n v="238.69200000000001"/>
    <n v="327.142"/>
    <n v="327.142"/>
  </r>
  <r>
    <x v="0"/>
    <s v="PEST CONTROL"/>
    <s v="SC JOHNSON"/>
    <x v="0"/>
    <x v="0"/>
    <x v="0"/>
    <x v="0"/>
    <x v="1"/>
    <n v="12074.562"/>
    <n v="21072.505000000001"/>
    <n v="51309.743000000002"/>
    <n v="100476.755"/>
    <n v="120505.97500000001"/>
    <n v="110014.557"/>
    <n v="106027.685"/>
    <n v="47374.110999999997"/>
    <n v="88238.661999999997"/>
    <n v="66675.138999999996"/>
    <n v="71963.816999999995"/>
    <n v="37648.788999999997"/>
    <n v="26217.279999999999"/>
    <n v="35430.728999999999"/>
    <n v="68719.61"/>
    <n v="105367.927"/>
    <n v="95440.762000000002"/>
    <n v="23861.161"/>
    <n v="67266.099000000002"/>
    <n v="37915.576999999997"/>
    <n v="35774.925999999999"/>
    <n v="17027.745999999999"/>
    <n v="22155.042000000001"/>
    <n v="74412.895000000004"/>
    <n v="19555.704000000002"/>
    <n v="20063.103999999999"/>
    <n v="38403.46"/>
    <n v="75918.379000000001"/>
    <n v="129733.534"/>
    <n v="124846.74400000001"/>
    <n v="308004.73200000002"/>
    <n v="285971.625"/>
    <n v="179050.84099999999"/>
    <n v="77855.164000000004"/>
    <n v="71990.055999999997"/>
    <n v="46256.623"/>
    <n v="59177.552000000003"/>
    <n v="59177.552000000003"/>
  </r>
  <r>
    <x v="0"/>
    <s v="PEST CONTROL"/>
    <s v="SC JOHNSON"/>
    <x v="0"/>
    <x v="0"/>
    <x v="0"/>
    <x v="0"/>
    <x v="2"/>
    <n v="4.5999999999999999E-2"/>
    <n v="0.06"/>
    <n v="0.11700000000000001"/>
    <n v="0.16900000000000001"/>
    <n v="0.20300000000000001"/>
    <n v="0.186"/>
    <n v="0.20100000000000001"/>
    <n v="0.128"/>
    <n v="0.22800000000000001"/>
    <n v="0.23499999999999999"/>
    <n v="0.311"/>
    <n v="0.16800000000000001"/>
    <n v="0.114"/>
    <n v="0.14000000000000001"/>
    <n v="0.20799999999999999"/>
    <n v="0.24399999999999999"/>
    <n v="0.18"/>
    <n v="5.0999999999999997E-2"/>
    <n v="0.123"/>
    <n v="8.5999999999999993E-2"/>
    <n v="9.5000000000000001E-2"/>
    <n v="6.0999999999999999E-2"/>
    <n v="0.08"/>
    <n v="0.25"/>
    <n v="7.0999999999999994E-2"/>
    <n v="6.2E-2"/>
    <n v="9.6000000000000002E-2"/>
    <n v="0.17"/>
    <n v="0.253"/>
    <n v="0.23799999999999999"/>
    <n v="0.443"/>
    <n v="0.43"/>
    <n v="0.313"/>
    <n v="0.17399999999999999"/>
    <n v="0.19500000000000001"/>
    <n v="0.157"/>
    <n v="0.314"/>
    <n v="9.6000000000000002E-2"/>
  </r>
  <r>
    <x v="0"/>
    <s v="PEST CONTROL"/>
    <s v="SC JOHNSON"/>
    <x v="0"/>
    <x v="0"/>
    <x v="0"/>
    <x v="0"/>
    <x v="3"/>
    <n v="4.4240000000000004"/>
    <n v="6.0780000000000003"/>
    <n v="7.3120000000000003"/>
    <n v="6.992"/>
    <n v="8.5939999999999994"/>
    <n v="9.1170000000000009"/>
    <n v="10.247999999999999"/>
    <n v="11.611000000000001"/>
    <n v="13.416"/>
    <n v="14.039"/>
    <n v="17.233000000000001"/>
    <n v="17.155000000000001"/>
    <n v="15.773"/>
    <n v="14.458"/>
    <n v="14.829000000000001"/>
    <n v="9.8699999999999992"/>
    <n v="8.7789999999999999"/>
    <n v="8.0649999999999995"/>
    <n v="8.5719999999999992"/>
    <n v="8.1219999999999999"/>
    <n v="10.182"/>
    <n v="7.7590000000000003"/>
    <n v="8.2040000000000006"/>
    <n v="8.5129999999999999"/>
    <n v="7.649"/>
    <n v="5.9649999999999999"/>
    <n v="6.516"/>
    <n v="7.6829999999999998"/>
    <n v="9.6059999999999999"/>
    <n v="10.852"/>
    <n v="15.023"/>
    <n v="15.852"/>
    <n v="12.584"/>
    <n v="11.103"/>
    <n v="11.707000000000001"/>
    <n v="9.7089999999999996"/>
    <n v="9.02"/>
    <n v="437.786"/>
  </r>
  <r>
    <x v="0"/>
    <s v="PEST CONTROL"/>
    <s v="SC JOHNSON"/>
    <x v="0"/>
    <x v="0"/>
    <x v="0"/>
    <x v="0"/>
    <x v="4"/>
    <n v="3.8527032999999999"/>
    <n v="4.4002403000000001"/>
    <n v="5.0849243"/>
    <n v="6.0109899999999996"/>
    <n v="5.881392"/>
    <n v="5.9677327"/>
    <n v="4.8139225999999997"/>
    <n v="4.7566604000000003"/>
    <n v="4.5100185000000002"/>
    <n v="4.4265204000000002"/>
    <n v="4.6981738999999996"/>
    <n v="4.2102993"/>
    <n v="4.5402902000000003"/>
    <n v="4.4302915"/>
    <n v="4.8239754000000001"/>
    <n v="4.7834399000000003"/>
    <n v="3.3895472999999998"/>
    <n v="3.3928448000000002"/>
    <n v="4.7465691000000003"/>
    <n v="5.4651258"/>
    <n v="5.6141874999999999"/>
    <n v="5.4772746999999997"/>
    <n v="5.8538851999999997"/>
    <n v="4.8009811999999998"/>
    <n v="3.2386336"/>
    <n v="3.7832645"/>
    <n v="4.3679461999999996"/>
    <n v="5.6231045000000002"/>
    <n v="5.5504365"/>
    <n v="6.8308562000000004"/>
    <n v="9.2025134000000008"/>
    <n v="10.001254100000001"/>
    <n v="8.0695133999999999"/>
    <n v="6.1463007000000003"/>
    <n v="5.8662539999999996"/>
    <n v="5.1518527000000001"/>
    <n v="5.3466192000000001"/>
    <n v="9.02"/>
  </r>
  <r>
    <x v="0"/>
    <s v="PEST CONTROL"/>
    <s v="SC JOHNSON"/>
    <x v="0"/>
    <x v="0"/>
    <x v="0"/>
    <x v="0"/>
    <x v="5"/>
    <n v="0.33200000000000002"/>
    <n v="0.5"/>
    <n v="0.503"/>
    <n v="0.49199999999999999"/>
    <n v="0.36499999999999999"/>
    <n v="0.34300000000000003"/>
    <n v="0.27500000000000002"/>
    <n v="0.46400000000000002"/>
    <n v="0.308"/>
    <n v="0.32300000000000001"/>
    <n v="0.33700000000000002"/>
    <n v="0.33700000000000002"/>
    <n v="0.35299999999999998"/>
    <n v="0.3"/>
    <n v="0.33100000000000002"/>
    <n v="0.27500000000000002"/>
    <n v="0.159"/>
    <n v="0.214"/>
    <n v="0.30299999999999999"/>
    <n v="0.38400000000000001"/>
    <n v="0.39900000000000002"/>
    <n v="0.39800000000000002"/>
    <n v="0.39100000000000001"/>
    <n v="0.247"/>
    <n v="0.19900000000000001"/>
    <n v="0.218"/>
    <n v="0.23300000000000001"/>
    <n v="0.40300000000000002"/>
    <n v="0.40699999999999997"/>
    <n v="0.39400000000000002"/>
    <n v="0.41"/>
    <n v="0.60599999999999998"/>
    <n v="0.43099999999999999"/>
    <n v="0.376"/>
    <n v="0.28100000000000003"/>
    <n v="0.32100000000000001"/>
    <n v="0.22900000000000001"/>
    <n v="5.3466192000000001"/>
  </r>
  <r>
    <x v="0"/>
    <s v="PEST CONTROL"/>
    <s v="SC JOHNSON"/>
    <x v="0"/>
    <x v="0"/>
    <x v="0"/>
    <x v="1"/>
    <x v="0"/>
    <n v="37.649000000000001"/>
    <n v="44.378999999999998"/>
    <n v="0"/>
    <n v="8.7059999999999995"/>
    <n v="17.411999999999999"/>
    <n v="17.411999999999999"/>
    <n v="0"/>
    <n v="9.2970000000000006"/>
    <n v="20.382000000000001"/>
    <n v="0"/>
    <n v="10.19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0"/>
    <x v="0"/>
    <x v="0"/>
    <x v="1"/>
    <x v="1"/>
    <n v="2823.683"/>
    <n v="3949.7109999999998"/>
    <n v="0"/>
    <n v="740.024"/>
    <n v="1480.047"/>
    <n v="1480.047"/>
    <n v="0"/>
    <n v="650.76499999999999"/>
    <n v="1732.4390000000001"/>
    <n v="0"/>
    <n v="866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0"/>
    <x v="0"/>
    <x v="0"/>
    <x v="1"/>
    <x v="2"/>
    <n v="0.01"/>
    <n v="0.01"/>
    <n v="0"/>
    <n v="1E-3"/>
    <n v="2E-3"/>
    <n v="2E-3"/>
    <n v="0"/>
    <n v="1E-3"/>
    <n v="4.0000000000000001E-3"/>
    <n v="0"/>
    <n v="3.00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0"/>
    <x v="0"/>
    <x v="0"/>
    <x v="1"/>
    <x v="3"/>
    <n v="1"/>
    <n v="0.48799999999999999"/>
    <n v="0"/>
    <n v="0.01"/>
    <n v="2.5000000000000001E-2"/>
    <n v="1.2999999999999999E-2"/>
    <n v="0.27600000000000002"/>
    <n v="0.23200000000000001"/>
    <n v="3.1E-2"/>
    <n v="0"/>
    <n v="7.499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0"/>
    <x v="0"/>
    <x v="0"/>
    <x v="1"/>
    <x v="4"/>
    <n v="0.5979892"/>
    <n v="0.13816970000000001"/>
    <n v="0"/>
    <n v="0.13934099999999999"/>
    <n v="0.13934099999999999"/>
    <n v="0.13934099999999999"/>
    <n v="0.27868219999999999"/>
    <n v="0.27868189999999998"/>
    <n v="0.1562028"/>
    <n v="0.15620300000000001"/>
    <n v="0.156203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0"/>
    <x v="0"/>
    <x v="0"/>
    <x v="1"/>
    <x v="5"/>
    <n v="0"/>
    <n v="0"/>
    <n v="0"/>
    <n v="8.9999999999999993E-3"/>
    <n v="1.2999999999999999E-2"/>
    <n v="1.2999999999999999E-2"/>
    <n v="1.7000000000000001E-2"/>
    <n v="1.4E-2"/>
    <n v="5.0000000000000001E-3"/>
    <n v="5.00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0"/>
    <x v="0"/>
    <x v="1"/>
    <x v="0"/>
    <x v="0"/>
    <n v="644.87300000000005"/>
    <n v="1187.836"/>
    <n v="1627.5830000000001"/>
    <n v="2735.5949999999998"/>
    <n v="4209.6170000000002"/>
    <n v="6213.9449999999997"/>
    <n v="4826.3739999999998"/>
    <n v="2787.6559999999999"/>
    <n v="1928.673"/>
    <n v="1419.7539999999999"/>
    <n v="1258.9449999999999"/>
    <n v="1182.2950000000001"/>
    <n v="1040.3499999999999"/>
    <n v="1369.643"/>
    <n v="1994.7570000000001"/>
    <n v="3579.2269999999999"/>
    <n v="5165.6949999999997"/>
    <n v="4546.1970000000001"/>
    <n v="5775.5190000000002"/>
    <n v="3827.819"/>
    <n v="2821.027"/>
    <n v="2041.905"/>
    <n v="1687.316"/>
    <n v="1223.1679999999999"/>
    <n v="1496.155"/>
    <n v="1892.7670000000001"/>
    <n v="3430.97"/>
    <n v="4183.6769999999997"/>
    <n v="8005.2389999999996"/>
    <n v="7554.4960000000001"/>
    <n v="8696.6389999999992"/>
    <n v="8787.259"/>
    <n v="6238.4459999999999"/>
    <n v="3684.4569999999999"/>
    <n v="2778.0909999999999"/>
    <n v="2117.3429999999998"/>
    <n v="1745.43"/>
    <n v="1745.43"/>
  </r>
  <r>
    <x v="0"/>
    <s v="PEST CONTROL"/>
    <s v="SC JOHNSON"/>
    <x v="0"/>
    <x v="0"/>
    <x v="1"/>
    <x v="0"/>
    <x v="1"/>
    <n v="142761.62299999999"/>
    <n v="260580.30300000001"/>
    <n v="378648.071"/>
    <n v="671530.24100000004"/>
    <n v="997230.03"/>
    <n v="1437056.689"/>
    <n v="1069681.537"/>
    <n v="630895.10900000005"/>
    <n v="427893.42300000001"/>
    <n v="312069.45600000001"/>
    <n v="290865.201"/>
    <n v="264472.75799999997"/>
    <n v="218795.63200000001"/>
    <n v="296539.74300000002"/>
    <n v="462138.82"/>
    <n v="864894.70499999996"/>
    <n v="1221072.01"/>
    <n v="1035712.243"/>
    <n v="1236694.254"/>
    <n v="856663.33299999998"/>
    <n v="648946.15800000005"/>
    <n v="466228.41399999999"/>
    <n v="398547.81300000002"/>
    <n v="281992.72600000002"/>
    <n v="329292.821"/>
    <n v="438931.09700000001"/>
    <n v="813990.69200000004"/>
    <n v="948904.08200000005"/>
    <n v="1840850.0970000001"/>
    <n v="1826973.5519999999"/>
    <n v="2186624.7570000002"/>
    <n v="2290531.2859999998"/>
    <n v="1582928.46"/>
    <n v="954077.32499999995"/>
    <n v="752251.15300000005"/>
    <n v="588348.77599999995"/>
    <n v="464474.77299999999"/>
    <n v="464474.77299999999"/>
  </r>
  <r>
    <x v="0"/>
    <s v="PEST CONTROL"/>
    <s v="SC JOHNSON"/>
    <x v="0"/>
    <x v="0"/>
    <x v="1"/>
    <x v="0"/>
    <x v="2"/>
    <n v="0.45900000000000002"/>
    <n v="0.70899999999999996"/>
    <n v="0.79"/>
    <n v="1.0009999999999999"/>
    <n v="1.369"/>
    <n v="1.8620000000000001"/>
    <n v="1.524"/>
    <n v="1.1060000000000001"/>
    <n v="0.95399999999999996"/>
    <n v="0.98499999999999999"/>
    <n v="1.046"/>
    <n v="1.0840000000000001"/>
    <n v="0.97199999999999998"/>
    <n v="1.0900000000000001"/>
    <n v="1.115"/>
    <n v="1.504"/>
    <n v="1.764"/>
    <n v="1.6379999999999999"/>
    <n v="1.96"/>
    <n v="1.6080000000000001"/>
    <n v="1.3109999999999999"/>
    <n v="1.1759999999999999"/>
    <n v="1.1140000000000001"/>
    <n v="0.83099999999999996"/>
    <n v="0.97099999999999997"/>
    <n v="1.087"/>
    <n v="1.5720000000000001"/>
    <n v="1.57"/>
    <n v="2.6190000000000002"/>
    <n v="2.395"/>
    <n v="2.3029999999999999"/>
    <n v="2.621"/>
    <n v="2.1829999999999998"/>
    <n v="1.4530000000000001"/>
    <n v="1.2949999999999999"/>
    <n v="1.4039999999999999"/>
    <n v="1.6719999999999999"/>
    <n v="0.51400000000000001"/>
  </r>
  <r>
    <x v="0"/>
    <s v="PEST CONTROL"/>
    <s v="SC JOHNSON"/>
    <x v="0"/>
    <x v="0"/>
    <x v="1"/>
    <x v="0"/>
    <x v="3"/>
    <n v="27.221"/>
    <n v="28.83"/>
    <n v="28.466000000000001"/>
    <n v="34.478999999999999"/>
    <n v="43.439"/>
    <n v="49.25"/>
    <n v="43.828000000000003"/>
    <n v="47.152000000000001"/>
    <n v="46.314"/>
    <n v="48.734000000000002"/>
    <n v="50.951999999999998"/>
    <n v="51.716999999999999"/>
    <n v="48.527000000000001"/>
    <n v="46.655999999999999"/>
    <n v="50.021000000000001"/>
    <n v="50.375"/>
    <n v="52.524999999999999"/>
    <n v="52.704999999999998"/>
    <n v="48.768999999999998"/>
    <n v="53.444000000000003"/>
    <n v="52.052"/>
    <n v="47.331000000000003"/>
    <n v="43.296999999999997"/>
    <n v="45.578000000000003"/>
    <n v="47.445"/>
    <n v="50.033000000000001"/>
    <n v="58.823"/>
    <n v="62.103999999999999"/>
    <n v="65.914000000000001"/>
    <n v="64.757000000000005"/>
    <n v="65.52"/>
    <n v="60.936999999999998"/>
    <n v="50.631"/>
    <n v="46.442"/>
    <n v="35.018999999999998"/>
    <n v="36.771000000000001"/>
    <n v="35.634"/>
    <n v="3904.5169999999998"/>
  </r>
  <r>
    <x v="0"/>
    <s v="PEST CONTROL"/>
    <s v="SC JOHNSON"/>
    <x v="0"/>
    <x v="0"/>
    <x v="1"/>
    <x v="0"/>
    <x v="4"/>
    <n v="19.865946900000001"/>
    <n v="18.175816999999999"/>
    <n v="19.324321699999999"/>
    <n v="21.625630999999998"/>
    <n v="24.488051500000001"/>
    <n v="29.842549999999999"/>
    <n v="28.199466999999999"/>
    <n v="27.908267200000001"/>
    <n v="26.1061552"/>
    <n v="27.787412"/>
    <n v="25.967655100000002"/>
    <n v="24.213685399999999"/>
    <n v="24.141902699999999"/>
    <n v="23.4121542"/>
    <n v="26.5722962"/>
    <n v="29.665564400000001"/>
    <n v="31.494574400000001"/>
    <n v="31.296677200000001"/>
    <n v="30.776997300000001"/>
    <n v="30.9054775"/>
    <n v="30.5748715"/>
    <n v="31.239389299999999"/>
    <n v="30.267239499999999"/>
    <n v="30.488800300000001"/>
    <n v="31.6969885"/>
    <n v="32.6446094"/>
    <n v="34.789925400000001"/>
    <n v="36.253471500000003"/>
    <n v="39.021081100000004"/>
    <n v="40.3297624"/>
    <n v="39.177101499999999"/>
    <n v="35.938263800000001"/>
    <n v="29.6755523"/>
    <n v="28.494769900000001"/>
    <n v="23.471915200000002"/>
    <n v="23.452553399999999"/>
    <n v="21.4819739"/>
    <n v="35.634"/>
  </r>
  <r>
    <x v="0"/>
    <s v="PEST CONTROL"/>
    <s v="SC JOHNSON"/>
    <x v="0"/>
    <x v="0"/>
    <x v="1"/>
    <x v="0"/>
    <x v="5"/>
    <n v="2.23"/>
    <n v="1.8839999999999999"/>
    <n v="2.2930000000000001"/>
    <n v="2.57"/>
    <n v="2.3210000000000002"/>
    <n v="2.78"/>
    <n v="3.0590000000000002"/>
    <n v="3.14"/>
    <n v="3.452"/>
    <n v="3.6320000000000001"/>
    <n v="3.3740000000000001"/>
    <n v="3.532"/>
    <n v="3.6070000000000002"/>
    <n v="3.4590000000000001"/>
    <n v="3.3769999999999998"/>
    <n v="3.1789999999999998"/>
    <n v="2.8090000000000002"/>
    <n v="3.226"/>
    <n v="3.5590000000000002"/>
    <n v="3.8519999999999999"/>
    <n v="3.8250000000000002"/>
    <n v="3.6059999999999999"/>
    <n v="3.8929999999999998"/>
    <n v="4.0880000000000001"/>
    <n v="3.657"/>
    <n v="3.62"/>
    <n v="3.9329999999999998"/>
    <n v="3.9390000000000001"/>
    <n v="3.722"/>
    <n v="3.129"/>
    <n v="3.1859999999999999"/>
    <n v="2.5470000000000002"/>
    <n v="2.1579999999999999"/>
    <n v="1.9390000000000001"/>
    <n v="2.1019999999999999"/>
    <n v="2.1640000000000001"/>
    <n v="2.044"/>
    <n v="21.4819739"/>
  </r>
  <r>
    <x v="0"/>
    <s v="PEST CONTROL"/>
    <s v="SC JOHNSON"/>
    <x v="0"/>
    <x v="0"/>
    <x v="1"/>
    <x v="2"/>
    <x v="0"/>
    <n v="0"/>
    <n v="0"/>
    <n v="0"/>
    <n v="25.719000000000001"/>
    <n v="0"/>
    <n v="27.169"/>
    <n v="0"/>
    <n v="0"/>
    <n v="0"/>
    <n v="0"/>
    <n v="0"/>
    <n v="0"/>
    <n v="0"/>
    <n v="0"/>
    <n v="0"/>
    <n v="0"/>
    <n v="0"/>
    <n v="0"/>
    <n v="60.09"/>
    <n v="0"/>
    <n v="0"/>
    <n v="0"/>
    <n v="0"/>
    <n v="0"/>
    <n v="0"/>
    <n v="0"/>
    <n v="0"/>
    <n v="0"/>
    <n v="0"/>
    <n v="0"/>
    <n v="0"/>
    <n v="0"/>
    <n v="0"/>
    <n v="75.206999999999994"/>
    <n v="0"/>
    <n v="0"/>
    <n v="0"/>
    <n v="0"/>
  </r>
  <r>
    <x v="0"/>
    <s v="PEST CONTROL"/>
    <s v="SC JOHNSON"/>
    <x v="0"/>
    <x v="0"/>
    <x v="1"/>
    <x v="2"/>
    <x v="1"/>
    <n v="0"/>
    <n v="0"/>
    <n v="0"/>
    <n v="4346.46"/>
    <n v="0"/>
    <n v="4591.5919999999996"/>
    <n v="0"/>
    <n v="0"/>
    <n v="0"/>
    <n v="0"/>
    <n v="0"/>
    <n v="0"/>
    <n v="0"/>
    <n v="0"/>
    <n v="0"/>
    <n v="0"/>
    <n v="0"/>
    <n v="0"/>
    <n v="19228.931"/>
    <n v="0"/>
    <n v="0"/>
    <n v="0"/>
    <n v="0"/>
    <n v="0"/>
    <n v="0"/>
    <n v="0"/>
    <n v="0"/>
    <n v="0"/>
    <n v="0"/>
    <n v="0"/>
    <n v="0"/>
    <n v="0"/>
    <n v="0"/>
    <n v="22637.359"/>
    <n v="0"/>
    <n v="0"/>
    <n v="0"/>
    <n v="0"/>
  </r>
  <r>
    <x v="0"/>
    <s v="PEST CONTROL"/>
    <s v="SC JOHNSON"/>
    <x v="0"/>
    <x v="0"/>
    <x v="1"/>
    <x v="2"/>
    <x v="2"/>
    <n v="0"/>
    <n v="0"/>
    <n v="0"/>
    <n v="1.0999999999999999E-2"/>
    <n v="0"/>
    <n v="0.01"/>
    <n v="0"/>
    <n v="0"/>
    <n v="0"/>
    <n v="0"/>
    <n v="0"/>
    <n v="0"/>
    <n v="0"/>
    <n v="0"/>
    <n v="0"/>
    <n v="0"/>
    <n v="0"/>
    <n v="0"/>
    <n v="2.4E-2"/>
    <n v="0"/>
    <n v="0"/>
    <n v="0"/>
    <n v="0"/>
    <n v="0"/>
    <n v="0"/>
    <n v="0"/>
    <n v="0"/>
    <n v="0"/>
    <n v="0"/>
    <n v="0"/>
    <n v="0"/>
    <n v="0"/>
    <n v="0"/>
    <n v="1.7000000000000001E-2"/>
    <n v="0"/>
    <n v="0"/>
    <n v="0"/>
    <n v="0"/>
  </r>
  <r>
    <x v="0"/>
    <s v="PEST CONTROL"/>
    <s v="SC JOHNSON"/>
    <x v="0"/>
    <x v="0"/>
    <x v="1"/>
    <x v="2"/>
    <x v="3"/>
    <n v="0"/>
    <n v="0"/>
    <n v="1.3460000000000001"/>
    <n v="2.2730000000000001"/>
    <n v="3.008"/>
    <n v="2.5259999999999998"/>
    <n v="0.82899999999999996"/>
    <n v="1.06"/>
    <n v="0.63200000000000001"/>
    <n v="0.501"/>
    <n v="0"/>
    <n v="0.28499999999999998"/>
    <n v="7.0999999999999994E-2"/>
    <n v="0.39900000000000002"/>
    <n v="0.224"/>
    <n v="0.52400000000000002"/>
    <n v="0.35399999999999998"/>
    <n v="0.31900000000000001"/>
    <n v="0.58399999999999996"/>
    <n v="0"/>
    <n v="0"/>
    <n v="0"/>
    <n v="0"/>
    <n v="0"/>
    <n v="0"/>
    <n v="0"/>
    <n v="0"/>
    <n v="0"/>
    <n v="0"/>
    <n v="0"/>
    <n v="0"/>
    <n v="0.35699999999999998"/>
    <n v="0.33900000000000002"/>
    <n v="1.163"/>
    <n v="0.85699999999999998"/>
    <n v="0.48399999999999999"/>
    <n v="1.089"/>
    <n v="121.01600000000001"/>
  </r>
  <r>
    <x v="0"/>
    <s v="PEST CONTROL"/>
    <s v="SC JOHNSON"/>
    <x v="0"/>
    <x v="0"/>
    <x v="1"/>
    <x v="2"/>
    <x v="4"/>
    <n v="0"/>
    <n v="0"/>
    <n v="1.0670983999999999"/>
    <n v="1.3870673"/>
    <n v="1.4449928999999999"/>
    <n v="1.3164842999999999"/>
    <n v="0.94326790000000005"/>
    <n v="0.94326659999999996"/>
    <n v="0.96025419999999995"/>
    <n v="0.87675219999999998"/>
    <n v="0.87675250000000005"/>
    <n v="0.91660790000000003"/>
    <n v="0.91660790000000003"/>
    <n v="0.80661059999999996"/>
    <n v="0.77559060000000002"/>
    <n v="0.84614869999999998"/>
    <n v="0.84615050000000003"/>
    <n v="0.78571120000000005"/>
    <n v="0.78571179999999996"/>
    <n v="0"/>
    <n v="0"/>
    <n v="0"/>
    <n v="0"/>
    <n v="0"/>
    <n v="0"/>
    <n v="0"/>
    <n v="0"/>
    <n v="0"/>
    <n v="0"/>
    <n v="0"/>
    <n v="0"/>
    <n v="0.39247660000000001"/>
    <n v="0.49059639999999999"/>
    <n v="0.7852924"/>
    <n v="0.98566929999999997"/>
    <n v="1.0950529"/>
    <n v="0.9048271"/>
    <n v="1.089"/>
  </r>
  <r>
    <x v="0"/>
    <s v="PEST CONTROL"/>
    <s v="SC JOHNSON"/>
    <x v="0"/>
    <x v="0"/>
    <x v="1"/>
    <x v="2"/>
    <x v="5"/>
    <n v="0"/>
    <n v="0"/>
    <n v="0.05"/>
    <n v="5.8999999999999997E-2"/>
    <n v="0.06"/>
    <n v="4.2999999999999997E-2"/>
    <n v="3.9E-2"/>
    <n v="4.2000000000000003E-2"/>
    <n v="4.3999999999999997E-2"/>
    <n v="4.1000000000000002E-2"/>
    <n v="4.1000000000000002E-2"/>
    <n v="4.2000000000000003E-2"/>
    <n v="4.3999999999999997E-2"/>
    <n v="3.9E-2"/>
    <n v="3.4000000000000002E-2"/>
    <n v="3.6999999999999998E-2"/>
    <n v="3.4000000000000002E-2"/>
    <n v="2.8000000000000001E-2"/>
    <n v="0"/>
    <n v="0"/>
    <n v="0"/>
    <n v="0"/>
    <n v="0"/>
    <n v="0"/>
    <n v="0"/>
    <n v="0"/>
    <n v="0"/>
    <n v="0"/>
    <n v="0"/>
    <n v="0"/>
    <n v="0"/>
    <n v="2.7E-2"/>
    <n v="3.5000000000000003E-2"/>
    <n v="5.6000000000000001E-2"/>
    <n v="7.0000000000000007E-2"/>
    <n v="7.5999999999999998E-2"/>
    <n v="6.3E-2"/>
    <n v="0.9048271"/>
  </r>
  <r>
    <x v="0"/>
    <s v="PEST CONTROL"/>
    <s v="SC JOHNSON"/>
    <x v="0"/>
    <x v="0"/>
    <x v="1"/>
    <x v="3"/>
    <x v="0"/>
    <n v="4458.3590000000004"/>
    <n v="3998.2750000000001"/>
    <n v="6996.2290000000003"/>
    <n v="10391.58"/>
    <n v="11513.437"/>
    <n v="13467.191999999999"/>
    <n v="12638.249"/>
    <n v="9981.0030000000006"/>
    <n v="6242.107"/>
    <n v="4222.357"/>
    <n v="4375.7510000000002"/>
    <n v="3813.3939999999998"/>
    <n v="3407.5309999999999"/>
    <n v="2949.22"/>
    <n v="5341.7179999999998"/>
    <n v="10582.058999999999"/>
    <n v="16421.535"/>
    <n v="13438.974"/>
    <n v="15363.421"/>
    <n v="11772.316999999999"/>
    <n v="9348.0290000000005"/>
    <n v="7037.741"/>
    <n v="5808.1869999999999"/>
    <n v="5670.22"/>
    <n v="5198.22"/>
    <n v="6940.5050000000001"/>
    <n v="8928.7209999999995"/>
    <n v="10227.819"/>
    <n v="15216.749"/>
    <n v="16683.183000000001"/>
    <n v="18869.507000000001"/>
    <n v="18958.787"/>
    <n v="13573.27"/>
    <n v="9012.2749999999996"/>
    <n v="7774.335"/>
    <n v="6080.5870000000004"/>
    <n v="3132.8029999999999"/>
    <n v="3132.8029999999999"/>
  </r>
  <r>
    <x v="0"/>
    <s v="PEST CONTROL"/>
    <s v="SC JOHNSON"/>
    <x v="0"/>
    <x v="0"/>
    <x v="1"/>
    <x v="3"/>
    <x v="1"/>
    <n v="424752.99800000002"/>
    <n v="391639.46399999998"/>
    <n v="692440.88899999997"/>
    <n v="1055945.307"/>
    <n v="1175098.156"/>
    <n v="1405218.973"/>
    <n v="1276126.702"/>
    <n v="995795.12300000002"/>
    <n v="632984.00199999998"/>
    <n v="422758.59700000001"/>
    <n v="449318.11700000003"/>
    <n v="406515.80699999997"/>
    <n v="364858.12"/>
    <n v="325338.11599999998"/>
    <n v="563123.58400000003"/>
    <n v="1093412.9240000001"/>
    <n v="1778228.54"/>
    <n v="1491122.121"/>
    <n v="1644642.4739999999"/>
    <n v="1263438.42"/>
    <n v="946874.62199999997"/>
    <n v="714320.09100000001"/>
    <n v="618437.22600000002"/>
    <n v="606252.38699999999"/>
    <n v="532932.09699999995"/>
    <n v="726524.06900000002"/>
    <n v="1008827.86"/>
    <n v="1150182.5430000001"/>
    <n v="1773550.7660000001"/>
    <n v="2030134.08"/>
    <n v="2249639.3670000001"/>
    <n v="2322514.3229999999"/>
    <n v="1573760.9010000001"/>
    <n v="1013599.746"/>
    <n v="948158.24600000004"/>
    <n v="736514.174"/>
    <n v="356709.38400000002"/>
    <n v="356709.38400000002"/>
  </r>
  <r>
    <x v="0"/>
    <s v="PEST CONTROL"/>
    <s v="SC JOHNSON"/>
    <x v="0"/>
    <x v="0"/>
    <x v="1"/>
    <x v="3"/>
    <x v="2"/>
    <n v="1.224"/>
    <n v="0.90100000000000002"/>
    <n v="1.331"/>
    <n v="1.427"/>
    <n v="1.3919999999999999"/>
    <n v="1.5029999999999999"/>
    <n v="1.464"/>
    <n v="1.4990000000000001"/>
    <n v="1.22"/>
    <n v="1.1399999999999999"/>
    <n v="1.45"/>
    <n v="1.411"/>
    <n v="1.2190000000000001"/>
    <n v="0.92700000000000005"/>
    <n v="1.1539999999999999"/>
    <n v="1.675"/>
    <n v="2.1019999999999999"/>
    <n v="1.9330000000000001"/>
    <n v="2.052"/>
    <n v="1.9450000000000001"/>
    <n v="1.673"/>
    <n v="1.5960000000000001"/>
    <n v="1.6040000000000001"/>
    <n v="1.6859999999999999"/>
    <n v="1.4239999999999999"/>
    <n v="1.661"/>
    <n v="1.9059999999999999"/>
    <n v="1.7749999999999999"/>
    <n v="2.3839999999999999"/>
    <n v="2.508"/>
    <n v="2.0390000000000001"/>
    <n v="2.4590000000000001"/>
    <n v="1.9470000000000001"/>
    <n v="1.413"/>
    <n v="1.61"/>
    <n v="1.7769999999999999"/>
    <n v="1.2869999999999999"/>
    <n v="0.92300000000000004"/>
  </r>
  <r>
    <x v="0"/>
    <s v="PEST CONTROL"/>
    <s v="SC JOHNSON"/>
    <x v="0"/>
    <x v="0"/>
    <x v="1"/>
    <x v="3"/>
    <x v="3"/>
    <n v="64.320999999999998"/>
    <n v="60.69"/>
    <n v="64.828000000000003"/>
    <n v="65.896000000000001"/>
    <n v="63.287999999999997"/>
    <n v="61.707000000000001"/>
    <n v="55.167999999999999"/>
    <n v="56.244"/>
    <n v="57.671999999999997"/>
    <n v="58.27"/>
    <n v="62.655000000000001"/>
    <n v="62.61"/>
    <n v="63.683999999999997"/>
    <n v="62.725999999999999"/>
    <n v="62.545000000000002"/>
    <n v="69.275000000000006"/>
    <n v="71.712000000000003"/>
    <n v="72.834999999999994"/>
    <n v="72.802999999999997"/>
    <n v="66.316000000000003"/>
    <n v="63.542000000000002"/>
    <n v="63.136000000000003"/>
    <n v="62.250999999999998"/>
    <n v="62.734999999999999"/>
    <n v="64.957999999999998"/>
    <n v="68.554000000000002"/>
    <n v="68.125"/>
    <n v="70.59"/>
    <n v="72.587999999999994"/>
    <n v="71.781000000000006"/>
    <n v="69.885999999999996"/>
    <n v="70.025000000000006"/>
    <n v="60.859000000000002"/>
    <n v="53.247"/>
    <n v="51.860999999999997"/>
    <n v="56.323"/>
    <n v="58.095999999999997"/>
    <n v="9644.5779999999995"/>
  </r>
  <r>
    <x v="0"/>
    <s v="PEST CONTROL"/>
    <s v="SC JOHNSON"/>
    <x v="0"/>
    <x v="0"/>
    <x v="1"/>
    <x v="3"/>
    <x v="4"/>
    <n v="41.214468699999998"/>
    <n v="38.283450999999999"/>
    <n v="40.7533441"/>
    <n v="42.0401442"/>
    <n v="41.936094500000003"/>
    <n v="41.101779700000002"/>
    <n v="39.837267300000001"/>
    <n v="38.670467500000001"/>
    <n v="38.399265900000003"/>
    <n v="39.962446800000002"/>
    <n v="39.074097000000002"/>
    <n v="38.804776799999999"/>
    <n v="39.061211299999997"/>
    <n v="37.839609899999999"/>
    <n v="40.2728343"/>
    <n v="44.655386300000004"/>
    <n v="46.245253099999999"/>
    <n v="48.0883538"/>
    <n v="46.167242299999998"/>
    <n v="43.633583700000003"/>
    <n v="41.794838499999997"/>
    <n v="40.1133612"/>
    <n v="38.6197777"/>
    <n v="38.878063400000002"/>
    <n v="40.178191699999999"/>
    <n v="42.474972700000002"/>
    <n v="43.546215699999998"/>
    <n v="45.718808000000003"/>
    <n v="47.100376099999998"/>
    <n v="47.259197800000003"/>
    <n v="46.217217300000002"/>
    <n v="47.2137995"/>
    <n v="40.789257200000002"/>
    <n v="37.014936300000002"/>
    <n v="38.020405099999998"/>
    <n v="36.725114499999997"/>
    <n v="36.3647317"/>
    <n v="58.095999999999997"/>
  </r>
  <r>
    <x v="0"/>
    <s v="PEST CONTROL"/>
    <s v="SC JOHNSON"/>
    <x v="0"/>
    <x v="0"/>
    <x v="1"/>
    <x v="3"/>
    <x v="5"/>
    <n v="6.649"/>
    <n v="6.5220000000000002"/>
    <n v="6.8879999999999999"/>
    <n v="6.5490000000000004"/>
    <n v="5.5679999999999996"/>
    <n v="6.1280000000000001"/>
    <n v="5.0739999999999998"/>
    <n v="6.5149999999999997"/>
    <n v="6.258"/>
    <n v="6.2779999999999996"/>
    <n v="6.6829999999999998"/>
    <n v="6.976"/>
    <n v="7.2560000000000002"/>
    <n v="6.2779999999999996"/>
    <n v="6.7489999999999997"/>
    <n v="8.2409999999999997"/>
    <n v="7.4870000000000001"/>
    <n v="8.2159999999999993"/>
    <n v="8.1370000000000005"/>
    <n v="7.9039999999999999"/>
    <n v="7.3719999999999999"/>
    <n v="6.8639999999999999"/>
    <n v="6.6210000000000004"/>
    <n v="6.9669999999999996"/>
    <n v="7.0350000000000001"/>
    <n v="7.7480000000000002"/>
    <n v="7.1479999999999997"/>
    <n v="7.2160000000000002"/>
    <n v="7.4210000000000003"/>
    <n v="6.7859999999999996"/>
    <n v="6.3579999999999997"/>
    <n v="5.8170000000000002"/>
    <n v="5.766"/>
    <n v="5.117"/>
    <n v="5.2080000000000002"/>
    <n v="4.7880000000000003"/>
    <n v="5.048"/>
    <n v="36.3647317"/>
  </r>
  <r>
    <x v="0"/>
    <s v="PEST CONTROL"/>
    <s v="SC JOHNSON"/>
    <x v="1"/>
    <x v="1"/>
    <x v="2"/>
    <x v="0"/>
    <x v="0"/>
    <n v="0"/>
    <n v="273.983"/>
    <n v="229.10400000000001"/>
    <n v="369.32100000000003"/>
    <n v="455.161"/>
    <n v="215.577"/>
    <n v="0"/>
    <n v="0"/>
    <n v="0"/>
    <n v="42.005000000000003"/>
    <n v="66.296999999999997"/>
    <n v="186.01599999999999"/>
    <n v="112.175"/>
    <n v="135.59100000000001"/>
    <n v="40.383000000000003"/>
    <n v="245.887"/>
    <n v="0"/>
    <n v="0"/>
    <n v="0"/>
    <n v="0"/>
    <n v="0"/>
    <n v="0"/>
    <n v="0"/>
    <n v="0"/>
    <n v="0"/>
    <n v="0"/>
    <n v="0"/>
    <n v="40.743000000000002"/>
    <n v="0"/>
    <n v="31.3"/>
    <n v="0"/>
    <n v="0"/>
    <n v="29.521999999999998"/>
    <n v="27.54"/>
    <n v="0"/>
    <n v="0"/>
    <n v="0"/>
    <n v="0"/>
  </r>
  <r>
    <x v="0"/>
    <s v="PEST CONTROL"/>
    <s v="SC JOHNSON"/>
    <x v="1"/>
    <x v="1"/>
    <x v="2"/>
    <x v="0"/>
    <x v="1"/>
    <n v="0"/>
    <n v="31019.063999999998"/>
    <n v="27687.071"/>
    <n v="45393.989000000001"/>
    <n v="52364.362999999998"/>
    <n v="23189.032999999999"/>
    <n v="0"/>
    <n v="0"/>
    <n v="0"/>
    <n v="4977.3069999999998"/>
    <n v="7855.6840000000002"/>
    <n v="22041.508000000002"/>
    <n v="16826.278999999999"/>
    <n v="20338.632000000001"/>
    <n v="6057.4319999999998"/>
    <n v="36882.997000000003"/>
    <n v="0"/>
    <n v="0"/>
    <n v="0"/>
    <n v="0"/>
    <n v="0"/>
    <n v="0"/>
    <n v="0"/>
    <n v="0"/>
    <n v="0"/>
    <n v="0"/>
    <n v="0"/>
    <n v="5296.6260000000002"/>
    <n v="0"/>
    <n v="4069.02"/>
    <n v="0"/>
    <n v="0"/>
    <n v="3837.9110000000001"/>
    <n v="3580.4389999999999"/>
    <n v="0"/>
    <n v="0"/>
    <n v="0"/>
    <n v="0"/>
  </r>
  <r>
    <x v="0"/>
    <s v="PEST CONTROL"/>
    <s v="SC JOHNSON"/>
    <x v="1"/>
    <x v="1"/>
    <x v="2"/>
    <x v="0"/>
    <x v="2"/>
    <n v="0"/>
    <n v="0.38700000000000001"/>
    <n v="0.26200000000000001"/>
    <n v="0.315"/>
    <n v="0.34200000000000003"/>
    <n v="0.15"/>
    <n v="0"/>
    <n v="0"/>
    <n v="0"/>
    <n v="6.8000000000000005E-2"/>
    <n v="0.128"/>
    <n v="0.39700000000000002"/>
    <n v="0.24399999999999999"/>
    <n v="0.252"/>
    <n v="5.1999999999999998E-2"/>
    <n v="0.23499999999999999"/>
    <n v="0"/>
    <n v="0"/>
    <n v="0"/>
    <n v="0"/>
    <n v="0"/>
    <n v="0"/>
    <n v="0"/>
    <n v="0"/>
    <n v="0"/>
    <n v="0"/>
    <n v="0"/>
    <n v="0.04"/>
    <n v="0"/>
    <n v="2.5999999999999999E-2"/>
    <n v="0"/>
    <n v="0"/>
    <n v="2.7E-2"/>
    <n v="2.8000000000000001E-2"/>
    <n v="0"/>
    <n v="0"/>
    <n v="0"/>
    <n v="0"/>
  </r>
  <r>
    <x v="0"/>
    <s v="PEST CONTROL"/>
    <s v="SC JOHNSON"/>
    <x v="1"/>
    <x v="1"/>
    <x v="2"/>
    <x v="0"/>
    <x v="3"/>
    <n v="0.76700000000000002"/>
    <n v="2.9630000000000001"/>
    <n v="1.9059999999999999"/>
    <n v="1.8979999999999999"/>
    <n v="2.2650000000000001"/>
    <n v="1.9930000000000001"/>
    <n v="0.95599999999999996"/>
    <n v="1.171"/>
    <n v="1.071"/>
    <n v="1.788"/>
    <n v="2.3580000000000001"/>
    <n v="2.7229999999999999"/>
    <n v="1.5920000000000001"/>
    <n v="1.9430000000000001"/>
    <n v="1.423"/>
    <n v="0.82599999999999996"/>
    <n v="0"/>
    <n v="0"/>
    <n v="0"/>
    <n v="0"/>
    <n v="0"/>
    <n v="0"/>
    <n v="0"/>
    <n v="0"/>
    <n v="0"/>
    <n v="0"/>
    <n v="0"/>
    <n v="0.30599999999999999"/>
    <n v="0.441"/>
    <n v="0.251"/>
    <n v="0"/>
    <n v="0.14000000000000001"/>
    <n v="0.21299999999999999"/>
    <n v="0.20399999999999999"/>
    <n v="0"/>
    <n v="0"/>
    <n v="0"/>
    <n v="0"/>
  </r>
  <r>
    <x v="0"/>
    <s v="PEST CONTROL"/>
    <s v="SC JOHNSON"/>
    <x v="1"/>
    <x v="1"/>
    <x v="2"/>
    <x v="0"/>
    <x v="4"/>
    <n v="0.49172529999999998"/>
    <n v="1.5058857000000001"/>
    <n v="1.5058856"/>
    <n v="1.4553913000000001"/>
    <n v="1.4882009"/>
    <n v="1.1436915000000001"/>
    <n v="0.6515048"/>
    <n v="0.65150390000000002"/>
    <n v="0.57223639999999998"/>
    <n v="0.572237"/>
    <n v="0.5722372"/>
    <n v="0.57223619999999997"/>
    <n v="0.59824650000000001"/>
    <n v="0.57223599999999997"/>
    <n v="0.5722351"/>
    <n v="0.51914400000000005"/>
    <n v="0"/>
    <n v="0"/>
    <n v="0"/>
    <n v="0"/>
    <n v="0"/>
    <n v="0"/>
    <n v="0"/>
    <n v="0"/>
    <n v="0"/>
    <n v="0"/>
    <n v="0"/>
    <n v="0.51526530000000004"/>
    <n v="0.51526550000000004"/>
    <n v="0.50178789999999995"/>
    <n v="0.50178860000000003"/>
    <n v="0.50178750000000005"/>
    <n v="0.50178809999999996"/>
    <n v="0.52688069999999998"/>
    <n v="0"/>
    <n v="0"/>
    <n v="0"/>
    <n v="0"/>
  </r>
  <r>
    <x v="0"/>
    <s v="PEST CONTROL"/>
    <s v="SC JOHNSON"/>
    <x v="1"/>
    <x v="1"/>
    <x v="2"/>
    <x v="0"/>
    <x v="5"/>
    <n v="3.2000000000000001E-2"/>
    <n v="0.51300000000000001"/>
    <n v="0.433"/>
    <n v="0.34899999999999998"/>
    <n v="0.186"/>
    <n v="7.8E-2"/>
    <n v="0.10299999999999999"/>
    <n v="0.16900000000000001"/>
    <n v="0.152"/>
    <n v="0"/>
    <n v="6.9000000000000006E-2"/>
    <n v="0.11600000000000001"/>
    <n v="0.16900000000000001"/>
    <n v="0.09"/>
    <n v="0.13900000000000001"/>
    <n v="0"/>
    <n v="0"/>
    <n v="0"/>
    <n v="0"/>
    <n v="0"/>
    <n v="0"/>
    <n v="0"/>
    <n v="0"/>
    <n v="0"/>
    <n v="0"/>
    <n v="0"/>
    <n v="0"/>
    <n v="1.4999999999999999E-2"/>
    <n v="1.4999999999999999E-2"/>
    <n v="0"/>
    <n v="1.4E-2"/>
    <n v="1.6E-2"/>
    <n v="0"/>
    <n v="0"/>
    <n v="0"/>
    <n v="0"/>
    <n v="0"/>
    <n v="0"/>
  </r>
  <r>
    <x v="0"/>
    <s v="PEST CONTROL"/>
    <s v="SC JOHNSON"/>
    <x v="1"/>
    <x v="1"/>
    <x v="2"/>
    <x v="4"/>
    <x v="0"/>
    <n v="12.936999999999999"/>
    <n v="43.148000000000003"/>
    <n v="31.326000000000001"/>
    <n v="0"/>
    <n v="18.385999999999999"/>
    <n v="2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82000000000001"/>
    <n v="25.766999999999999"/>
    <n v="25.766999999999999"/>
  </r>
  <r>
    <x v="0"/>
    <s v="PEST CONTROL"/>
    <s v="SC JOHNSON"/>
    <x v="1"/>
    <x v="1"/>
    <x v="2"/>
    <x v="4"/>
    <x v="1"/>
    <n v="3945.5520000000001"/>
    <n v="13160.207"/>
    <n v="9554.5720000000001"/>
    <n v="0"/>
    <n v="2298.2440000000001"/>
    <n v="8582.703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71.6010000000006"/>
    <n v="7858.8969999999999"/>
    <n v="7858.8969999999999"/>
  </r>
  <r>
    <x v="0"/>
    <s v="PEST CONTROL"/>
    <s v="SC JOHNSON"/>
    <x v="1"/>
    <x v="1"/>
    <x v="2"/>
    <x v="4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000000000000002E-3"/>
  </r>
  <r>
    <x v="0"/>
    <s v="PEST CONTROL"/>
    <s v="SC JOHNSON"/>
    <x v="1"/>
    <x v="1"/>
    <x v="2"/>
    <x v="4"/>
    <x v="3"/>
    <n v="1.335"/>
    <n v="1.53"/>
    <n v="1.75"/>
    <n v="1.411"/>
    <n v="1.3779999999999999"/>
    <n v="0.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3800000000000003"/>
    <n v="0.73499999999999999"/>
    <n v="1.018"/>
    <n v="0.98899999999999999"/>
    <n v="28.346"/>
  </r>
  <r>
    <x v="0"/>
    <s v="PEST CONTROL"/>
    <s v="SC JOHNSON"/>
    <x v="1"/>
    <x v="1"/>
    <x v="2"/>
    <x v="4"/>
    <x v="4"/>
    <n v="0.75081750000000003"/>
    <n v="0.75081679999999995"/>
    <n v="0.7508167"/>
    <n v="0.7105456"/>
    <n v="0.71054519999999999"/>
    <n v="0.373217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2688069999999998"/>
    <n v="0.55460889999999996"/>
    <n v="0.49372700000000003"/>
    <n v="0.4937259"/>
    <n v="0.98899999999999999"/>
  </r>
  <r>
    <x v="0"/>
    <s v="PEST CONTROL"/>
    <s v="SC JOHNSON"/>
    <x v="1"/>
    <x v="1"/>
    <x v="2"/>
    <x v="4"/>
    <x v="5"/>
    <n v="4.5999999999999999E-2"/>
    <n v="1.2E-2"/>
    <n v="4.2000000000000003E-2"/>
    <n v="3.6999999999999998E-2"/>
    <n v="2.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E-2"/>
    <n v="1.6E-2"/>
    <n v="0"/>
    <n v="1.4999999999999999E-2"/>
    <n v="0.4937259"/>
  </r>
  <r>
    <x v="0"/>
    <s v="PEST CONTROL"/>
    <s v="SC JOHNSON"/>
    <x v="1"/>
    <x v="1"/>
    <x v="3"/>
    <x v="0"/>
    <x v="0"/>
    <n v="2511.36"/>
    <n v="2167.8319999999999"/>
    <n v="3096.701"/>
    <n v="3896.826"/>
    <n v="4152.7929999999997"/>
    <n v="3673.134"/>
    <n v="3130.93"/>
    <n v="2731.0909999999999"/>
    <n v="2505.0239999999999"/>
    <n v="1803.962"/>
    <n v="2056.3310000000001"/>
    <n v="1723.451"/>
    <n v="2365.5"/>
    <n v="1854.3219999999999"/>
    <n v="3155.4659999999999"/>
    <n v="3708.4360000000001"/>
    <n v="3193.6770000000001"/>
    <n v="3330.4340000000002"/>
    <n v="3874.1170000000002"/>
    <n v="2805.038"/>
    <n v="2323.7049999999999"/>
    <n v="2051.7449999999999"/>
    <n v="1404.5509999999999"/>
    <n v="1659.376"/>
    <n v="1839.56"/>
    <n v="2507.538"/>
    <n v="3313.0549999999998"/>
    <n v="3116.395"/>
    <n v="3555.6619999999998"/>
    <n v="4026.797"/>
    <n v="5004.3109999999997"/>
    <n v="4332.3090000000002"/>
    <n v="3412.5520000000001"/>
    <n v="3301.3760000000002"/>
    <n v="3454.0039999999999"/>
    <n v="2126.9789999999998"/>
    <n v="1816.52"/>
    <n v="1816.52"/>
  </r>
  <r>
    <x v="0"/>
    <s v="PEST CONTROL"/>
    <s v="SC JOHNSON"/>
    <x v="1"/>
    <x v="1"/>
    <x v="3"/>
    <x v="0"/>
    <x v="1"/>
    <n v="503941.53600000002"/>
    <n v="412185.853"/>
    <n v="585725.66200000001"/>
    <n v="740595.92700000003"/>
    <n v="806275.94"/>
    <n v="706868.75300000003"/>
    <n v="578052.35199999996"/>
    <n v="508410.54399999999"/>
    <n v="480308.40700000001"/>
    <n v="336645.81400000001"/>
    <n v="381049.58399999997"/>
    <n v="329680.97399999999"/>
    <n v="456753.51799999998"/>
    <n v="367776.86900000001"/>
    <n v="602637.08499999996"/>
    <n v="652580.93700000003"/>
    <n v="664917.47699999996"/>
    <n v="642636.98400000005"/>
    <n v="770870.25600000005"/>
    <n v="537066.86"/>
    <n v="468197.12"/>
    <n v="412372.41"/>
    <n v="274839.321"/>
    <n v="322915.489"/>
    <n v="365706.18300000002"/>
    <n v="477465.90399999998"/>
    <n v="643540.94200000004"/>
    <n v="615587.20600000001"/>
    <n v="696709.43"/>
    <n v="733218.64199999999"/>
    <n v="912121.82499999995"/>
    <n v="799187.11100000003"/>
    <n v="635941.44499999995"/>
    <n v="641510.11100000003"/>
    <n v="666165.60499999998"/>
    <n v="397601.25300000003"/>
    <n v="350702.24900000001"/>
    <n v="350702.24900000001"/>
  </r>
  <r>
    <x v="0"/>
    <s v="PEST CONTROL"/>
    <s v="SC JOHNSON"/>
    <x v="1"/>
    <x v="1"/>
    <x v="3"/>
    <x v="0"/>
    <x v="2"/>
    <n v="3.9710000000000001"/>
    <n v="2.8420000000000001"/>
    <n v="3.28"/>
    <n v="3.0939999999999999"/>
    <n v="2.9009999999999998"/>
    <n v="2.399"/>
    <n v="2.1379999999999999"/>
    <n v="2.367"/>
    <n v="2.72"/>
    <n v="2.7349999999999999"/>
    <n v="3.68"/>
    <n v="3.4140000000000001"/>
    <n v="4.8120000000000003"/>
    <n v="3.2080000000000002"/>
    <n v="3.7989999999999999"/>
    <n v="3.3069999999999999"/>
    <n v="2.3079999999999998"/>
    <n v="2.5640000000000001"/>
    <n v="2.8010000000000002"/>
    <n v="2.5209999999999999"/>
    <n v="2.3069999999999999"/>
    <n v="2.524"/>
    <n v="1.9690000000000001"/>
    <n v="2.3919999999999999"/>
    <n v="2.5489999999999999"/>
    <n v="3.0870000000000002"/>
    <n v="3.2549999999999999"/>
    <n v="2.4809999999999999"/>
    <n v="2.4780000000000002"/>
    <n v="2.7109999999999999"/>
    <n v="2.8140000000000001"/>
    <n v="2.754"/>
    <n v="2.544"/>
    <n v="2.782"/>
    <n v="3.4220000000000002"/>
    <n v="2.984"/>
    <n v="3.7010000000000001"/>
    <n v="0.53500000000000003"/>
  </r>
  <r>
    <x v="0"/>
    <s v="PEST CONTROL"/>
    <s v="SC JOHNSON"/>
    <x v="1"/>
    <x v="1"/>
    <x v="3"/>
    <x v="0"/>
    <x v="3"/>
    <n v="33.307000000000002"/>
    <n v="33.673999999999999"/>
    <n v="33.82"/>
    <n v="28.952000000000002"/>
    <n v="27.370999999999999"/>
    <n v="30.599"/>
    <n v="27.954999999999998"/>
    <n v="28.567"/>
    <n v="32.814999999999998"/>
    <n v="36.494"/>
    <n v="35.234000000000002"/>
    <n v="31.113"/>
    <n v="33.390999999999998"/>
    <n v="33.814"/>
    <n v="33.848999999999997"/>
    <n v="33.838999999999999"/>
    <n v="28.675999999999998"/>
    <n v="27.606000000000002"/>
    <n v="30.884"/>
    <n v="24"/>
    <n v="24.045000000000002"/>
    <n v="20.027999999999999"/>
    <n v="20.047999999999998"/>
    <n v="21.308"/>
    <n v="20.805"/>
    <n v="31.41"/>
    <n v="36.712000000000003"/>
    <n v="32.307000000000002"/>
    <n v="37.756"/>
    <n v="34.771999999999998"/>
    <n v="39.049999999999997"/>
    <n v="35.941000000000003"/>
    <n v="31.677"/>
    <n v="26.120999999999999"/>
    <n v="25.635000000000002"/>
    <n v="23.62"/>
    <n v="25.858000000000001"/>
    <n v="3498.069"/>
  </r>
  <r>
    <x v="0"/>
    <s v="PEST CONTROL"/>
    <s v="SC JOHNSON"/>
    <x v="1"/>
    <x v="1"/>
    <x v="3"/>
    <x v="0"/>
    <x v="4"/>
    <n v="13.946710599999999"/>
    <n v="13.993481600000001"/>
    <n v="15.435972"/>
    <n v="13.564556899999999"/>
    <n v="14.1101736"/>
    <n v="14.2700221"/>
    <n v="14.0731971"/>
    <n v="14.835592"/>
    <n v="15.596850399999999"/>
    <n v="16.520430399999999"/>
    <n v="14.6894437"/>
    <n v="13.727149000000001"/>
    <n v="14.4846921"/>
    <n v="14.3045896"/>
    <n v="14.1546539"/>
    <n v="17.1948355"/>
    <n v="15.2794556"/>
    <n v="13.932244600000001"/>
    <n v="14.324881299999999"/>
    <n v="11.7278056"/>
    <n v="12.3064064"/>
    <n v="13.2987191"/>
    <n v="13.002798500000001"/>
    <n v="12.790135299999999"/>
    <n v="12.9452158"/>
    <n v="16.219251700000001"/>
    <n v="18.545059500000001"/>
    <n v="18.780717899999999"/>
    <n v="20.492628"/>
    <n v="19.265240299999999"/>
    <n v="19.813376999999999"/>
    <n v="19.957240500000001"/>
    <n v="18.830152500000001"/>
    <n v="17.215751999999998"/>
    <n v="17.577482499999999"/>
    <n v="15.6724967"/>
    <n v="15.7693443"/>
    <n v="25.858000000000001"/>
  </r>
  <r>
    <x v="0"/>
    <s v="PEST CONTROL"/>
    <s v="SC JOHNSON"/>
    <x v="1"/>
    <x v="1"/>
    <x v="3"/>
    <x v="0"/>
    <x v="5"/>
    <n v="2.4860000000000002"/>
    <n v="2.387"/>
    <n v="2.1509999999999998"/>
    <n v="1.52"/>
    <n v="1.571"/>
    <n v="1.9419999999999999"/>
    <n v="1.776"/>
    <n v="1.6919999999999999"/>
    <n v="1.7010000000000001"/>
    <n v="1.944"/>
    <n v="1.696"/>
    <n v="1.637"/>
    <n v="2.0249999999999999"/>
    <n v="2.0550000000000002"/>
    <n v="2.141"/>
    <n v="1.804"/>
    <n v="1.3"/>
    <n v="1.042"/>
    <n v="1.4390000000000001"/>
    <n v="1.32"/>
    <n v="1.4750000000000001"/>
    <n v="1.4830000000000001"/>
    <n v="1.4219999999999999"/>
    <n v="1.36"/>
    <n v="1.7989999999999999"/>
    <n v="2.3610000000000002"/>
    <n v="2.9060000000000001"/>
    <n v="2.23"/>
    <n v="2.452"/>
    <n v="1.8939999999999999"/>
    <n v="1.7729999999999999"/>
    <n v="2.2120000000000002"/>
    <n v="1.994"/>
    <n v="2.0289999999999999"/>
    <n v="1.655"/>
    <n v="1.7949999999999999"/>
    <n v="1.831"/>
    <n v="15.7693443"/>
  </r>
  <r>
    <x v="0"/>
    <s v="PEST CONTROL"/>
    <s v="SC JOHNSON"/>
    <x v="1"/>
    <x v="1"/>
    <x v="3"/>
    <x v="4"/>
    <x v="0"/>
    <n v="28.741"/>
    <n v="60.426000000000002"/>
    <n v="163.41200000000001"/>
    <n v="197.89699999999999"/>
    <n v="253.16900000000001"/>
    <n v="218.124"/>
    <n v="218.77099999999999"/>
    <n v="304.84899999999999"/>
    <n v="71.072999999999993"/>
    <n v="165.90100000000001"/>
    <n v="175.97"/>
    <n v="157.25"/>
    <n v="169.20099999999999"/>
    <n v="291.00700000000001"/>
    <n v="188.08699999999999"/>
    <n v="57.926000000000002"/>
    <n v="69.694999999999993"/>
    <n v="35.61"/>
    <n v="22.771000000000001"/>
    <n v="21.303999999999998"/>
    <n v="122.489"/>
    <n v="119.251"/>
    <n v="158.631"/>
    <n v="73.132000000000005"/>
    <n v="96.320999999999998"/>
    <n v="47.817"/>
    <n v="57.118000000000002"/>
    <n v="20.506"/>
    <n v="24.509"/>
    <n v="92.091999999999999"/>
    <n v="224.47800000000001"/>
    <n v="77.302999999999997"/>
    <n v="40.914000000000001"/>
    <n v="98.292000000000002"/>
    <n v="298.85700000000003"/>
    <n v="177.91399999999999"/>
    <n v="36.698"/>
    <n v="36.698"/>
  </r>
  <r>
    <x v="0"/>
    <s v="PEST CONTROL"/>
    <s v="SC JOHNSON"/>
    <x v="1"/>
    <x v="1"/>
    <x v="3"/>
    <x v="4"/>
    <x v="1"/>
    <n v="8967.1299999999992"/>
    <n v="18638.006000000001"/>
    <n v="30784.634999999998"/>
    <n v="44142.756000000001"/>
    <n v="44530.122000000003"/>
    <n v="39899.760999999999"/>
    <n v="36840.470999999998"/>
    <n v="53025.798000000003"/>
    <n v="21677.164000000001"/>
    <n v="50599.798999999999"/>
    <n v="52755.671999999999"/>
    <n v="46441.097999999998"/>
    <n v="51822.934000000001"/>
    <n v="88757.25"/>
    <n v="56325.701999999997"/>
    <n v="18793.642"/>
    <n v="22857.954000000002"/>
    <n v="10860.94"/>
    <n v="7856.1080000000002"/>
    <n v="7349.7129999999997"/>
    <n v="38604.087"/>
    <n v="33032.652999999998"/>
    <n v="45179.777999999998"/>
    <n v="20257.698"/>
    <n v="29790.852999999999"/>
    <n v="10885.370999999999"/>
    <n v="15113.876"/>
    <n v="3690.9690000000001"/>
    <n v="4411.4740000000002"/>
    <n v="31046.396000000001"/>
    <n v="80121.057000000001"/>
    <n v="26008.041000000001"/>
    <n v="12274.271000000001"/>
    <n v="36039.057999999997"/>
    <n v="99431.960999999996"/>
    <n v="66805.498999999996"/>
    <n v="11009.362999999999"/>
    <n v="11009.362999999999"/>
  </r>
  <r>
    <x v="0"/>
    <s v="PEST CONTROL"/>
    <s v="SC JOHNSON"/>
    <x v="1"/>
    <x v="1"/>
    <x v="3"/>
    <x v="4"/>
    <x v="2"/>
    <n v="0"/>
    <n v="0"/>
    <n v="0"/>
    <n v="0"/>
    <n v="0"/>
    <n v="0"/>
    <n v="0"/>
    <n v="1E-3"/>
    <n v="0"/>
    <n v="1E-3"/>
    <n v="1E-3"/>
    <n v="1E-3"/>
    <n v="1E-3"/>
    <n v="1E-3"/>
    <n v="1E-3"/>
    <n v="0"/>
    <n v="0"/>
    <n v="0"/>
    <n v="0"/>
    <n v="0"/>
    <n v="0"/>
    <n v="0"/>
    <n v="1E-3"/>
    <n v="0"/>
    <n v="0"/>
    <n v="0"/>
    <n v="0"/>
    <n v="0"/>
    <n v="0"/>
    <n v="0"/>
    <n v="0"/>
    <n v="0"/>
    <n v="0"/>
    <n v="0"/>
    <n v="1E-3"/>
    <n v="1E-3"/>
    <n v="0"/>
    <n v="1.0999999999999999E-2"/>
  </r>
  <r>
    <x v="0"/>
    <s v="PEST CONTROL"/>
    <s v="SC JOHNSON"/>
    <x v="1"/>
    <x v="1"/>
    <x v="3"/>
    <x v="4"/>
    <x v="3"/>
    <n v="3.4649999999999999"/>
    <n v="5.38"/>
    <n v="6.2190000000000003"/>
    <n v="8.2379999999999995"/>
    <n v="7.84"/>
    <n v="8.7119999999999997"/>
    <n v="9.7070000000000007"/>
    <n v="10.436999999999999"/>
    <n v="9.9489999999999998"/>
    <n v="14.368"/>
    <n v="13.936999999999999"/>
    <n v="9.42"/>
    <n v="8.99"/>
    <n v="8.94"/>
    <n v="8.7899999999999991"/>
    <n v="6.5789999999999997"/>
    <n v="6.5640000000000001"/>
    <n v="7.2140000000000004"/>
    <n v="5.859"/>
    <n v="5.3760000000000003"/>
    <n v="5.0999999999999996"/>
    <n v="3.9870000000000001"/>
    <n v="4.5110000000000001"/>
    <n v="3.3660000000000001"/>
    <n v="2.8079999999999998"/>
    <n v="4.5380000000000003"/>
    <n v="3.36"/>
    <n v="3.1619999999999999"/>
    <n v="4.5049999999999999"/>
    <n v="6.3979999999999997"/>
    <n v="9.3000000000000007"/>
    <n v="11.57"/>
    <n v="9.1910000000000007"/>
    <n v="10.244"/>
    <n v="7.2519999999999998"/>
    <n v="6.2290000000000001"/>
    <n v="3.851"/>
    <n v="339.66500000000002"/>
  </r>
  <r>
    <x v="0"/>
    <s v="PEST CONTROL"/>
    <s v="SC JOHNSON"/>
    <x v="1"/>
    <x v="1"/>
    <x v="3"/>
    <x v="4"/>
    <x v="4"/>
    <n v="0.86243879999999995"/>
    <n v="0.83247389999999999"/>
    <n v="1.2709025"/>
    <n v="1.8406138000000001"/>
    <n v="1.8734232"/>
    <n v="1.902131"/>
    <n v="1.9399934000000001"/>
    <n v="2.6525778"/>
    <n v="1.7352721"/>
    <n v="1.7471555000000001"/>
    <n v="2.0524171"/>
    <n v="1.7080318000000001"/>
    <n v="1.3129396"/>
    <n v="1.4438571"/>
    <n v="1.8123214000000001"/>
    <n v="1.5415711999999999"/>
    <n v="1.2936038999999999"/>
    <n v="1.2936015999999999"/>
    <n v="1.245503"/>
    <n v="1.2690972"/>
    <n v="1.2690964"/>
    <n v="1.2949455000000001"/>
    <n v="1.2949485000000001"/>
    <n v="0.66434559999999998"/>
    <n v="0.57054130000000003"/>
    <n v="1.1897439999999999"/>
    <n v="1.1699326999999999"/>
    <n v="0.65466829999999998"/>
    <n v="0.63649860000000003"/>
    <n v="0.63928770000000001"/>
    <n v="2.4017678999999998"/>
    <n v="2.7190758000000002"/>
    <n v="3.4202846999999998"/>
    <n v="3.2231401000000002"/>
    <n v="3.2462040999999999"/>
    <n v="3.2220669000000002"/>
    <n v="1.9770506000000001"/>
    <n v="3.851"/>
  </r>
  <r>
    <x v="0"/>
    <s v="PEST CONTROL"/>
    <s v="SC JOHNSON"/>
    <x v="1"/>
    <x v="1"/>
    <x v="3"/>
    <x v="4"/>
    <x v="5"/>
    <n v="0.03"/>
    <n v="6.5000000000000002E-2"/>
    <n v="5.8000000000000003E-2"/>
    <n v="7.1999999999999995E-2"/>
    <n v="9.6000000000000002E-2"/>
    <n v="0.114"/>
    <n v="8.6999999999999994E-2"/>
    <n v="0.11799999999999999"/>
    <n v="0.17699999999999999"/>
    <n v="0.16400000000000001"/>
    <n v="0.22700000000000001"/>
    <n v="0.216"/>
    <n v="0.20499999999999999"/>
    <n v="0.20499999999999999"/>
    <n v="0.14699999999999999"/>
    <n v="0.107"/>
    <n v="8.8999999999999996E-2"/>
    <n v="9.6000000000000002E-2"/>
    <n v="0.109"/>
    <n v="0.11799999999999999"/>
    <n v="7.4999999999999997E-2"/>
    <n v="0.107"/>
    <n v="8.6999999999999994E-2"/>
    <n v="8.3000000000000004E-2"/>
    <n v="5.1999999999999998E-2"/>
    <n v="8.5000000000000006E-2"/>
    <n v="0.06"/>
    <n v="0.06"/>
    <n v="5.8999999999999997E-2"/>
    <n v="3.3000000000000002E-2"/>
    <n v="0.10100000000000001"/>
    <n v="0.224"/>
    <n v="0.253"/>
    <n v="0.23300000000000001"/>
    <n v="0.20100000000000001"/>
    <n v="0.20100000000000001"/>
    <n v="0.17799999999999999"/>
    <n v="1.9770506000000001"/>
  </r>
  <r>
    <x v="0"/>
    <s v="PEST CONTROL"/>
    <s v="SC JOHNSON"/>
    <x v="1"/>
    <x v="1"/>
    <x v="3"/>
    <x v="5"/>
    <x v="0"/>
    <n v="213.65799999999999"/>
    <n v="306.43"/>
    <n v="205.85300000000001"/>
    <n v="224.77799999999999"/>
    <n v="154.88999999999999"/>
    <n v="200.32"/>
    <n v="68.216999999999999"/>
    <n v="275.452"/>
    <n v="153.37899999999999"/>
    <n v="221.66499999999999"/>
    <n v="140.77600000000001"/>
    <n v="138.24799999999999"/>
    <n v="189.679"/>
    <n v="247.53200000000001"/>
    <n v="172.874"/>
    <n v="273.81"/>
    <n v="206.58"/>
    <n v="298.19400000000002"/>
    <n v="339.07400000000001"/>
    <n v="153.06200000000001"/>
    <n v="200.733"/>
    <n v="220.09800000000001"/>
    <n v="237.14"/>
    <n v="265.67"/>
    <n v="314.226"/>
    <n v="355.22399999999999"/>
    <n v="245.46"/>
    <n v="211.50399999999999"/>
    <n v="324.48200000000003"/>
    <n v="304.31799999999998"/>
    <n v="481.94299999999998"/>
    <n v="307.99"/>
    <n v="204.75299999999999"/>
    <n v="267.7"/>
    <n v="299.45"/>
    <n v="315.04000000000002"/>
    <n v="134.614"/>
    <n v="807.68399999999997"/>
  </r>
  <r>
    <x v="0"/>
    <s v="PEST CONTROL"/>
    <s v="SC JOHNSON"/>
    <x v="1"/>
    <x v="1"/>
    <x v="3"/>
    <x v="5"/>
    <x v="1"/>
    <n v="54355.214999999997"/>
    <n v="81487.630999999994"/>
    <n v="51294.328999999998"/>
    <n v="55139.305999999997"/>
    <n v="38911.733999999997"/>
    <n v="51835.659"/>
    <n v="18375.895"/>
    <n v="68534.567999999999"/>
    <n v="39413.014999999999"/>
    <n v="58560.934000000001"/>
    <n v="37023.993999999999"/>
    <n v="36359.199000000001"/>
    <n v="51878.875999999997"/>
    <n v="68613.736000000004"/>
    <n v="44664.892999999996"/>
    <n v="82557.032000000007"/>
    <n v="61991.288999999997"/>
    <n v="94258.952000000005"/>
    <n v="112079.572"/>
    <n v="46787.186999999998"/>
    <n v="61860.169000000002"/>
    <n v="66818.260999999999"/>
    <n v="74809.921000000002"/>
    <n v="83366.688999999998"/>
    <n v="100112.91800000001"/>
    <n v="105039.28599999999"/>
    <n v="80108.159"/>
    <n v="70798.323999999993"/>
    <n v="109193.73699999999"/>
    <n v="111123.371"/>
    <n v="167197.70800000001"/>
    <n v="118388.09"/>
    <n v="78544.077999999994"/>
    <n v="112215.787"/>
    <n v="119627.19899999999"/>
    <n v="133639.821"/>
    <n v="50372.584000000003"/>
    <n v="50372.584000000003"/>
  </r>
  <r>
    <x v="0"/>
    <s v="PEST CONTROL"/>
    <s v="SC JOHNSON"/>
    <x v="1"/>
    <x v="1"/>
    <x v="3"/>
    <x v="5"/>
    <x v="2"/>
    <n v="6.0000000000000001E-3"/>
    <n v="7.0000000000000001E-3"/>
    <n v="4.0000000000000001E-3"/>
    <n v="3.0000000000000001E-3"/>
    <n v="2E-3"/>
    <n v="2E-3"/>
    <n v="1E-3"/>
    <n v="4.0000000000000001E-3"/>
    <n v="3.0000000000000001E-3"/>
    <n v="6.0000000000000001E-3"/>
    <n v="4.0000000000000001E-3"/>
    <n v="5.0000000000000001E-3"/>
    <n v="6.0000000000000001E-3"/>
    <n v="7.0000000000000001E-3"/>
    <n v="3.0000000000000001E-3"/>
    <n v="4.0000000000000001E-3"/>
    <n v="2E-3"/>
    <n v="4.0000000000000001E-3"/>
    <n v="4.0000000000000001E-3"/>
    <n v="2E-3"/>
    <n v="3.0000000000000001E-3"/>
    <n v="5.0000000000000001E-3"/>
    <n v="6.0000000000000001E-3"/>
    <n v="6.0000000000000001E-3"/>
    <n v="7.0000000000000001E-3"/>
    <n v="7.0000000000000001E-3"/>
    <n v="4.0000000000000001E-3"/>
    <n v="3.0000000000000001E-3"/>
    <n v="4.0000000000000001E-3"/>
    <n v="3.0000000000000001E-3"/>
    <n v="5.0000000000000001E-3"/>
    <n v="3.0000000000000001E-3"/>
    <n v="3.0000000000000001E-3"/>
    <n v="4.0000000000000001E-3"/>
    <n v="5.0000000000000001E-3"/>
    <n v="7.0000000000000001E-3"/>
    <n v="5.0000000000000001E-3"/>
    <n v="0.23799999999999999"/>
  </r>
  <r>
    <x v="0"/>
    <s v="PEST CONTROL"/>
    <s v="SC JOHNSON"/>
    <x v="1"/>
    <x v="1"/>
    <x v="3"/>
    <x v="5"/>
    <x v="3"/>
    <n v="10.874000000000001"/>
    <n v="11.125999999999999"/>
    <n v="9.5549999999999997"/>
    <n v="10.397"/>
    <n v="10.585000000000001"/>
    <n v="13.135"/>
    <n v="7.6"/>
    <n v="10.739000000000001"/>
    <n v="10.522"/>
    <n v="13.067"/>
    <n v="11.257999999999999"/>
    <n v="12.736000000000001"/>
    <n v="13.760999999999999"/>
    <n v="15.385"/>
    <n v="12.234999999999999"/>
    <n v="13.537000000000001"/>
    <n v="15.105"/>
    <n v="16.960999999999999"/>
    <n v="14.31"/>
    <n v="11.808999999999999"/>
    <n v="11.657"/>
    <n v="8.4610000000000003"/>
    <n v="10.523999999999999"/>
    <n v="9.5649999999999995"/>
    <n v="6.7880000000000003"/>
    <n v="11.097"/>
    <n v="9.1430000000000007"/>
    <n v="7.3079999999999998"/>
    <n v="10.563000000000001"/>
    <n v="12.037000000000001"/>
    <n v="11.984999999999999"/>
    <n v="12.858000000000001"/>
    <n v="12.955"/>
    <n v="13.260999999999999"/>
    <n v="11.486000000000001"/>
    <n v="10.141"/>
    <n v="10.436"/>
    <n v="5696.7640000000001"/>
  </r>
  <r>
    <x v="0"/>
    <s v="PEST CONTROL"/>
    <s v="SC JOHNSON"/>
    <x v="1"/>
    <x v="1"/>
    <x v="3"/>
    <x v="5"/>
    <x v="4"/>
    <n v="4.275976"/>
    <n v="4.8132457999999998"/>
    <n v="3.7049897999999999"/>
    <n v="3.8702380999999999"/>
    <n v="3.6728402999999998"/>
    <n v="4.1230447000000003"/>
    <n v="3.7393831"/>
    <n v="5.0509386000000003"/>
    <n v="4.7011301000000003"/>
    <n v="4.6817057000000002"/>
    <n v="4.1717092999999998"/>
    <n v="4.6822331999999998"/>
    <n v="5.0457926000000004"/>
    <n v="4.8932561000000003"/>
    <n v="4.2007377000000004"/>
    <n v="4.4643256999999998"/>
    <n v="4.5891013999999997"/>
    <n v="5.8041973000000002"/>
    <n v="4.6710764999999999"/>
    <n v="4.6178603999999996"/>
    <n v="4.8034698999999996"/>
    <n v="4.9373841000000001"/>
    <n v="5.1626894999999999"/>
    <n v="5.4934621000000003"/>
    <n v="5.3164331999999996"/>
    <n v="6.0812011999999998"/>
    <n v="5.6315634000000001"/>
    <n v="5.1163027000000003"/>
    <n v="5.0822719000000003"/>
    <n v="5.3379211"/>
    <n v="5.1546396999999997"/>
    <n v="5.3360361000000003"/>
    <n v="6.0567599999999997"/>
    <n v="6.3980177999999999"/>
    <n v="6.5814719000000004"/>
    <n v="6.6471676000000004"/>
    <n v="6.0829969999999998"/>
    <n v="10.436"/>
  </r>
  <r>
    <x v="0"/>
    <s v="PEST CONTROL"/>
    <s v="SC JOHNSON"/>
    <x v="1"/>
    <x v="1"/>
    <x v="3"/>
    <x v="5"/>
    <x v="5"/>
    <n v="0.27700000000000002"/>
    <n v="0.30199999999999999"/>
    <n v="0.28000000000000003"/>
    <n v="0.20300000000000001"/>
    <n v="0.21"/>
    <n v="0.21299999999999999"/>
    <n v="0.21299999999999999"/>
    <n v="0.28699999999999998"/>
    <n v="0.38700000000000001"/>
    <n v="0.34300000000000003"/>
    <n v="0.36099999999999999"/>
    <n v="0.39200000000000002"/>
    <n v="0.42799999999999999"/>
    <n v="0.36699999999999999"/>
    <n v="0.25600000000000001"/>
    <n v="0.27600000000000002"/>
    <n v="0.28999999999999998"/>
    <n v="0.42099999999999999"/>
    <n v="0.34"/>
    <n v="0.40500000000000003"/>
    <n v="0.35399999999999998"/>
    <n v="0.372"/>
    <n v="0.31900000000000001"/>
    <n v="0.41499999999999998"/>
    <n v="0.32700000000000001"/>
    <n v="0.40699999999999997"/>
    <n v="0.36199999999999999"/>
    <n v="0.315"/>
    <n v="0.23"/>
    <n v="0.23400000000000001"/>
    <n v="0.33"/>
    <n v="0.38300000000000001"/>
    <n v="0.56200000000000006"/>
    <n v="0.56799999999999995"/>
    <n v="0.55100000000000005"/>
    <n v="0.52"/>
    <n v="0.497"/>
    <n v="6.0829969999999998"/>
  </r>
  <r>
    <x v="0"/>
    <s v="PEST CONTROL"/>
    <s v="SC JOHNSON"/>
    <x v="1"/>
    <x v="2"/>
    <x v="3"/>
    <x v="0"/>
    <x v="0"/>
    <n v="250.09100000000001"/>
    <n v="76.569000000000003"/>
    <n v="80.572999999999993"/>
    <n v="167.95099999999999"/>
    <n v="99.971999999999994"/>
    <n v="164.24600000000001"/>
    <n v="247.19900000000001"/>
    <n v="108.595"/>
    <n v="96.588999999999999"/>
    <n v="19.199000000000002"/>
    <n v="10.945"/>
    <n v="10.945"/>
    <n v="10.239000000000001"/>
    <n v="95.620999999999995"/>
    <n v="56.524999999999999"/>
    <n v="90.739000000000004"/>
    <n v="401.017"/>
    <n v="112.033"/>
    <n v="103.39700000000001"/>
    <n v="132.12299999999999"/>
    <n v="358.536"/>
    <n v="118.607"/>
    <n v="140.46899999999999"/>
    <n v="97.947000000000003"/>
    <n v="392.99200000000002"/>
    <n v="223.96"/>
    <n v="573.91499999999996"/>
    <n v="309.58100000000002"/>
    <n v="205.96899999999999"/>
    <n v="448.08699999999999"/>
    <n v="408.26900000000001"/>
    <n v="204.33600000000001"/>
    <n v="307.28800000000001"/>
    <n v="116.934"/>
    <n v="81.141999999999996"/>
    <n v="40.448"/>
    <n v="90.281999999999996"/>
    <n v="90.281999999999996"/>
  </r>
  <r>
    <x v="0"/>
    <s v="PEST CONTROL"/>
    <s v="SC JOHNSON"/>
    <x v="1"/>
    <x v="2"/>
    <x v="3"/>
    <x v="0"/>
    <x v="1"/>
    <n v="69826.941000000006"/>
    <n v="18791.48"/>
    <n v="22758.998"/>
    <n v="46421.919000000002"/>
    <n v="24531.687999999998"/>
    <n v="43352.347999999998"/>
    <n v="67124.046000000002"/>
    <n v="30136.401000000002"/>
    <n v="25017.249"/>
    <n v="3494.1280000000002"/>
    <n v="1991.933"/>
    <n v="1991.933"/>
    <n v="1978.845"/>
    <n v="26925.55"/>
    <n v="14784.261"/>
    <n v="24563.042000000001"/>
    <n v="109994.15"/>
    <n v="26255.88"/>
    <n v="28189.674999999999"/>
    <n v="32844.682000000001"/>
    <n v="108785.928"/>
    <n v="33656.159"/>
    <n v="37960.341999999997"/>
    <n v="28600.491999999998"/>
    <n v="106951.851"/>
    <n v="51362.493999999999"/>
    <n v="158814.326"/>
    <n v="78675.638000000006"/>
    <n v="49518.307999999997"/>
    <n v="122083.95600000001"/>
    <n v="111943.489"/>
    <n v="57509.540999999997"/>
    <n v="85202.388999999996"/>
    <n v="32694.86"/>
    <n v="22640.965"/>
    <n v="11446.758"/>
    <n v="27242.959999999999"/>
    <n v="27242.959999999999"/>
  </r>
  <r>
    <x v="0"/>
    <s v="PEST CONTROL"/>
    <s v="SC JOHNSON"/>
    <x v="1"/>
    <x v="2"/>
    <x v="3"/>
    <x v="0"/>
    <x v="2"/>
    <n v="0.42399999999999999"/>
    <n v="0.108"/>
    <n v="9.1999999999999998E-2"/>
    <n v="0.14299999999999999"/>
    <n v="7.4999999999999997E-2"/>
    <n v="0.115"/>
    <n v="0.18"/>
    <n v="0.1"/>
    <n v="0.111"/>
    <n v="3.1E-2"/>
    <n v="2.1000000000000001E-2"/>
    <n v="2.3E-2"/>
    <n v="2.1999999999999999E-2"/>
    <n v="0.17799999999999999"/>
    <n v="7.2999999999999995E-2"/>
    <n v="8.6999999999999994E-2"/>
    <n v="0.311"/>
    <n v="9.2999999999999999E-2"/>
    <n v="8.1000000000000003E-2"/>
    <n v="0.128"/>
    <n v="0.38500000000000001"/>
    <n v="0.158"/>
    <n v="0.21299999999999999"/>
    <n v="0.153"/>
    <n v="0.58499999999999996"/>
    <n v="0.29599999999999999"/>
    <n v="0.60699999999999998"/>
    <n v="0.26700000000000002"/>
    <n v="0.155"/>
    <n v="0.32600000000000001"/>
    <n v="0.248"/>
    <n v="0.14000000000000001"/>
    <n v="0.245"/>
    <n v="0.106"/>
    <n v="8.5999999999999993E-2"/>
    <n v="6.0999999999999999E-2"/>
    <n v="0.19900000000000001"/>
    <n v="2.7E-2"/>
  </r>
  <r>
    <x v="0"/>
    <s v="PEST CONTROL"/>
    <s v="SC JOHNSON"/>
    <x v="1"/>
    <x v="2"/>
    <x v="3"/>
    <x v="0"/>
    <x v="3"/>
    <n v="7.2990000000000004"/>
    <n v="5.4989999999999997"/>
    <n v="4.9180000000000001"/>
    <n v="3.7290000000000001"/>
    <n v="2.7839999999999998"/>
    <n v="3.8570000000000002"/>
    <n v="3.1150000000000002"/>
    <n v="3.4239999999999999"/>
    <n v="3.2509999999999999"/>
    <n v="1.7569999999999999"/>
    <n v="2.3980000000000001"/>
    <n v="3.78"/>
    <n v="3.2530000000000001"/>
    <n v="6.6479999999999997"/>
    <n v="4.4619999999999997"/>
    <n v="3.8460000000000001"/>
    <n v="4.9189999999999996"/>
    <n v="3.8580000000000001"/>
    <n v="7.3239999999999998"/>
    <n v="4.9580000000000002"/>
    <n v="6.3019999999999996"/>
    <n v="3.806"/>
    <n v="3.2149999999999999"/>
    <n v="3.9329999999999998"/>
    <n v="6.8259999999999996"/>
    <n v="8.9920000000000009"/>
    <n v="9.4320000000000004"/>
    <n v="7.8920000000000003"/>
    <n v="6.3979999999999997"/>
    <n v="4.6500000000000004"/>
    <n v="4.9290000000000003"/>
    <n v="5.7039999999999997"/>
    <n v="6.1440000000000001"/>
    <n v="5.0780000000000003"/>
    <n v="3.0920000000000001"/>
    <n v="1.8919999999999999"/>
    <n v="3.601"/>
    <n v="346.59300000000002"/>
  </r>
  <r>
    <x v="0"/>
    <s v="PEST CONTROL"/>
    <s v="SC JOHNSON"/>
    <x v="1"/>
    <x v="2"/>
    <x v="3"/>
    <x v="0"/>
    <x v="4"/>
    <n v="4.0273399999999997"/>
    <n v="3.5222576000000001"/>
    <n v="2.7862084999999999"/>
    <n v="2.7510311000000001"/>
    <n v="2.6972068999999999"/>
    <n v="2.5686990999999999"/>
    <n v="2.5687006000000001"/>
    <n v="2.8435218"/>
    <n v="3.0098265999999998"/>
    <n v="2.9500898000000002"/>
    <n v="2.9500907000000001"/>
    <n v="2.9899426"/>
    <n v="3.3452484"/>
    <n v="3.5975396000000002"/>
    <n v="3.9716038"/>
    <n v="3.6587141999999999"/>
    <n v="3.9600059000000001"/>
    <n v="4.3685359999999998"/>
    <n v="4.4378922999999997"/>
    <n v="4.1180484000000002"/>
    <n v="4.2393397000000004"/>
    <n v="3.9684485999999999"/>
    <n v="3.7419894"/>
    <n v="4.0461831999999998"/>
    <n v="4.9818638000000002"/>
    <n v="5.2996512999999998"/>
    <n v="4.4828539999999997"/>
    <n v="4.4828576"/>
    <n v="3.9054655999999999"/>
    <n v="3.5011700000000001"/>
    <n v="3.4831967000000001"/>
    <n v="2.8506781000000001"/>
    <n v="2.8974112000000001"/>
    <n v="2.7176003999999998"/>
    <n v="2.0589610999999999"/>
    <n v="1.6506208"/>
    <n v="2.6009413000000001"/>
    <n v="3.601"/>
  </r>
  <r>
    <x v="0"/>
    <s v="PEST CONTROL"/>
    <s v="SC JOHNSON"/>
    <x v="1"/>
    <x v="2"/>
    <x v="3"/>
    <x v="0"/>
    <x v="5"/>
    <n v="0.35699999999999998"/>
    <n v="0.29899999999999999"/>
    <n v="0.20300000000000001"/>
    <n v="0.122"/>
    <n v="0.112"/>
    <n v="0.153"/>
    <n v="0.186"/>
    <n v="0.17399999999999999"/>
    <n v="0.2"/>
    <n v="0.20300000000000001"/>
    <n v="0.19700000000000001"/>
    <n v="0.20100000000000001"/>
    <n v="0.23"/>
    <n v="0.16700000000000001"/>
    <n v="0.151"/>
    <n v="0.127"/>
    <n v="0.155"/>
    <n v="0.17"/>
    <n v="0.23899999999999999"/>
    <n v="0.215"/>
    <n v="0.246"/>
    <n v="0.22600000000000001"/>
    <n v="0.20399999999999999"/>
    <n v="0.23100000000000001"/>
    <n v="0.27500000000000002"/>
    <n v="0.38100000000000001"/>
    <n v="0.35599999999999998"/>
    <n v="0.28499999999999998"/>
    <n v="0.185"/>
    <n v="0.22600000000000001"/>
    <n v="0.251"/>
    <n v="0.17599999999999999"/>
    <n v="0.22600000000000001"/>
    <n v="0.19400000000000001"/>
    <n v="0.157"/>
    <n v="0.13400000000000001"/>
    <n v="0.18099999999999999"/>
    <n v="2.6009413000000001"/>
  </r>
  <r>
    <x v="0"/>
    <s v="PEST CONTROL"/>
    <s v="SC JOHNSON"/>
    <x v="1"/>
    <x v="3"/>
    <x v="2"/>
    <x v="0"/>
    <x v="0"/>
    <n v="377.89499999999998"/>
    <n v="652.21500000000003"/>
    <n v="949.93200000000002"/>
    <n v="1023.36"/>
    <n v="1069.127"/>
    <n v="1064.3810000000001"/>
    <n v="1167.24"/>
    <n v="1109.1859999999999"/>
    <n v="805.13099999999997"/>
    <n v="694.50800000000004"/>
    <n v="740.76199999999994"/>
    <n v="601.25800000000004"/>
    <n v="673.44100000000003"/>
    <n v="644.79"/>
    <n v="1056.896"/>
    <n v="2121.2339999999999"/>
    <n v="2268.9050000000002"/>
    <n v="1360.92"/>
    <n v="1174.7739999999999"/>
    <n v="609.61099999999999"/>
    <n v="726.22299999999996"/>
    <n v="733.91499999999996"/>
    <n v="703.92700000000002"/>
    <n v="761.64200000000005"/>
    <n v="767.274"/>
    <n v="957.08399999999995"/>
    <n v="1257.7360000000001"/>
    <n v="1091.028"/>
    <n v="1220.0719999999999"/>
    <n v="1704.7370000000001"/>
    <n v="1306.028"/>
    <n v="1277.633"/>
    <n v="832.42399999999998"/>
    <n v="666.22400000000005"/>
    <n v="442.19600000000003"/>
    <n v="201.78"/>
    <n v="187.28200000000001"/>
    <n v="187.28200000000001"/>
  </r>
  <r>
    <x v="0"/>
    <s v="PEST CONTROL"/>
    <s v="SC JOHNSON"/>
    <x v="1"/>
    <x v="3"/>
    <x v="2"/>
    <x v="0"/>
    <x v="1"/>
    <n v="39539.692999999999"/>
    <n v="73565.909"/>
    <n v="115446.37"/>
    <n v="127169.962"/>
    <n v="135217.01699999999"/>
    <n v="132215.671"/>
    <n v="149563.61900000001"/>
    <n v="143490.505"/>
    <n v="100387.433"/>
    <n v="89934.451000000001"/>
    <n v="96927.808000000005"/>
    <n v="71249.137000000002"/>
    <n v="85652.930999999997"/>
    <n v="86038.713000000003"/>
    <n v="137714.77499999999"/>
    <n v="282210.897"/>
    <n v="306611.23700000002"/>
    <n v="179428.31"/>
    <n v="148533.46900000001"/>
    <n v="84516.834000000003"/>
    <n v="100779.147"/>
    <n v="99417.877999999997"/>
    <n v="93317.073000000004"/>
    <n v="95832.639999999999"/>
    <n v="104753.32799999999"/>
    <n v="134472.766"/>
    <n v="183969.777"/>
    <n v="131998.24900000001"/>
    <n v="153356.20600000001"/>
    <n v="235234.40400000001"/>
    <n v="151149.45800000001"/>
    <n v="176805.598"/>
    <n v="103969.508"/>
    <n v="83937.956999999995"/>
    <n v="59635.92"/>
    <n v="28784.683000000001"/>
    <n v="26704.886999999999"/>
    <n v="26704.886999999999"/>
  </r>
  <r>
    <x v="0"/>
    <s v="PEST CONTROL"/>
    <s v="SC JOHNSON"/>
    <x v="1"/>
    <x v="3"/>
    <x v="2"/>
    <x v="0"/>
    <x v="2"/>
    <n v="0.53600000000000003"/>
    <n v="0.74099999999999999"/>
    <n v="0.86"/>
    <n v="0.69"/>
    <n v="0.63500000000000001"/>
    <n v="0.58699999999999997"/>
    <n v="0.67"/>
    <n v="0.78800000000000003"/>
    <n v="0.73399999999999999"/>
    <n v="0.878"/>
    <n v="1.119"/>
    <n v="1.0660000000000001"/>
    <n v="1.1599999999999999"/>
    <n v="0.92100000000000004"/>
    <n v="1.0609999999999999"/>
    <n v="1.5860000000000001"/>
    <n v="1.379"/>
    <n v="0.88800000000000001"/>
    <n v="0.73199999999999998"/>
    <n v="0.45500000000000002"/>
    <n v="0.6"/>
    <n v="0.751"/>
    <n v="0.82199999999999995"/>
    <n v="0.91300000000000003"/>
    <n v="0.879"/>
    <n v="0.97199999999999998"/>
    <n v="1.0229999999999999"/>
    <n v="0.72399999999999998"/>
    <n v="0.70599999999999996"/>
    <n v="0.95499999999999996"/>
    <n v="0.61099999999999999"/>
    <n v="0.67400000000000004"/>
    <n v="0.51"/>
    <n v="0.46400000000000002"/>
    <n v="0.36099999999999999"/>
    <n v="0.23400000000000001"/>
    <n v="0.317"/>
    <n v="5.5E-2"/>
  </r>
  <r>
    <x v="0"/>
    <s v="PEST CONTROL"/>
    <s v="SC JOHNSON"/>
    <x v="1"/>
    <x v="3"/>
    <x v="2"/>
    <x v="0"/>
    <x v="3"/>
    <n v="10.151"/>
    <n v="10.426"/>
    <n v="12.013999999999999"/>
    <n v="14.34"/>
    <n v="10.491"/>
    <n v="11.35"/>
    <n v="13.622999999999999"/>
    <n v="11.426"/>
    <n v="14.159000000000001"/>
    <n v="16.751000000000001"/>
    <n v="14.593999999999999"/>
    <n v="12.718"/>
    <n v="15.654"/>
    <n v="16.224"/>
    <n v="18.097999999999999"/>
    <n v="17.853000000000002"/>
    <n v="15.981"/>
    <n v="10.731999999999999"/>
    <n v="11.568"/>
    <n v="6.3479999999999999"/>
    <n v="9.0619999999999994"/>
    <n v="8.2119999999999997"/>
    <n v="10.09"/>
    <n v="11.705"/>
    <n v="12.04"/>
    <n v="8.1020000000000003"/>
    <n v="7.2610000000000001"/>
    <n v="7.5830000000000002"/>
    <n v="7.89"/>
    <n v="8.0809999999999995"/>
    <n v="7.0780000000000003"/>
    <n v="7.4269999999999996"/>
    <n v="7.63"/>
    <n v="6.96"/>
    <n v="4.1390000000000002"/>
    <n v="3.2650000000000001"/>
    <n v="4.7329999999999997"/>
    <n v="664.30799999999999"/>
  </r>
  <r>
    <x v="0"/>
    <s v="PEST CONTROL"/>
    <s v="SC JOHNSON"/>
    <x v="1"/>
    <x v="3"/>
    <x v="2"/>
    <x v="0"/>
    <x v="4"/>
    <n v="3.7171425"/>
    <n v="4.4496925999999997"/>
    <n v="5.4918155000000004"/>
    <n v="5.9755948999999999"/>
    <n v="5.4258037999999997"/>
    <n v="4.6567530000000001"/>
    <n v="4.9655258"/>
    <n v="4.2794682999999996"/>
    <n v="4.9325421"/>
    <n v="4.8893548999999998"/>
    <n v="4.6589418"/>
    <n v="5.1364808999999996"/>
    <n v="5.4385165999999998"/>
    <n v="6.0875415999999998"/>
    <n v="5.9575316999999997"/>
    <n v="5.3886932999999999"/>
    <n v="6.0487850999999999"/>
    <n v="5.0762571999999997"/>
    <n v="5.5477832999999999"/>
    <n v="4.8149154999999997"/>
    <n v="4.6388924999999999"/>
    <n v="6.2281803"/>
    <n v="6.6983351000000004"/>
    <n v="7.0369716999999996"/>
    <n v="7.0055312000000001"/>
    <n v="6.5058050999999999"/>
    <n v="6.8314215000000003"/>
    <n v="6.8714466999999999"/>
    <n v="6.5339162999999996"/>
    <n v="5.7210970999999997"/>
    <n v="4.2583396999999996"/>
    <n v="3.9198089"/>
    <n v="3.0448149999999998"/>
    <n v="2.8848837999999999"/>
    <n v="2.4470534000000002"/>
    <n v="2.5083891"/>
    <n v="3.0334414000000001"/>
    <n v="4.7329999999999997"/>
  </r>
  <r>
    <x v="0"/>
    <s v="PEST CONTROL"/>
    <s v="SC JOHNSON"/>
    <x v="1"/>
    <x v="3"/>
    <x v="2"/>
    <x v="0"/>
    <x v="5"/>
    <n v="0.371"/>
    <n v="0.24199999999999999"/>
    <n v="0.88"/>
    <n v="0.81"/>
    <n v="0.68600000000000005"/>
    <n v="0.745"/>
    <n v="0.72599999999999998"/>
    <n v="0.69299999999999995"/>
    <n v="0.81"/>
    <n v="0.97299999999999998"/>
    <n v="0.76200000000000001"/>
    <n v="0.76100000000000001"/>
    <n v="1.0049999999999999"/>
    <n v="1.056"/>
    <n v="0.64600000000000002"/>
    <n v="0.93200000000000005"/>
    <n v="1.125"/>
    <n v="0.81499999999999995"/>
    <n v="0.61499999999999999"/>
    <n v="0.65"/>
    <n v="0.68100000000000005"/>
    <n v="0.82"/>
    <n v="0.84599999999999997"/>
    <n v="1.0720000000000001"/>
    <n v="0.94199999999999995"/>
    <n v="0.94399999999999995"/>
    <n v="0.91"/>
    <n v="0.66"/>
    <n v="0.65200000000000002"/>
    <n v="0.41499999999999998"/>
    <n v="0.37"/>
    <n v="0.36699999999999999"/>
    <n v="0.41799999999999998"/>
    <n v="0.312"/>
    <n v="0.153"/>
    <n v="0.16500000000000001"/>
    <n v="0.34799999999999998"/>
    <n v="3.0334414000000001"/>
  </r>
  <r>
    <x v="0"/>
    <s v="PEST CONTROL"/>
    <s v="SC JOHNSON"/>
    <x v="1"/>
    <x v="4"/>
    <x v="2"/>
    <x v="0"/>
    <x v="0"/>
    <n v="441.839"/>
    <n v="415.07400000000001"/>
    <n v="662.66200000000003"/>
    <n v="818.23"/>
    <n v="581.90599999999995"/>
    <n v="519.06600000000003"/>
    <n v="363.69099999999997"/>
    <n v="417.55599999999998"/>
    <n v="152.535"/>
    <n v="0"/>
    <n v="0"/>
    <n v="0"/>
    <n v="0"/>
    <n v="129.33699999999999"/>
    <n v="604.39700000000005"/>
    <n v="408.14"/>
    <n v="243.172"/>
    <n v="385.58800000000002"/>
    <n v="182.03299999999999"/>
    <n v="100.622"/>
    <n v="304.05200000000002"/>
    <n v="89.149000000000001"/>
    <n v="453.77699999999999"/>
    <n v="548.13300000000004"/>
    <n v="150.56100000000001"/>
    <n v="132.48400000000001"/>
    <n v="232.636"/>
    <n v="1121.2349999999999"/>
    <n v="1557.1"/>
    <n v="1737.6179999999999"/>
    <n v="1655.71"/>
    <n v="1408.8520000000001"/>
    <n v="1209.039"/>
    <n v="977.87300000000005"/>
    <n v="1408.3610000000001"/>
    <n v="787.46100000000001"/>
    <n v="730.29399999999998"/>
    <n v="730.29399999999998"/>
  </r>
  <r>
    <x v="0"/>
    <s v="PEST CONTROL"/>
    <s v="SC JOHNSON"/>
    <x v="1"/>
    <x v="4"/>
    <x v="2"/>
    <x v="0"/>
    <x v="1"/>
    <n v="56035.398999999998"/>
    <n v="48082.101999999999"/>
    <n v="69409.171000000002"/>
    <n v="83620.717999999993"/>
    <n v="75939.687999999995"/>
    <n v="68519.149999999994"/>
    <n v="42608.114000000001"/>
    <n v="49405.41"/>
    <n v="18800.09"/>
    <n v="0"/>
    <n v="0"/>
    <n v="0"/>
    <n v="0"/>
    <n v="15003.047"/>
    <n v="80654.7"/>
    <n v="55711.826000000001"/>
    <n v="27639.206999999999"/>
    <n v="47186.945"/>
    <n v="23008.476999999999"/>
    <n v="11068.401"/>
    <n v="40592.269"/>
    <n v="10175.712"/>
    <n v="65384.19"/>
    <n v="76152.679999999993"/>
    <n v="19362.588"/>
    <n v="19306.061000000002"/>
    <n v="33522.593000000001"/>
    <n v="159861.91399999999"/>
    <n v="239960.38500000001"/>
    <n v="265219.90999999997"/>
    <n v="265384.163"/>
    <n v="231838.052"/>
    <n v="215850.72899999999"/>
    <n v="165962.573"/>
    <n v="247966.375"/>
    <n v="133744.13399999999"/>
    <n v="123860.823"/>
    <n v="123860.823"/>
  </r>
  <r>
    <x v="0"/>
    <s v="PEST CONTROL"/>
    <s v="SC JOHNSON"/>
    <x v="1"/>
    <x v="4"/>
    <x v="2"/>
    <x v="0"/>
    <x v="2"/>
    <n v="0.57599999999999996"/>
    <n v="0.45100000000000001"/>
    <n v="0.58199999999999996"/>
    <n v="0.53700000000000003"/>
    <n v="0.33700000000000002"/>
    <n v="0.27900000000000003"/>
    <n v="0.20399999999999999"/>
    <n v="0.29699999999999999"/>
    <n v="0.13500000000000001"/>
    <n v="0"/>
    <n v="0"/>
    <n v="0"/>
    <n v="0"/>
    <n v="0.185"/>
    <n v="0.68899999999999995"/>
    <n v="0.35099999999999998"/>
    <n v="0.14499999999999999"/>
    <n v="0.26200000000000001"/>
    <n v="0.121"/>
    <n v="7.4999999999999997E-2"/>
    <n v="0.251"/>
    <n v="9.0999999999999998E-2"/>
    <n v="0.53"/>
    <n v="0.65700000000000003"/>
    <n v="0.17199999999999999"/>
    <n v="0.13500000000000001"/>
    <n v="0.189"/>
    <n v="0.74399999999999999"/>
    <n v="0.90100000000000002"/>
    <n v="0.97299999999999998"/>
    <n v="0.77400000000000002"/>
    <n v="0.74299999999999999"/>
    <n v="0.74099999999999999"/>
    <n v="0.68100000000000005"/>
    <n v="1.151"/>
    <n v="0.91300000000000003"/>
    <n v="1.238"/>
    <n v="0.215"/>
  </r>
  <r>
    <x v="0"/>
    <s v="PEST CONTROL"/>
    <s v="SC JOHNSON"/>
    <x v="1"/>
    <x v="4"/>
    <x v="2"/>
    <x v="0"/>
    <x v="3"/>
    <n v="8.702"/>
    <n v="6.7190000000000003"/>
    <n v="5.6"/>
    <n v="6.3380000000000001"/>
    <n v="4.5999999999999996"/>
    <n v="4.7220000000000004"/>
    <n v="3.661"/>
    <n v="5.5949999999999998"/>
    <n v="5.9210000000000003"/>
    <n v="7.7130000000000001"/>
    <n v="7.6680000000000001"/>
    <n v="7.2809999999999997"/>
    <n v="6.968"/>
    <n v="7.5839999999999996"/>
    <n v="7.8710000000000004"/>
    <n v="5.6929999999999996"/>
    <n v="4.6159999999999997"/>
    <n v="4.8159999999999998"/>
    <n v="2.6949999999999998"/>
    <n v="0.77200000000000002"/>
    <n v="1.589"/>
    <n v="0.40300000000000002"/>
    <n v="1.9590000000000001"/>
    <n v="2.319"/>
    <n v="1.2929999999999999"/>
    <n v="1.474"/>
    <n v="1.2969999999999999"/>
    <n v="4.0940000000000003"/>
    <n v="6.7610000000000001"/>
    <n v="8.32"/>
    <n v="10.268000000000001"/>
    <n v="9.3019999999999996"/>
    <n v="8.4689999999999994"/>
    <n v="8.59"/>
    <n v="10.318"/>
    <n v="7.9669999999999996"/>
    <n v="14.252000000000001"/>
    <n v="839.09100000000001"/>
  </r>
  <r>
    <x v="0"/>
    <s v="PEST CONTROL"/>
    <s v="SC JOHNSON"/>
    <x v="1"/>
    <x v="4"/>
    <x v="2"/>
    <x v="0"/>
    <x v="4"/>
    <n v="3.0412005999999998"/>
    <n v="2.3780329999999998"/>
    <n v="2.7691102999999999"/>
    <n v="2.6995070000000001"/>
    <n v="1.0595832000000001"/>
    <n v="1.0407222"/>
    <n v="1.1616166999999999"/>
    <n v="1.2359171"/>
    <n v="1.236189"/>
    <n v="0.31789830000000002"/>
    <n v="0.31789840000000003"/>
    <n v="0.2914139"/>
    <n v="0.2914139"/>
    <n v="0.2914138"/>
    <n v="0.79713639999999997"/>
    <n v="1.1306361"/>
    <n v="1.6026989"/>
    <n v="1.6026959999999999"/>
    <n v="1.0854033999999999"/>
    <n v="0.92263870000000003"/>
    <n v="1.7005598"/>
    <n v="1.7005576"/>
    <n v="2.2954883000000001"/>
    <n v="2.2678652000000001"/>
    <n v="2.4092463"/>
    <n v="2.4092443000000001"/>
    <n v="2.2840525"/>
    <n v="3.3129537999999998"/>
    <n v="4.4395973"/>
    <n v="6.5856399000000003"/>
    <n v="7.1733536999999998"/>
    <n v="6.8858791999999998"/>
    <n v="5.8455786999999999"/>
    <n v="4.9931321999999998"/>
    <n v="5.0951694999999999"/>
    <n v="5.1133806000000002"/>
    <n v="5.4475261000000001"/>
    <n v="14.252000000000001"/>
  </r>
  <r>
    <x v="0"/>
    <s v="PEST CONTROL"/>
    <s v="SC JOHNSON"/>
    <x v="1"/>
    <x v="4"/>
    <x v="2"/>
    <x v="0"/>
    <x v="5"/>
    <n v="0.52900000000000003"/>
    <n v="0.45800000000000002"/>
    <n v="0.503"/>
    <n v="0.14899999999999999"/>
    <n v="0.151"/>
    <n v="5.5E-2"/>
    <n v="9.6000000000000002E-2"/>
    <n v="9.1999999999999998E-2"/>
    <n v="7.0000000000000007E-2"/>
    <n v="7.1999999999999995E-2"/>
    <n v="7.1999999999999995E-2"/>
    <n v="7.0999999999999994E-2"/>
    <n v="7.3999999999999996E-2"/>
    <n v="0"/>
    <n v="0.105"/>
    <n v="0.12"/>
    <n v="0.121"/>
    <n v="5.7000000000000002E-2"/>
    <n v="2.5000000000000001E-2"/>
    <n v="0.14499999999999999"/>
    <n v="0.434"/>
    <n v="0.44"/>
    <n v="0.38300000000000001"/>
    <n v="0.107"/>
    <n v="0.34"/>
    <n v="0.27800000000000002"/>
    <n v="0.32900000000000001"/>
    <n v="0.32600000000000001"/>
    <n v="0.38800000000000001"/>
    <n v="0.66800000000000004"/>
    <n v="0.41099999999999998"/>
    <n v="0.40799999999999997"/>
    <n v="0.36499999999999999"/>
    <n v="0.71199999999999997"/>
    <n v="0.40100000000000002"/>
    <n v="0.36299999999999999"/>
    <n v="0.439"/>
    <n v="5.4475261000000001"/>
  </r>
  <r>
    <x v="0"/>
    <s v="PEST CONTROL"/>
    <s v="SC JOHNSON"/>
    <x v="1"/>
    <x v="4"/>
    <x v="3"/>
    <x v="0"/>
    <x v="0"/>
    <n v="78.343999999999994"/>
    <n v="116.367"/>
    <n v="28.771999999999998"/>
    <n v="0"/>
    <n v="93.775000000000006"/>
    <n v="83.656000000000006"/>
    <n v="111.837"/>
    <n v="142.41"/>
    <n v="151.20699999999999"/>
    <n v="36.950000000000003"/>
    <n v="0"/>
    <n v="0"/>
    <n v="0"/>
    <n v="95.480999999999995"/>
    <n v="275.94200000000001"/>
    <n v="347.08600000000001"/>
    <n v="224.18199999999999"/>
    <n v="251.376"/>
    <n v="447.38499999999999"/>
    <n v="0"/>
    <n v="386.30399999999997"/>
    <n v="137.755"/>
    <n v="213.26300000000001"/>
    <n v="161.084"/>
    <n v="484.45499999999998"/>
    <n v="170.143"/>
    <n v="137.27199999999999"/>
    <n v="144.596"/>
    <n v="481.142"/>
    <n v="279.625"/>
    <n v="522.34500000000003"/>
    <n v="624.24"/>
    <n v="510.16500000000002"/>
    <n v="495.185"/>
    <n v="569.10199999999998"/>
    <n v="216.61"/>
    <n v="124.85599999999999"/>
    <n v="124.85599999999999"/>
  </r>
  <r>
    <x v="0"/>
    <s v="PEST CONTROL"/>
    <s v="SC JOHNSON"/>
    <x v="1"/>
    <x v="4"/>
    <x v="3"/>
    <x v="0"/>
    <x v="1"/>
    <n v="14909.736000000001"/>
    <n v="27731.811000000002"/>
    <n v="6761.518"/>
    <n v="0"/>
    <n v="22821.215"/>
    <n v="20858.393"/>
    <n v="24380.482"/>
    <n v="34678.207999999999"/>
    <n v="35614.934000000001"/>
    <n v="8424.5310000000009"/>
    <n v="0"/>
    <n v="0"/>
    <n v="0"/>
    <n v="23953.151000000002"/>
    <n v="68252.797000000006"/>
    <n v="81673.418999999994"/>
    <n v="48410.438000000002"/>
    <n v="56672.107000000004"/>
    <n v="103631.099"/>
    <n v="0"/>
    <n v="94778.67"/>
    <n v="35477.368000000002"/>
    <n v="45548.218000000001"/>
    <n v="39257.731"/>
    <n v="103308.075"/>
    <n v="35874.680999999997"/>
    <n v="32321.879000000001"/>
    <n v="33310.894"/>
    <n v="109993.19899999999"/>
    <n v="72793.695000000007"/>
    <n v="132301.76800000001"/>
    <n v="163731.889"/>
    <n v="132298.80300000001"/>
    <n v="125494.829"/>
    <n v="134936.32500000001"/>
    <n v="50235.48"/>
    <n v="33826.053999999996"/>
    <n v="33826.053999999996"/>
  </r>
  <r>
    <x v="0"/>
    <s v="PEST CONTROL"/>
    <s v="SC JOHNSON"/>
    <x v="1"/>
    <x v="4"/>
    <x v="3"/>
    <x v="0"/>
    <x v="2"/>
    <n v="0.123"/>
    <n v="0.152"/>
    <n v="0.03"/>
    <n v="0"/>
    <n v="6.5000000000000002E-2"/>
    <n v="5.3999999999999999E-2"/>
    <n v="7.4999999999999997E-2"/>
    <n v="0.121"/>
    <n v="0.161"/>
    <n v="5.5E-2"/>
    <n v="0"/>
    <n v="0"/>
    <n v="0"/>
    <n v="0.16400000000000001"/>
    <n v="0.32900000000000001"/>
    <n v="0.30599999999999999"/>
    <n v="0.161"/>
    <n v="0.192"/>
    <n v="0.32200000000000001"/>
    <n v="0"/>
    <n v="0.38300000000000001"/>
    <n v="0.16900000000000001"/>
    <n v="0.29899999999999999"/>
    <n v="0.23200000000000001"/>
    <n v="0.66600000000000004"/>
    <n v="0.20699999999999999"/>
    <n v="0.13400000000000001"/>
    <n v="0.115"/>
    <n v="0.33600000000000002"/>
    <n v="0.189"/>
    <n v="0.29499999999999998"/>
    <n v="0.39600000000000002"/>
    <n v="0.378"/>
    <n v="0.42"/>
    <n v="0.56200000000000006"/>
    <n v="0.30299999999999999"/>
    <n v="0.26100000000000001"/>
    <n v="3.6999999999999998E-2"/>
  </r>
  <r>
    <x v="0"/>
    <s v="PEST CONTROL"/>
    <s v="SC JOHNSON"/>
    <x v="1"/>
    <x v="4"/>
    <x v="3"/>
    <x v="0"/>
    <x v="3"/>
    <n v="3.738"/>
    <n v="3.242"/>
    <n v="1.8620000000000001"/>
    <n v="1.109"/>
    <n v="1.6120000000000001"/>
    <n v="2.0649999999999999"/>
    <n v="3.089"/>
    <n v="3.83"/>
    <n v="1.5149999999999999"/>
    <n v="1.92"/>
    <n v="0.59899999999999998"/>
    <n v="1.61"/>
    <n v="1.403"/>
    <n v="5.9790000000000001"/>
    <n v="4.7759999999999998"/>
    <n v="5.7670000000000003"/>
    <n v="5.5890000000000004"/>
    <n v="4.2939999999999996"/>
    <n v="7.2359999999999998"/>
    <n v="3.0510000000000002"/>
    <n v="7.5449999999999999"/>
    <n v="5.04"/>
    <n v="5.2789999999999999"/>
    <n v="8.7970000000000006"/>
    <n v="10.246"/>
    <n v="7.3239999999999998"/>
    <n v="8.3040000000000003"/>
    <n v="7.0590000000000002"/>
    <n v="8.9990000000000006"/>
    <n v="6.9669999999999996"/>
    <n v="10.08"/>
    <n v="9.81"/>
    <n v="8.5739999999999998"/>
    <n v="9.8919999999999995"/>
    <n v="6.798"/>
    <n v="6.4850000000000003"/>
    <n v="6.234"/>
    <n v="990.79700000000003"/>
  </r>
  <r>
    <x v="0"/>
    <s v="PEST CONTROL"/>
    <s v="SC JOHNSON"/>
    <x v="1"/>
    <x v="4"/>
    <x v="3"/>
    <x v="0"/>
    <x v="4"/>
    <n v="2.1671406000000002"/>
    <n v="1.4648979"/>
    <n v="1.4648977000000001"/>
    <n v="1.5031766"/>
    <n v="1.5583597"/>
    <n v="1.3534774999999999"/>
    <n v="1.9604037999999999"/>
    <n v="1.9604010999999999"/>
    <n v="1.3308278"/>
    <n v="1.3427108000000001"/>
    <n v="1.3427112000000001"/>
    <n v="1.3427089000000001"/>
    <n v="1.3427089000000001"/>
    <n v="2.2517274"/>
    <n v="2.7001257999999999"/>
    <n v="2.7425556000000002"/>
    <n v="3.4023732"/>
    <n v="4.2032425"/>
    <n v="4.0774543999999997"/>
    <n v="2.7127319999999999"/>
    <n v="3.6988712000000001"/>
    <n v="2.5949756000000002"/>
    <n v="2.3438167999999999"/>
    <n v="3.4153432000000001"/>
    <n v="3.845167"/>
    <n v="3.7209075999999999"/>
    <n v="2.9498489999999999"/>
    <n v="2.5600559000000001"/>
    <n v="3.2700412000000001"/>
    <n v="2.7204169"/>
    <n v="4.6180289999999999"/>
    <n v="4.6189077999999997"/>
    <n v="4.8430755999999997"/>
    <n v="4.0360388"/>
    <n v="3.8378428000000002"/>
    <n v="3.5834815"/>
    <n v="3.6533817000000002"/>
    <n v="6.234"/>
  </r>
  <r>
    <x v="0"/>
    <s v="PEST CONTROL"/>
    <s v="SC JOHNSON"/>
    <x v="1"/>
    <x v="4"/>
    <x v="3"/>
    <x v="0"/>
    <x v="5"/>
    <n v="6.3E-2"/>
    <n v="5.7000000000000002E-2"/>
    <n v="3.5000000000000003E-2"/>
    <n v="4.9000000000000002E-2"/>
    <n v="9.0999999999999998E-2"/>
    <n v="6.0999999999999999E-2"/>
    <n v="0.113"/>
    <n v="8.5999999999999993E-2"/>
    <n v="0.23899999999999999"/>
    <n v="0.22500000000000001"/>
    <n v="0.22500000000000001"/>
    <n v="0.22900000000000001"/>
    <n v="0.23499999999999999"/>
    <n v="0.32300000000000001"/>
    <n v="0.28399999999999997"/>
    <n v="0.125"/>
    <n v="0.218"/>
    <n v="0.23"/>
    <n v="0.191"/>
    <n v="0.20799999999999999"/>
    <n v="0.30499999999999999"/>
    <n v="0.25800000000000001"/>
    <n v="0.20899999999999999"/>
    <n v="0.29199999999999998"/>
    <n v="0.33500000000000002"/>
    <n v="0.29299999999999998"/>
    <n v="0.24399999999999999"/>
    <n v="0.21299999999999999"/>
    <n v="0.112"/>
    <n v="0.219"/>
    <n v="0.372"/>
    <n v="0.28999999999999998"/>
    <n v="0.31"/>
    <n v="0.36899999999999999"/>
    <n v="0.36399999999999999"/>
    <n v="0.438"/>
    <n v="0.51900000000000002"/>
    <n v="3.6533817000000002"/>
  </r>
  <r>
    <x v="0"/>
    <s v="PEST CONTROL"/>
    <s v="SC JOHNSON"/>
    <x v="2"/>
    <x v="0"/>
    <x v="2"/>
    <x v="0"/>
    <x v="0"/>
    <n v="3822.1619999999998"/>
    <n v="5218.3230000000003"/>
    <n v="8228.3989999999994"/>
    <n v="13564.947"/>
    <n v="14790.806"/>
    <n v="17029.899000000001"/>
    <n v="14424.085999999999"/>
    <n v="11166.009"/>
    <n v="8542.8050000000003"/>
    <n v="5423.3630000000003"/>
    <n v="4812.9669999999996"/>
    <n v="5083.8590000000004"/>
    <n v="4127.0060000000003"/>
    <n v="5216.183"/>
    <n v="7998.4470000000001"/>
    <n v="10368.778"/>
    <n v="12929.462"/>
    <n v="14565.553"/>
    <n v="13781.65"/>
    <n v="10210.958000000001"/>
    <n v="8138.5609999999997"/>
    <n v="6843.2849999999999"/>
    <n v="5093.7179999999998"/>
    <n v="4892.0389999999998"/>
    <n v="4026.444"/>
    <n v="5354.26"/>
    <n v="5856.6570000000002"/>
    <n v="9607.2540000000008"/>
    <n v="9668.8709999999992"/>
    <n v="11344.326999999999"/>
    <n v="14307.499"/>
    <n v="13921.644"/>
    <n v="9953.0990000000002"/>
    <n v="8114.53"/>
    <n v="6676.2380000000003"/>
    <n v="4919.9979999999996"/>
    <n v="4194.5690000000004"/>
    <n v="4194.5690000000004"/>
  </r>
  <r>
    <x v="0"/>
    <s v="PEST CONTROL"/>
    <s v="SC JOHNSON"/>
    <x v="2"/>
    <x v="0"/>
    <x v="2"/>
    <x v="0"/>
    <x v="1"/>
    <n v="346530.27799999999"/>
    <n v="466952.99"/>
    <n v="719841.01599999995"/>
    <n v="1200456.7709999999"/>
    <n v="1332276.176"/>
    <n v="1546519.8910000001"/>
    <n v="1310738.459"/>
    <n v="1033095.5330000001"/>
    <n v="777538.83400000003"/>
    <n v="505682.17300000001"/>
    <n v="439690.56"/>
    <n v="484182.27799999999"/>
    <n v="396517.73"/>
    <n v="513857.35700000002"/>
    <n v="777254.66099999996"/>
    <n v="1008199.322"/>
    <n v="1255941.6200000001"/>
    <n v="1433311.5519999999"/>
    <n v="1383904.9839999999"/>
    <n v="1036196.199"/>
    <n v="843477.66799999995"/>
    <n v="725183.28500000003"/>
    <n v="531008.326"/>
    <n v="515454.40100000001"/>
    <n v="416837.71299999999"/>
    <n v="567619.12"/>
    <n v="635045.93000000005"/>
    <n v="1024922.233"/>
    <n v="1065647.7309999999"/>
    <n v="1249249.77"/>
    <n v="1553181.3019999999"/>
    <n v="1547936.1710000001"/>
    <n v="1104281.3600000001"/>
    <n v="958262.23699999996"/>
    <n v="753083.79700000002"/>
    <n v="556594.90300000005"/>
    <n v="494119.14199999999"/>
    <n v="494119.14199999999"/>
  </r>
  <r>
    <x v="0"/>
    <s v="PEST CONTROL"/>
    <s v="SC JOHNSON"/>
    <x v="2"/>
    <x v="0"/>
    <x v="2"/>
    <x v="0"/>
    <x v="2"/>
    <n v="5.1929999999999996"/>
    <n v="5.8739999999999997"/>
    <n v="7.39"/>
    <n v="9.1039999999999992"/>
    <n v="8.7230000000000008"/>
    <n v="9.3569999999999993"/>
    <n v="8.3089999999999993"/>
    <n v="8.1389999999999993"/>
    <n v="7.7450000000000001"/>
    <n v="6.8949999999999996"/>
    <n v="7.2560000000000002"/>
    <n v="8.4220000000000006"/>
    <n v="6.9160000000000004"/>
    <n v="7.5860000000000003"/>
    <n v="8.0869999999999997"/>
    <n v="7.806"/>
    <n v="7.9050000000000002"/>
    <n v="9.4860000000000007"/>
    <n v="8.3640000000000008"/>
    <n v="7.718"/>
    <n v="6.8150000000000004"/>
    <n v="7.1420000000000003"/>
    <n v="6.0330000000000004"/>
    <n v="5.9359999999999999"/>
    <n v="4.7050000000000001"/>
    <n v="5.5270000000000001"/>
    <n v="4.8570000000000002"/>
    <n v="6.49"/>
    <n v="5.7080000000000002"/>
    <n v="6.3769999999999998"/>
    <n v="6.718"/>
    <n v="7.3929999999999998"/>
    <n v="6.1719999999999997"/>
    <n v="5.7549999999999999"/>
    <n v="5.577"/>
    <n v="5.8419999999999996"/>
    <n v="7.2439999999999998"/>
    <n v="1.236"/>
  </r>
  <r>
    <x v="0"/>
    <s v="PEST CONTROL"/>
    <s v="SC JOHNSON"/>
    <x v="2"/>
    <x v="0"/>
    <x v="2"/>
    <x v="0"/>
    <x v="3"/>
    <n v="45.304000000000002"/>
    <n v="47.372999999999998"/>
    <n v="53.302"/>
    <n v="57.356000000000002"/>
    <n v="55.551000000000002"/>
    <n v="60.2"/>
    <n v="53.906999999999996"/>
    <n v="52.826000000000001"/>
    <n v="50.24"/>
    <n v="42.878999999999998"/>
    <n v="46.712000000000003"/>
    <n v="49.12"/>
    <n v="46.259"/>
    <n v="48.537999999999997"/>
    <n v="55.119"/>
    <n v="56.247999999999998"/>
    <n v="54.281999999999996"/>
    <n v="58.423999999999999"/>
    <n v="59.993000000000002"/>
    <n v="53.749000000000002"/>
    <n v="52.607999999999997"/>
    <n v="48.289000000000001"/>
    <n v="51.35"/>
    <n v="53.256999999999998"/>
    <n v="52.192"/>
    <n v="46.292999999999999"/>
    <n v="48.24"/>
    <n v="51.500999999999998"/>
    <n v="52.735999999999997"/>
    <n v="53.886000000000003"/>
    <n v="55.256999999999998"/>
    <n v="50.220999999999997"/>
    <n v="42.232999999999997"/>
    <n v="44.369"/>
    <n v="40.383000000000003"/>
    <n v="36.473999999999997"/>
    <n v="39.213999999999999"/>
    <n v="7595.951"/>
  </r>
  <r>
    <x v="0"/>
    <s v="PEST CONTROL"/>
    <s v="SC JOHNSON"/>
    <x v="2"/>
    <x v="0"/>
    <x v="2"/>
    <x v="0"/>
    <x v="4"/>
    <n v="27.507850000000001"/>
    <n v="28.870373099999998"/>
    <n v="31.476992899999999"/>
    <n v="31.4573672"/>
    <n v="33.675548200000001"/>
    <n v="36.059863499999999"/>
    <n v="33.626934499999997"/>
    <n v="29.963834500000001"/>
    <n v="26.3613705"/>
    <n v="26.332930399999999"/>
    <n v="24.701221400000001"/>
    <n v="25.487423199999999"/>
    <n v="26.0227149"/>
    <n v="27.396895099999998"/>
    <n v="29.3397705"/>
    <n v="30.162758100000001"/>
    <n v="29.886313300000001"/>
    <n v="31.4891647"/>
    <n v="33.746938800000002"/>
    <n v="30.5383225"/>
    <n v="28.919864100000002"/>
    <n v="26.599398300000001"/>
    <n v="26.4961953"/>
    <n v="27.165381400000001"/>
    <n v="26.830141999999999"/>
    <n v="26.7999467"/>
    <n v="27.622055199999998"/>
    <n v="30.232515800000002"/>
    <n v="29.627714999999998"/>
    <n v="31.385929000000001"/>
    <n v="32.506159799999999"/>
    <n v="28.479767500000001"/>
    <n v="25.2543589"/>
    <n v="24.179489400000001"/>
    <n v="23.636172999999999"/>
    <n v="22.324948800000001"/>
    <n v="22.584737400000002"/>
    <n v="39.213999999999999"/>
  </r>
  <r>
    <x v="0"/>
    <s v="PEST CONTROL"/>
    <s v="SC JOHNSON"/>
    <x v="2"/>
    <x v="0"/>
    <x v="2"/>
    <x v="0"/>
    <x v="5"/>
    <n v="4.8520000000000003"/>
    <n v="5.3869999999999996"/>
    <n v="6.2380000000000004"/>
    <n v="5.3449999999999998"/>
    <n v="5.1970000000000001"/>
    <n v="5.7060000000000004"/>
    <n v="4.2370000000000001"/>
    <n v="4.9349999999999996"/>
    <n v="4.4710000000000001"/>
    <n v="5.335"/>
    <n v="5.1260000000000003"/>
    <n v="4.8360000000000003"/>
    <n v="4.5359999999999996"/>
    <n v="4.431"/>
    <n v="5.1449999999999996"/>
    <n v="4.931"/>
    <n v="4.6509999999999998"/>
    <n v="4.2679999999999998"/>
    <n v="4.5519999999999996"/>
    <n v="3.9119999999999999"/>
    <n v="3.5779999999999998"/>
    <n v="4.2679999999999998"/>
    <n v="3.7570000000000001"/>
    <n v="3.758"/>
    <n v="3.589"/>
    <n v="3.4670000000000001"/>
    <n v="4.1319999999999997"/>
    <n v="4.4740000000000002"/>
    <n v="4.1859999999999999"/>
    <n v="4.7889999999999997"/>
    <n v="5.0359999999999996"/>
    <n v="4.8490000000000002"/>
    <n v="3.359"/>
    <n v="3.9420000000000002"/>
    <n v="4.093"/>
    <n v="4.0750000000000002"/>
    <n v="3.8140000000000001"/>
    <n v="22.584737400000002"/>
  </r>
  <r>
    <x v="0"/>
    <s v="PEST CONTROL"/>
    <s v="SC JOHNSON"/>
    <x v="2"/>
    <x v="0"/>
    <x v="0"/>
    <x v="0"/>
    <x v="0"/>
    <n v="2780.5039999999999"/>
    <n v="4668.732"/>
    <n v="6289.2489999999998"/>
    <n v="8108.7209999999995"/>
    <n v="8810.8330000000005"/>
    <n v="10931.73"/>
    <n v="9308.2150000000001"/>
    <n v="8531.5930000000008"/>
    <n v="6217.0379999999996"/>
    <n v="3307.4690000000001"/>
    <n v="2680.11"/>
    <n v="2743.1979999999999"/>
    <n v="2857.6329999999998"/>
    <n v="3051.4929999999999"/>
    <n v="4455.3019999999997"/>
    <n v="6052.192"/>
    <n v="8700.0519999999997"/>
    <n v="7270.15"/>
    <n v="8146.2120000000004"/>
    <n v="6331.9250000000002"/>
    <n v="6708.49"/>
    <n v="4760.0990000000002"/>
    <n v="4248.9260000000004"/>
    <n v="4527.5510000000004"/>
    <n v="5604.6509999999998"/>
    <n v="6317.8140000000003"/>
    <n v="7720.6890000000003"/>
    <n v="8741.6389999999992"/>
    <n v="9442.5480000000007"/>
    <n v="10233.144"/>
    <n v="12535.813"/>
    <n v="12196.508"/>
    <n v="8571.8639999999996"/>
    <n v="8795.8680000000004"/>
    <n v="7030.3909999999996"/>
    <n v="5078.4740000000002"/>
    <n v="2486.6950000000002"/>
    <n v="2734.4859999999999"/>
  </r>
  <r>
    <x v="0"/>
    <s v="PEST CONTROL"/>
    <s v="SC JOHNSON"/>
    <x v="2"/>
    <x v="0"/>
    <x v="0"/>
    <x v="0"/>
    <x v="1"/>
    <n v="374084.73800000001"/>
    <n v="607310.86100000003"/>
    <n v="842677.522"/>
    <n v="1052135.5319999999"/>
    <n v="1133450.72"/>
    <n v="1450596.9580000001"/>
    <n v="1259210.834"/>
    <n v="1187564.077"/>
    <n v="855818.78799999994"/>
    <n v="458881.29200000002"/>
    <n v="368805.58799999999"/>
    <n v="382420.49800000002"/>
    <n v="397717.402"/>
    <n v="429836.36599999998"/>
    <n v="641826.04599999997"/>
    <n v="878620.46200000006"/>
    <n v="1285202.6070000001"/>
    <n v="1094453.7309999999"/>
    <n v="1229778.175"/>
    <n v="945706.55900000001"/>
    <n v="991257.22"/>
    <n v="724396.05200000003"/>
    <n v="628113.04"/>
    <n v="656610.75699999998"/>
    <n v="819780.34699999995"/>
    <n v="916010.076"/>
    <n v="1173697.0789999999"/>
    <n v="1316581.835"/>
    <n v="1408484.46"/>
    <n v="1551124.4350000001"/>
    <n v="1899765.361"/>
    <n v="1831372.655"/>
    <n v="1284139.3929999999"/>
    <n v="1278275.361"/>
    <n v="1039876.139"/>
    <n v="753710.73400000005"/>
    <n v="359367.78200000001"/>
    <n v="359367.78200000001"/>
  </r>
  <r>
    <x v="0"/>
    <s v="PEST CONTROL"/>
    <s v="SC JOHNSON"/>
    <x v="2"/>
    <x v="0"/>
    <x v="0"/>
    <x v="0"/>
    <x v="2"/>
    <n v="4.3789999999999996"/>
    <n v="6.0960000000000001"/>
    <n v="6.6680000000000001"/>
    <n v="6.3920000000000003"/>
    <n v="6.1340000000000003"/>
    <n v="7.0629999999999997"/>
    <n v="6.2949999999999999"/>
    <n v="7.2889999999999997"/>
    <n v="6.6440000000000001"/>
    <n v="4.9550000000000001"/>
    <n v="4.8609999999999998"/>
    <n v="5.4489999999999998"/>
    <n v="5.7850000000000001"/>
    <n v="5.2309999999999999"/>
    <n v="5.319"/>
    <n v="5.3410000000000002"/>
    <n v="6.2290000000000001"/>
    <n v="5.5590000000000002"/>
    <n v="5.8659999999999997"/>
    <n v="5.6710000000000003"/>
    <n v="6.6529999999999996"/>
    <n v="5.8479999999999999"/>
    <n v="5.9550000000000001"/>
    <n v="6.516"/>
    <n v="7.7009999999999996"/>
    <n v="7.5720000000000001"/>
    <n v="7.5339999999999998"/>
    <n v="6.9610000000000003"/>
    <n v="6.5419999999999998"/>
    <n v="6.8029999999999999"/>
    <n v="6.9580000000000002"/>
    <n v="7.6449999999999996"/>
    <n v="6.1879999999999997"/>
    <n v="7.3150000000000004"/>
    <n v="6.7130000000000001"/>
    <n v="6.7930000000000001"/>
    <n v="5.0570000000000004"/>
    <n v="0.80600000000000005"/>
  </r>
  <r>
    <x v="0"/>
    <s v="PEST CONTROL"/>
    <s v="SC JOHNSON"/>
    <x v="2"/>
    <x v="0"/>
    <x v="0"/>
    <x v="0"/>
    <x v="3"/>
    <n v="37.145000000000003"/>
    <n v="42.997"/>
    <n v="46.167999999999999"/>
    <n v="46.405000000000001"/>
    <n v="51.987000000000002"/>
    <n v="50.459000000000003"/>
    <n v="49.646999999999998"/>
    <n v="46.66"/>
    <n v="46.945"/>
    <n v="43.17"/>
    <n v="42.110999999999997"/>
    <n v="42.576000000000001"/>
    <n v="43.204000000000001"/>
    <n v="43.136000000000003"/>
    <n v="46.460999999999999"/>
    <n v="46.472999999999999"/>
    <n v="50.162999999999997"/>
    <n v="47.627000000000002"/>
    <n v="48.213000000000001"/>
    <n v="45.581000000000003"/>
    <n v="51.213000000000001"/>
    <n v="53.668999999999997"/>
    <n v="51.942999999999998"/>
    <n v="51.356000000000002"/>
    <n v="54.308999999999997"/>
    <n v="52.152999999999999"/>
    <n v="55.375999999999998"/>
    <n v="49.814999999999998"/>
    <n v="49.372"/>
    <n v="55.542999999999999"/>
    <n v="59.965000000000003"/>
    <n v="58.484999999999999"/>
    <n v="51.81"/>
    <n v="49.713999999999999"/>
    <n v="45.643999999999998"/>
    <n v="44.103999999999999"/>
    <n v="39.401000000000003"/>
    <n v="7575.7730000000001"/>
  </r>
  <r>
    <x v="0"/>
    <s v="PEST CONTROL"/>
    <s v="SC JOHNSON"/>
    <x v="2"/>
    <x v="0"/>
    <x v="0"/>
    <x v="0"/>
    <x v="4"/>
    <n v="23.733198999999999"/>
    <n v="28.380719500000001"/>
    <n v="29.616665900000001"/>
    <n v="30.070102599999998"/>
    <n v="31.800092800000002"/>
    <n v="29.088480700000002"/>
    <n v="30.2786142"/>
    <n v="29.1801219"/>
    <n v="27.601207599999999"/>
    <n v="28.434596200000001"/>
    <n v="27.829333200000001"/>
    <n v="27.696744899999999"/>
    <n v="29.546387200000002"/>
    <n v="26.832045999999998"/>
    <n v="26.969906999999999"/>
    <n v="26.452242900000002"/>
    <n v="26.938816299999999"/>
    <n v="26.339902599999999"/>
    <n v="25.728995300000001"/>
    <n v="24.972042200000001"/>
    <n v="27.8631958"/>
    <n v="27.784542800000001"/>
    <n v="26.230582699999999"/>
    <n v="26.4766698"/>
    <n v="26.6197494"/>
    <n v="28.985034299999999"/>
    <n v="34.514868800000002"/>
    <n v="32.446843700000002"/>
    <n v="33.428287599999997"/>
    <n v="33.881550699999998"/>
    <n v="36.054350399999997"/>
    <n v="33.735611599999999"/>
    <n v="29.852391799999999"/>
    <n v="28.1738888"/>
    <n v="26.407970500000001"/>
    <n v="26.524995000000001"/>
    <n v="25.5000319"/>
    <n v="39.401000000000003"/>
  </r>
  <r>
    <x v="0"/>
    <s v="PEST CONTROL"/>
    <s v="SC JOHNSON"/>
    <x v="2"/>
    <x v="0"/>
    <x v="0"/>
    <x v="0"/>
    <x v="5"/>
    <n v="2.7130000000000001"/>
    <n v="3.7349999999999999"/>
    <n v="3.4279999999999999"/>
    <n v="3.9329999999999998"/>
    <n v="4.0149999999999997"/>
    <n v="3.8879999999999999"/>
    <n v="3.6520000000000001"/>
    <n v="3.766"/>
    <n v="3.7170000000000001"/>
    <n v="3.746"/>
    <n v="3.3479999999999999"/>
    <n v="3.49"/>
    <n v="3.657"/>
    <n v="3.294"/>
    <n v="3.4380000000000002"/>
    <n v="2.867"/>
    <n v="3.61"/>
    <n v="3.9580000000000002"/>
    <n v="3.5659999999999998"/>
    <n v="4.2220000000000004"/>
    <n v="4.2670000000000003"/>
    <n v="4.7640000000000002"/>
    <n v="4.5979999999999999"/>
    <n v="5.0030000000000001"/>
    <n v="4.0910000000000002"/>
    <n v="4.4429999999999996"/>
    <n v="4.452"/>
    <n v="4.1470000000000002"/>
    <n v="3.6139999999999999"/>
    <n v="3.8919999999999999"/>
    <n v="4.3"/>
    <n v="3.47"/>
    <n v="3.7080000000000002"/>
    <n v="3.3889999999999998"/>
    <n v="3.6280000000000001"/>
    <n v="3.7250000000000001"/>
    <n v="3.895"/>
    <n v="25.5000319"/>
  </r>
  <r>
    <x v="0"/>
    <s v="PEST CONTROL"/>
    <s v="SC JOHNSON"/>
    <x v="2"/>
    <x v="0"/>
    <x v="3"/>
    <x v="0"/>
    <x v="0"/>
    <n v="7579.31"/>
    <n v="10103.822"/>
    <n v="10583.955"/>
    <n v="15372.7"/>
    <n v="17886.527999999998"/>
    <n v="17127.882000000001"/>
    <n v="17663.72"/>
    <n v="14654.255999999999"/>
    <n v="11433.866"/>
    <n v="8219.7099999999991"/>
    <n v="7176.7420000000002"/>
    <n v="6433.0630000000001"/>
    <n v="6941.7629999999999"/>
    <n v="7461.4930000000004"/>
    <n v="12235.43"/>
    <n v="14375.165999999999"/>
    <n v="19471.219000000001"/>
    <n v="17027.792000000001"/>
    <n v="18040.815999999999"/>
    <n v="15120.212"/>
    <n v="14186.607"/>
    <n v="10109.244000000001"/>
    <n v="9328.2379999999994"/>
    <n v="8859.6389999999992"/>
    <n v="8252.8469999999998"/>
    <n v="8688.9770000000008"/>
    <n v="10541.814"/>
    <n v="15543.25"/>
    <n v="19484.405999999999"/>
    <n v="17928.719000000001"/>
    <n v="22018.264999999999"/>
    <n v="18807.78"/>
    <n v="16397.075000000001"/>
    <n v="13358.085999999999"/>
    <n v="10616.825000000001"/>
    <n v="6023.5749999999998"/>
    <n v="5100.7879999999996"/>
    <n v="5331.1459999999997"/>
  </r>
  <r>
    <x v="0"/>
    <s v="PEST CONTROL"/>
    <s v="SC JOHNSON"/>
    <x v="2"/>
    <x v="0"/>
    <x v="3"/>
    <x v="0"/>
    <x v="1"/>
    <n v="1530626.4069999999"/>
    <n v="2016864.5649999999"/>
    <n v="2150013.0010000002"/>
    <n v="3141601.449"/>
    <n v="3587662.68"/>
    <n v="3540053.0419999999"/>
    <n v="3686721.5430000001"/>
    <n v="3031488.5"/>
    <n v="2362842.29"/>
    <n v="1705449.06"/>
    <n v="1546084.53"/>
    <n v="1377563.4809999999"/>
    <n v="1483101.56"/>
    <n v="1598077.4680000001"/>
    <n v="2661817.2850000001"/>
    <n v="3098043.5109999999"/>
    <n v="4257106.0360000003"/>
    <n v="3695916.764"/>
    <n v="4040760.463"/>
    <n v="3351166.7179999999"/>
    <n v="3144734.37"/>
    <n v="2205639.517"/>
    <n v="2039419.148"/>
    <n v="1936874.8829999999"/>
    <n v="1869675.486"/>
    <n v="1959702.665"/>
    <n v="2388432.44"/>
    <n v="3537357.2820000001"/>
    <n v="4271341.352"/>
    <n v="4073590.057"/>
    <n v="5113380.341"/>
    <n v="4296227.0860000001"/>
    <n v="3826015.446"/>
    <n v="3145556.0219999999"/>
    <n v="2469926.0550000002"/>
    <n v="1430115.645"/>
    <n v="1172836.07"/>
    <n v="1172836.07"/>
  </r>
  <r>
    <x v="0"/>
    <s v="PEST CONTROL"/>
    <s v="SC JOHNSON"/>
    <x v="2"/>
    <x v="0"/>
    <x v="3"/>
    <x v="0"/>
    <x v="2"/>
    <n v="12.41"/>
    <n v="13.773999999999999"/>
    <n v="11.824999999999999"/>
    <n v="12.827"/>
    <n v="13.09"/>
    <n v="11.722"/>
    <n v="12.72"/>
    <n v="13.239000000000001"/>
    <n v="13.002000000000001"/>
    <n v="13.13"/>
    <n v="13.897"/>
    <n v="13.664"/>
    <n v="15"/>
    <n v="13.513999999999999"/>
    <n v="15.75"/>
    <n v="13.672000000000001"/>
    <n v="14.975"/>
    <n v="13.856999999999999"/>
    <n v="13.946999999999999"/>
    <n v="14.541"/>
    <n v="15.134"/>
    <n v="13.067"/>
    <n v="13.888999999999999"/>
    <n v="13.412000000000001"/>
    <n v="12.102"/>
    <n v="11.021000000000001"/>
    <n v="10.695"/>
    <n v="13.035"/>
    <n v="13.894"/>
    <n v="12.635"/>
    <n v="12.842000000000001"/>
    <n v="12.099"/>
    <n v="12.558999999999999"/>
    <n v="11.698"/>
    <n v="10.864000000000001"/>
    <n v="8.8550000000000004"/>
    <n v="11.032"/>
    <n v="1.571"/>
  </r>
  <r>
    <x v="0"/>
    <s v="PEST CONTROL"/>
    <s v="SC JOHNSON"/>
    <x v="2"/>
    <x v="0"/>
    <x v="3"/>
    <x v="0"/>
    <x v="3"/>
    <n v="56.908999999999999"/>
    <n v="61.515000000000001"/>
    <n v="61.997"/>
    <n v="60.753"/>
    <n v="61.636000000000003"/>
    <n v="61.024999999999999"/>
    <n v="61.598999999999997"/>
    <n v="62.845999999999997"/>
    <n v="63.787999999999997"/>
    <n v="62.238"/>
    <n v="60.884"/>
    <n v="65.186999999999998"/>
    <n v="65.126999999999995"/>
    <n v="61.914999999999999"/>
    <n v="63.250999999999998"/>
    <n v="64.483000000000004"/>
    <n v="65.131"/>
    <n v="63.67"/>
    <n v="66.14"/>
    <n v="64.8"/>
    <n v="68.581000000000003"/>
    <n v="63.404000000000003"/>
    <n v="61.984000000000002"/>
    <n v="64.715999999999994"/>
    <n v="63.47"/>
    <n v="62.301000000000002"/>
    <n v="64.096000000000004"/>
    <n v="63.851999999999997"/>
    <n v="66.201999999999998"/>
    <n v="67.747"/>
    <n v="69.808999999999997"/>
    <n v="66.927999999999997"/>
    <n v="64.698999999999998"/>
    <n v="57.109000000000002"/>
    <n v="53.595999999999997"/>
    <n v="53.295000000000002"/>
    <n v="57.709000000000003"/>
    <n v="15240.630999999999"/>
  </r>
  <r>
    <x v="0"/>
    <s v="PEST CONTROL"/>
    <s v="SC JOHNSON"/>
    <x v="2"/>
    <x v="0"/>
    <x v="3"/>
    <x v="0"/>
    <x v="4"/>
    <n v="35.655509600000002"/>
    <n v="37.654860900000003"/>
    <n v="37.281405599999999"/>
    <n v="35.975518999999998"/>
    <n v="35.852127899999999"/>
    <n v="34.040163200000002"/>
    <n v="38.019568499999998"/>
    <n v="36.930456900000003"/>
    <n v="35.969888900000001"/>
    <n v="36.986326499999997"/>
    <n v="35.184339199999997"/>
    <n v="35.876307599999997"/>
    <n v="36.2560012"/>
    <n v="34.301951299999999"/>
    <n v="37.583108500000002"/>
    <n v="39.706035999999997"/>
    <n v="41.1726983"/>
    <n v="40.178545200000002"/>
    <n v="39.384453499999999"/>
    <n v="38.077462599999997"/>
    <n v="39.845890300000001"/>
    <n v="37.720405499999998"/>
    <n v="37.225565199999998"/>
    <n v="37.4533603"/>
    <n v="39.131032400000002"/>
    <n v="42.564838299999998"/>
    <n v="44.358545999999997"/>
    <n v="43.484291200000001"/>
    <n v="42.896332999999998"/>
    <n v="42.778869399999998"/>
    <n v="43.334173800000002"/>
    <n v="41.664844799999997"/>
    <n v="40.9341364"/>
    <n v="40.771518899999997"/>
    <n v="36.880310399999999"/>
    <n v="35.368074100000001"/>
    <n v="33.690390299999997"/>
    <n v="57.709000000000003"/>
  </r>
  <r>
    <x v="0"/>
    <s v="PEST CONTROL"/>
    <s v="SC JOHNSON"/>
    <x v="2"/>
    <x v="0"/>
    <x v="3"/>
    <x v="0"/>
    <x v="5"/>
    <n v="7.7279999999999998"/>
    <n v="8.8699999999999992"/>
    <n v="7.9850000000000003"/>
    <n v="8.0890000000000004"/>
    <n v="7.0380000000000003"/>
    <n v="6.8259999999999996"/>
    <n v="8.6300000000000008"/>
    <n v="8.452"/>
    <n v="8.8350000000000009"/>
    <n v="9.0579999999999998"/>
    <n v="8.8249999999999993"/>
    <n v="8.8109999999999999"/>
    <n v="8.5739999999999998"/>
    <n v="9.2490000000000006"/>
    <n v="9.6150000000000002"/>
    <n v="10.000999999999999"/>
    <n v="8.5060000000000002"/>
    <n v="8.1120000000000001"/>
    <n v="8.6880000000000006"/>
    <n v="8.2070000000000007"/>
    <n v="7.6379999999999999"/>
    <n v="7.4210000000000003"/>
    <n v="8.6039999999999992"/>
    <n v="8.2080000000000002"/>
    <n v="8.5559999999999992"/>
    <n v="10.196999999999999"/>
    <n v="10.336"/>
    <n v="9.0609999999999999"/>
    <n v="8.3239999999999998"/>
    <n v="8.3079999999999998"/>
    <n v="7.3730000000000002"/>
    <n v="6.9489999999999998"/>
    <n v="6.7389999999999999"/>
    <n v="6.8680000000000003"/>
    <n v="6.8929999999999998"/>
    <n v="7.1459999999999999"/>
    <n v="7.2930000000000001"/>
    <n v="33.690390299999997"/>
  </r>
  <r>
    <x v="0"/>
    <s v="PEST CONTROL"/>
    <s v="SC JOHNSON"/>
    <x v="2"/>
    <x v="0"/>
    <x v="3"/>
    <x v="6"/>
    <x v="0"/>
    <n v="0"/>
    <n v="0"/>
    <n v="65.641000000000005"/>
    <n v="90.483999999999995"/>
    <n v="392.96100000000001"/>
    <n v="0"/>
    <n v="231.12200000000001"/>
    <n v="271.09300000000002"/>
    <n v="89.302000000000007"/>
    <n v="0"/>
    <n v="32.567"/>
    <n v="0"/>
    <n v="390.3"/>
    <n v="0"/>
    <n v="99.021000000000001"/>
    <n v="191.47800000000001"/>
    <n v="111.099"/>
    <n v="94.959000000000003"/>
    <n v="0"/>
    <n v="0"/>
    <n v="0"/>
    <n v="0"/>
    <n v="0"/>
    <n v="0"/>
    <n v="0"/>
    <n v="45.412999999999997"/>
    <n v="0"/>
    <n v="0"/>
    <n v="0"/>
    <n v="74.38"/>
    <n v="86.722999999999999"/>
    <n v="129.726"/>
    <n v="27.309000000000001"/>
    <n v="28.248000000000001"/>
    <n v="310.04500000000002"/>
    <n v="333.44400000000002"/>
    <n v="127.501"/>
    <n v="1530.0150000000001"/>
  </r>
  <r>
    <x v="0"/>
    <s v="PEST CONTROL"/>
    <s v="SC JOHNSON"/>
    <x v="2"/>
    <x v="0"/>
    <x v="3"/>
    <x v="6"/>
    <x v="1"/>
    <n v="0"/>
    <n v="0"/>
    <n v="1312.8109999999999"/>
    <n v="1809.6869999999999"/>
    <n v="7859.2190000000001"/>
    <n v="0"/>
    <n v="5580.3829999999998"/>
    <n v="6545.4610000000002"/>
    <n v="1786.0450000000001"/>
    <n v="0"/>
    <n v="1230.645"/>
    <n v="0"/>
    <n v="14620.939"/>
    <n v="0"/>
    <n v="3762.7939999999999"/>
    <n v="7134.35"/>
    <n v="3955.7779999999998"/>
    <n v="3608.4430000000002"/>
    <n v="0"/>
    <n v="0"/>
    <n v="0"/>
    <n v="0"/>
    <n v="0"/>
    <n v="0"/>
    <n v="0"/>
    <n v="1271.5509999999999"/>
    <n v="0"/>
    <n v="0"/>
    <n v="0"/>
    <n v="2082.6489999999999"/>
    <n v="2428.268"/>
    <n v="3632.335"/>
    <n v="764.64"/>
    <n v="790.94299999999998"/>
    <n v="8681.2669999999998"/>
    <n v="9336.4269999999997"/>
    <n v="4368.7889999999998"/>
    <n v="4368.7889999999998"/>
  </r>
  <r>
    <x v="0"/>
    <s v="PEST CONTROL"/>
    <s v="SC JOHNSON"/>
    <x v="2"/>
    <x v="0"/>
    <x v="3"/>
    <x v="6"/>
    <x v="2"/>
    <n v="0"/>
    <n v="0"/>
    <n v="2E-3"/>
    <n v="2E-3"/>
    <n v="8.9999999999999993E-3"/>
    <n v="0"/>
    <n v="5.0000000000000001E-3"/>
    <n v="8.0000000000000002E-3"/>
    <n v="3.0000000000000001E-3"/>
    <n v="0"/>
    <n v="2E-3"/>
    <n v="0"/>
    <n v="2.5999999999999999E-2"/>
    <n v="0"/>
    <n v="4.0000000000000001E-3"/>
    <n v="6.0000000000000001E-3"/>
    <n v="3.0000000000000001E-3"/>
    <n v="2E-3"/>
    <n v="0"/>
    <n v="0"/>
    <n v="0"/>
    <n v="0"/>
    <n v="0"/>
    <n v="0"/>
    <n v="0"/>
    <n v="2E-3"/>
    <n v="0"/>
    <n v="0"/>
    <n v="0"/>
    <n v="2E-3"/>
    <n v="2E-3"/>
    <n v="3.0000000000000001E-3"/>
    <n v="1E-3"/>
    <n v="1E-3"/>
    <n v="0.01"/>
    <n v="1.4999999999999999E-2"/>
    <n v="8.9999999999999993E-3"/>
    <n v="0.45100000000000001"/>
  </r>
  <r>
    <x v="0"/>
    <s v="PEST CONTROL"/>
    <s v="SC JOHNSON"/>
    <x v="2"/>
    <x v="0"/>
    <x v="3"/>
    <x v="6"/>
    <x v="3"/>
    <n v="1"/>
    <n v="0.36199999999999999"/>
    <n v="0.54800000000000004"/>
    <n v="1.4390000000000001"/>
    <n v="2.1150000000000002"/>
    <n v="1.7470000000000001"/>
    <n v="1.3460000000000001"/>
    <n v="0.66600000000000004"/>
    <n v="0.98899999999999999"/>
    <n v="0.629"/>
    <n v="0.68899999999999995"/>
    <n v="0.40400000000000003"/>
    <n v="2.157"/>
    <n v="0"/>
    <n v="2.0430000000000001"/>
    <n v="1.2170000000000001"/>
    <n v="1.0740000000000001"/>
    <n v="0.72699999999999998"/>
    <n v="0.307"/>
    <n v="0.56999999999999995"/>
    <n v="6.8000000000000005E-2"/>
    <n v="0"/>
    <n v="0"/>
    <n v="0.23100000000000001"/>
    <n v="0.25800000000000001"/>
    <n v="1.355"/>
    <n v="0.86699999999999999"/>
    <n v="1.046"/>
    <n v="0.93799999999999994"/>
    <n v="0.36499999999999999"/>
    <n v="0.38900000000000001"/>
    <n v="0.71599999999999997"/>
    <n v="1.0149999999999999"/>
    <n v="1.1519999999999999"/>
    <n v="1.4690000000000001"/>
    <n v="2.8140000000000001"/>
    <n v="2.609"/>
    <n v="4000.8870000000002"/>
  </r>
  <r>
    <x v="0"/>
    <s v="PEST CONTROL"/>
    <s v="SC JOHNSON"/>
    <x v="2"/>
    <x v="0"/>
    <x v="3"/>
    <x v="6"/>
    <x v="4"/>
    <n v="0.5979892"/>
    <n v="0.54362690000000002"/>
    <n v="0.54362690000000002"/>
    <n v="0.86233610000000005"/>
    <n v="0.90878910000000002"/>
    <n v="0.8899281"/>
    <n v="0.87327670000000002"/>
    <n v="0.88992740000000004"/>
    <n v="0.93001140000000004"/>
    <n v="0.93001239999999996"/>
    <n v="0.90902099999999997"/>
    <n v="0.90901940000000003"/>
    <n v="0.90901940000000003"/>
    <n v="0.3149248"/>
    <n v="0.73729579999999995"/>
    <n v="0.67026830000000004"/>
    <n v="0.61620989999999998"/>
    <n v="0.28855710000000001"/>
    <n v="0.3276519"/>
    <n v="0.32765240000000001"/>
    <n v="0.3058015"/>
    <n v="0.30580109999999999"/>
    <n v="0.30580180000000001"/>
    <n v="0.32023849999999998"/>
    <n v="0.32023829999999998"/>
    <n v="0.4721323"/>
    <n v="0.44551859999999999"/>
    <n v="0.14529069999999999"/>
    <n v="0.1392341"/>
    <n v="0.1653105"/>
    <n v="0.1584219"/>
    <n v="0.15842149999999999"/>
    <n v="0.1653105"/>
    <n v="0.1653107"/>
    <n v="0.1584217"/>
    <n v="0.16372790000000001"/>
    <n v="0.58391780000000004"/>
    <n v="2.609"/>
  </r>
  <r>
    <x v="0"/>
    <s v="PEST CONTROL"/>
    <s v="SC JOHNSON"/>
    <x v="2"/>
    <x v="0"/>
    <x v="3"/>
    <x v="6"/>
    <x v="5"/>
    <n v="0.16800000000000001"/>
    <n v="0.158"/>
    <n v="0.106"/>
    <n v="0.22"/>
    <n v="0.37"/>
    <n v="0.35"/>
    <n v="0.23599999999999999"/>
    <n v="0.34499999999999997"/>
    <n v="0.38"/>
    <n v="0.39"/>
    <n v="0.32500000000000001"/>
    <n v="0.32800000000000001"/>
    <n v="7.8E-2"/>
    <n v="7.3999999999999996E-2"/>
    <n v="0.23599999999999999"/>
    <n v="0.12"/>
    <n v="5.1999999999999998E-2"/>
    <n v="0"/>
    <n v="9.0999999999999998E-2"/>
    <n v="9.9000000000000005E-2"/>
    <n v="9.7000000000000003E-2"/>
    <n v="9.5000000000000001E-2"/>
    <n v="9.6000000000000002E-2"/>
    <n v="0.1"/>
    <n v="9.7000000000000003E-2"/>
    <n v="0.26700000000000002"/>
    <n v="0.23599999999999999"/>
    <n v="0.155"/>
    <n v="0.153"/>
    <n v="0.13200000000000001"/>
    <n v="0.127"/>
    <n v="8.2000000000000003E-2"/>
    <n v="7.3999999999999996E-2"/>
    <n v="7.3999999999999996E-2"/>
    <n v="0.112"/>
    <n v="0.111"/>
    <n v="0.17499999999999999"/>
    <n v="0.58391780000000004"/>
  </r>
  <r>
    <x v="0"/>
    <s v="PEST CONTROL"/>
    <s v="SC JOHNSON"/>
    <x v="2"/>
    <x v="5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292000000000002"/>
    <n v="80.730999999999995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0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16.1419999999998"/>
    <n v="15258.120999999999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0"/>
    <x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999999999999995E-2"/>
    <n v="9.6000000000000002E-2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0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999999999999999E-2"/>
    <n v="0.48599999999999999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0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5405199999999998"/>
    <n v="0.35405189999999997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0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999999999999999E-2"/>
    <n v="0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3"/>
    <x v="0"/>
    <x v="0"/>
    <n v="605.98599999999999"/>
    <n v="782.03499999999997"/>
    <n v="656.47900000000004"/>
    <n v="343.21800000000002"/>
    <n v="982.67600000000004"/>
    <n v="585.58299999999997"/>
    <n v="716.21500000000003"/>
    <n v="426.798"/>
    <n v="297.79300000000001"/>
    <n v="373.63400000000001"/>
    <n v="145.92699999999999"/>
    <n v="97.141999999999996"/>
    <n v="274.089"/>
    <n v="191.26300000000001"/>
    <n v="232.75700000000001"/>
    <n v="752.19299999999998"/>
    <n v="1032.231"/>
    <n v="625.44799999999998"/>
    <n v="826.14200000000005"/>
    <n v="541.59199999999998"/>
    <n v="262.101"/>
    <n v="91.387"/>
    <n v="173.56800000000001"/>
    <n v="129.57900000000001"/>
    <n v="0"/>
    <n v="59.052"/>
    <n v="193.32400000000001"/>
    <n v="230.93600000000001"/>
    <n v="459.56099999999998"/>
    <n v="426.81"/>
    <n v="468.87900000000002"/>
    <n v="714.07500000000005"/>
    <n v="707.26499999999999"/>
    <n v="464.15199999999999"/>
    <n v="538.10900000000004"/>
    <n v="438.01600000000002"/>
    <n v="269.77699999999999"/>
    <n v="269.77699999999999"/>
  </r>
  <r>
    <x v="0"/>
    <s v="PEST CONTROL"/>
    <s v="SC JOHNSON"/>
    <x v="2"/>
    <x v="5"/>
    <x v="3"/>
    <x v="0"/>
    <x v="1"/>
    <n v="130474.83"/>
    <n v="162925.55100000001"/>
    <n v="142062.451"/>
    <n v="76565.471999999994"/>
    <n v="233235.25099999999"/>
    <n v="125386.697"/>
    <n v="150695.73699999999"/>
    <n v="95880.823999999993"/>
    <n v="67509.475000000006"/>
    <n v="80792.888999999996"/>
    <n v="31635.643"/>
    <n v="22881.016"/>
    <n v="63174.642"/>
    <n v="37783.057999999997"/>
    <n v="56619.612999999998"/>
    <n v="174967.891"/>
    <n v="263794.62199999997"/>
    <n v="149404.22399999999"/>
    <n v="213472.67199999999"/>
    <n v="139076.17300000001"/>
    <n v="75675.203999999998"/>
    <n v="21755.627"/>
    <n v="46792.2"/>
    <n v="39257.656000000003"/>
    <n v="0"/>
    <n v="14730.374"/>
    <n v="52718.832999999999"/>
    <n v="62789.097000000002"/>
    <n v="139148.06400000001"/>
    <n v="136578.924"/>
    <n v="115441.232"/>
    <n v="162607.02799999999"/>
    <n v="174976.45499999999"/>
    <n v="121424.853"/>
    <n v="142029.024"/>
    <n v="122374.90300000001"/>
    <n v="76642.380999999994"/>
    <n v="76642.380999999994"/>
  </r>
  <r>
    <x v="0"/>
    <s v="PEST CONTROL"/>
    <s v="SC JOHNSON"/>
    <x v="2"/>
    <x v="5"/>
    <x v="3"/>
    <x v="0"/>
    <x v="2"/>
    <n v="0.998"/>
    <n v="1.07"/>
    <n v="0.72299999999999998"/>
    <n v="0.27600000000000002"/>
    <n v="0.72599999999999998"/>
    <n v="0.39700000000000002"/>
    <n v="0.52200000000000002"/>
    <n v="0.38200000000000001"/>
    <n v="0.33100000000000002"/>
    <n v="0.60499999999999998"/>
    <n v="0.28299999999999997"/>
    <n v="0.20799999999999999"/>
    <n v="0.58499999999999996"/>
    <n v="0.35499999999999998"/>
    <n v="0.30099999999999999"/>
    <n v="0.70599999999999996"/>
    <n v="0.77500000000000002"/>
    <n v="0.505"/>
    <n v="0.61599999999999999"/>
    <n v="0.499"/>
    <n v="0.26900000000000002"/>
    <n v="0.11799999999999999"/>
    <n v="0.255"/>
    <n v="0.193"/>
    <n v="0"/>
    <n v="7.5999999999999998E-2"/>
    <n v="0.19500000000000001"/>
    <n v="0.193"/>
    <n v="0.32900000000000001"/>
    <n v="0.28999999999999998"/>
    <n v="0.28199999999999997"/>
    <n v="0.47299999999999998"/>
    <n v="0.53900000000000003"/>
    <n v="0.41199999999999998"/>
    <n v="0.55500000000000005"/>
    <n v="0.626"/>
    <n v="0.55400000000000005"/>
    <n v="7.9000000000000001E-2"/>
  </r>
  <r>
    <x v="0"/>
    <s v="PEST CONTROL"/>
    <s v="SC JOHNSON"/>
    <x v="2"/>
    <x v="5"/>
    <x v="3"/>
    <x v="0"/>
    <x v="3"/>
    <n v="14.561"/>
    <n v="14.077"/>
    <n v="13.436999999999999"/>
    <n v="9.3620000000000001"/>
    <n v="11.515000000000001"/>
    <n v="12.595000000000001"/>
    <n v="14.698"/>
    <n v="11.186"/>
    <n v="10.326000000000001"/>
    <n v="9.1980000000000004"/>
    <n v="8.5500000000000007"/>
    <n v="8.8759999999999994"/>
    <n v="10.727"/>
    <n v="10.958"/>
    <n v="11.22"/>
    <n v="10.076000000000001"/>
    <n v="13.388999999999999"/>
    <n v="11.752000000000001"/>
    <n v="13.493"/>
    <n v="10.124000000000001"/>
    <n v="10.281000000000001"/>
    <n v="7.5469999999999997"/>
    <n v="8.1449999999999996"/>
    <n v="6.0069999999999997"/>
    <n v="4.843"/>
    <n v="7.4029999999999996"/>
    <n v="8.0779999999999994"/>
    <n v="8.5879999999999992"/>
    <n v="7.9390000000000001"/>
    <n v="6.04"/>
    <n v="7.9379999999999997"/>
    <n v="9.7200000000000006"/>
    <n v="13.207000000000001"/>
    <n v="9.6280000000000001"/>
    <n v="10.173999999999999"/>
    <n v="13.757999999999999"/>
    <n v="13.112"/>
    <n v="1041.9369999999999"/>
  </r>
  <r>
    <x v="0"/>
    <s v="PEST CONTROL"/>
    <s v="SC JOHNSON"/>
    <x v="2"/>
    <x v="5"/>
    <x v="3"/>
    <x v="0"/>
    <x v="4"/>
    <n v="9.9411191999999993"/>
    <n v="9.0815104000000009"/>
    <n v="7.7175776999999997"/>
    <n v="6.4583906999999998"/>
    <n v="7.8667910000000001"/>
    <n v="7.7494038999999999"/>
    <n v="7.3750076"/>
    <n v="6.9831263000000003"/>
    <n v="6.4312828"/>
    <n v="5.7804273999999998"/>
    <n v="5.6750071999999996"/>
    <n v="6.0334072000000001"/>
    <n v="5.9606167000000001"/>
    <n v="6.5472108999999996"/>
    <n v="6.3837023999999998"/>
    <n v="6.8261152999999997"/>
    <n v="8.0600021000000002"/>
    <n v="8.5938283000000002"/>
    <n v="8.0296649000000002"/>
    <n v="6.7742529999999999"/>
    <n v="6.9274630999999998"/>
    <n v="6.6218322000000001"/>
    <n v="6.9908134000000004"/>
    <n v="6.925306"/>
    <n v="6.8880176000000004"/>
    <n v="7.1681906"/>
    <n v="6.8136393000000002"/>
    <n v="6.8136447000000002"/>
    <n v="7.5155859999999999"/>
    <n v="7.2391242"/>
    <n v="8.2771149000000008"/>
    <n v="8.7202778999999992"/>
    <n v="9.2339643999999996"/>
    <n v="8.1549067999999991"/>
    <n v="8.6463815000000004"/>
    <n v="9.3055990000000008"/>
    <n v="7.1949015999999997"/>
    <n v="13.112"/>
  </r>
  <r>
    <x v="0"/>
    <s v="PEST CONTROL"/>
    <s v="SC JOHNSON"/>
    <x v="2"/>
    <x v="5"/>
    <x v="3"/>
    <x v="0"/>
    <x v="5"/>
    <n v="0.89200000000000002"/>
    <n v="0.58799999999999997"/>
    <n v="0.47399999999999998"/>
    <n v="0.46400000000000002"/>
    <n v="0.41199999999999998"/>
    <n v="0.39400000000000002"/>
    <n v="0.39800000000000002"/>
    <n v="0.45700000000000002"/>
    <n v="0.43"/>
    <n v="0.48599999999999999"/>
    <n v="0.41799999999999998"/>
    <n v="0.40400000000000003"/>
    <n v="0.373"/>
    <n v="0.311"/>
    <n v="0.504"/>
    <n v="0.376"/>
    <n v="0.49199999999999999"/>
    <n v="0.39"/>
    <n v="0.36199999999999999"/>
    <n v="0.42799999999999999"/>
    <n v="0.53900000000000003"/>
    <n v="0.6"/>
    <n v="0.56000000000000005"/>
    <n v="0.505"/>
    <n v="0.48699999999999999"/>
    <n v="0.433"/>
    <n v="0.45"/>
    <n v="0.39300000000000002"/>
    <n v="0.46"/>
    <n v="0.48499999999999999"/>
    <n v="0.498"/>
    <n v="0.57699999999999996"/>
    <n v="0.55400000000000005"/>
    <n v="0.6"/>
    <n v="0.61299999999999999"/>
    <n v="0.66700000000000004"/>
    <n v="0.54500000000000004"/>
    <n v="7.1949015999999997"/>
  </r>
  <r>
    <x v="0"/>
    <s v="PEST CONTROL"/>
    <s v="SC JOHNSON"/>
    <x v="2"/>
    <x v="5"/>
    <x v="3"/>
    <x v="7"/>
    <x v="0"/>
    <n v="0"/>
    <n v="0"/>
    <n v="0"/>
    <n v="0"/>
    <n v="0"/>
    <n v="0"/>
    <n v="0"/>
    <n v="0"/>
    <n v="89.534999999999997"/>
    <n v="45.966000000000001"/>
    <n v="0"/>
    <n v="0"/>
    <n v="0"/>
    <n v="0"/>
    <n v="40.383000000000003"/>
    <n v="0"/>
    <n v="0"/>
    <n v="0"/>
    <n v="0"/>
    <n v="0"/>
    <n v="62.09100000000000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3"/>
    <x v="7"/>
    <x v="1"/>
    <n v="0"/>
    <n v="0"/>
    <n v="0"/>
    <n v="0"/>
    <n v="0"/>
    <n v="0"/>
    <n v="0"/>
    <n v="0"/>
    <n v="17459.291000000001"/>
    <n v="8963.43"/>
    <n v="0"/>
    <n v="0"/>
    <n v="0"/>
    <n v="0"/>
    <n v="7874.6620000000003"/>
    <n v="0"/>
    <n v="0"/>
    <n v="0"/>
    <n v="0"/>
    <n v="0"/>
    <n v="7637.2449999999999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3"/>
    <x v="7"/>
    <x v="2"/>
    <n v="0"/>
    <n v="0"/>
    <n v="0"/>
    <n v="0"/>
    <n v="0"/>
    <n v="0"/>
    <n v="0"/>
    <n v="0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3"/>
    <x v="7"/>
    <x v="3"/>
    <n v="0"/>
    <n v="0"/>
    <n v="0"/>
    <n v="0"/>
    <n v="0"/>
    <n v="0"/>
    <n v="0"/>
    <n v="0"/>
    <n v="0.94899999999999995"/>
    <n v="0.371"/>
    <n v="0.46"/>
    <n v="0.47399999999999998"/>
    <n v="0.68100000000000005"/>
    <n v="1.111"/>
    <n v="1.4510000000000001"/>
    <n v="0.76200000000000001"/>
    <n v="0.90100000000000002"/>
    <n v="0.53200000000000003"/>
    <n v="1.0680000000000001"/>
    <n v="0.65800000000000003"/>
    <n v="1.83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3"/>
    <x v="7"/>
    <x v="4"/>
    <n v="0"/>
    <n v="0"/>
    <n v="0"/>
    <n v="0"/>
    <n v="0"/>
    <n v="0"/>
    <n v="0"/>
    <n v="0"/>
    <n v="0.57223639999999998"/>
    <n v="0.572237"/>
    <n v="0.5722372"/>
    <n v="0.57223619999999997"/>
    <n v="0.59824650000000001"/>
    <n v="0.57223599999999997"/>
    <n v="1.3478257"/>
    <n v="0.84614869999999998"/>
    <n v="0.84615050000000003"/>
    <n v="0.78571120000000005"/>
    <n v="0.78571179999999996"/>
    <n v="0.78571310000000005"/>
    <n v="0.78571259999999998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3"/>
    <x v="7"/>
    <x v="5"/>
    <n v="0"/>
    <n v="0"/>
    <n v="0"/>
    <n v="0"/>
    <n v="0"/>
    <n v="0"/>
    <n v="0"/>
    <n v="0"/>
    <n v="5.0999999999999997E-2"/>
    <n v="2.3E-2"/>
    <n v="2.3E-2"/>
    <n v="2.3E-2"/>
    <n v="2.4E-2"/>
    <n v="2.3E-2"/>
    <n v="3.4000000000000002E-2"/>
    <n v="3.6999999999999998E-2"/>
    <n v="3.4000000000000002E-2"/>
    <n v="2.8000000000000001E-2"/>
    <n v="2.9000000000000001E-2"/>
    <n v="3.2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3"/>
    <x v="0"/>
    <x v="0"/>
    <x v="8"/>
    <x v="0"/>
    <n v="0"/>
    <n v="0"/>
    <n v="110.809"/>
    <n v="309.25900000000001"/>
    <n v="104.9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3"/>
    <x v="0"/>
    <x v="0"/>
    <x v="8"/>
    <x v="1"/>
    <n v="0"/>
    <n v="0"/>
    <n v="1329.713"/>
    <n v="3711.1109999999999"/>
    <n v="1259.186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3"/>
    <x v="0"/>
    <x v="0"/>
    <x v="8"/>
    <x v="2"/>
    <n v="0"/>
    <n v="0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3"/>
    <x v="0"/>
    <x v="0"/>
    <x v="8"/>
    <x v="3"/>
    <n v="0"/>
    <n v="0"/>
    <n v="8.0000000000000002E-3"/>
    <n v="1.7000000000000001E-2"/>
    <n v="0.173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3"/>
    <x v="0"/>
    <x v="0"/>
    <x v="8"/>
    <x v="4"/>
    <n v="1.0137434999999999"/>
    <n v="1.1263795000000001"/>
    <n v="1.0670983999999999"/>
    <n v="1.0425571"/>
    <n v="1.1004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3"/>
    <x v="0"/>
    <x v="0"/>
    <x v="8"/>
    <x v="5"/>
    <n v="0.28999999999999998"/>
    <n v="0.34899999999999998"/>
    <n v="0.20100000000000001"/>
    <n v="4.599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EST CONTROL"/>
    <s v="SC JOHNSON"/>
    <x v="3"/>
    <x v="0"/>
    <x v="0"/>
    <x v="9"/>
    <x v="0"/>
    <n v="0"/>
    <n v="0"/>
    <n v="0"/>
    <n v="86.17"/>
    <n v="29.85"/>
    <n v="8.3879999999999999"/>
    <n v="0"/>
    <n v="9.2970000000000006"/>
    <n v="19.106999999999999"/>
    <n v="8.4529999999999994"/>
    <n v="0"/>
    <n v="0"/>
    <n v="0"/>
    <n v="0"/>
    <n v="0"/>
    <n v="48.683999999999997"/>
    <n v="52.283000000000001"/>
    <n v="0"/>
    <n v="93.843000000000004"/>
    <n v="73.009"/>
    <n v="26.513999999999999"/>
    <n v="29.06"/>
    <n v="30.649000000000001"/>
    <n v="113.571"/>
    <n v="431.95400000000001"/>
    <n v="542.30100000000004"/>
    <n v="660.45"/>
    <n v="569.85299999999995"/>
    <n v="843.375"/>
    <n v="852.81200000000001"/>
    <n v="1031.4580000000001"/>
    <n v="1041.2850000000001"/>
    <n v="964.755"/>
    <n v="767.49800000000005"/>
    <n v="904.71400000000006"/>
    <n v="393.28699999999998"/>
    <n v="78.289000000000001"/>
    <n v="78.289000000000001"/>
  </r>
  <r>
    <x v="0"/>
    <s v="PEST CONTROL"/>
    <s v="SC JOHNSON"/>
    <x v="3"/>
    <x v="0"/>
    <x v="0"/>
    <x v="9"/>
    <x v="1"/>
    <n v="0"/>
    <n v="0"/>
    <n v="0"/>
    <n v="20235.947"/>
    <n v="9253.5249999999996"/>
    <n v="2138.9409999999998"/>
    <n v="0"/>
    <n v="2881.9580000000001"/>
    <n v="5923.2979999999998"/>
    <n v="2620.4499999999998"/>
    <n v="0"/>
    <n v="0"/>
    <n v="0"/>
    <n v="0"/>
    <n v="0"/>
    <n v="12440.911"/>
    <n v="13468.254000000001"/>
    <n v="0"/>
    <n v="24129.695"/>
    <n v="18070.77"/>
    <n v="4746.0240000000003"/>
    <n v="5201.7370000000001"/>
    <n v="5486.174"/>
    <n v="40995.550999999999"/>
    <n v="122320.583"/>
    <n v="151130.079"/>
    <n v="190156.628"/>
    <n v="136358.17499999999"/>
    <n v="252254.20800000001"/>
    <n v="264370.94400000002"/>
    <n v="310594.7"/>
    <n v="320283"/>
    <n v="291434.11200000002"/>
    <n v="216989.17600000001"/>
    <n v="288074.52600000001"/>
    <n v="98093.899000000005"/>
    <n v="19141.612000000001"/>
    <n v="19141.612000000001"/>
  </r>
  <r>
    <x v="0"/>
    <s v="PEST CONTROL"/>
    <s v="SC JOHNSON"/>
    <x v="3"/>
    <x v="0"/>
    <x v="0"/>
    <x v="9"/>
    <x v="2"/>
    <n v="0"/>
    <n v="0"/>
    <n v="0"/>
    <n v="8.0000000000000002E-3"/>
    <n v="3.0000000000000001E-3"/>
    <n v="1E-3"/>
    <n v="0"/>
    <n v="1E-3"/>
    <n v="3.0000000000000001E-3"/>
    <n v="2E-3"/>
    <n v="0"/>
    <n v="0"/>
    <n v="0"/>
    <n v="0"/>
    <n v="0"/>
    <n v="5.0000000000000001E-3"/>
    <n v="5.0000000000000001E-3"/>
    <n v="0"/>
    <n v="8.0000000000000002E-3"/>
    <n v="8.0000000000000002E-3"/>
    <n v="3.0000000000000001E-3"/>
    <n v="4.0000000000000001E-3"/>
    <n v="5.0000000000000001E-3"/>
    <n v="0.02"/>
    <n v="7.3999999999999996E-2"/>
    <n v="8.3000000000000004E-2"/>
    <n v="8.1000000000000003E-2"/>
    <n v="5.7000000000000002E-2"/>
    <n v="7.2999999999999995E-2"/>
    <n v="7.1999999999999995E-2"/>
    <n v="7.1999999999999995E-2"/>
    <n v="8.2000000000000003E-2"/>
    <n v="8.8999999999999996E-2"/>
    <n v="0.08"/>
    <n v="0.111"/>
    <n v="6.8000000000000005E-2"/>
    <n v="0.02"/>
    <n v="2.3E-2"/>
  </r>
  <r>
    <x v="0"/>
    <s v="PEST CONTROL"/>
    <s v="SC JOHNSON"/>
    <x v="3"/>
    <x v="0"/>
    <x v="0"/>
    <x v="9"/>
    <x v="3"/>
    <n v="4.2000000000000003E-2"/>
    <n v="0.48799999999999999"/>
    <n v="0.74399999999999999"/>
    <n v="0.54400000000000004"/>
    <n v="0.36899999999999999"/>
    <n v="0.45900000000000002"/>
    <n v="0.27600000000000002"/>
    <n v="0.23200000000000001"/>
    <n v="0.61599999999999999"/>
    <n v="0.192"/>
    <n v="0.19"/>
    <n v="0.17599999999999999"/>
    <n v="0.19400000000000001"/>
    <n v="0.90800000000000003"/>
    <n v="0.76700000000000002"/>
    <n v="1.2290000000000001"/>
    <n v="0.93300000000000005"/>
    <n v="0.34"/>
    <n v="1.8879999999999999"/>
    <n v="2.46"/>
    <n v="1.9530000000000001"/>
    <n v="1.6080000000000001"/>
    <n v="1.9430000000000001"/>
    <n v="7.6779999999999999"/>
    <n v="10.948"/>
    <n v="8.0500000000000007"/>
    <n v="8.7200000000000006"/>
    <n v="6.2690000000000001"/>
    <n v="5.444"/>
    <n v="6.4409999999999998"/>
    <n v="9.6170000000000009"/>
    <n v="7.673"/>
    <n v="7.3140000000000001"/>
    <n v="5.3579999999999997"/>
    <n v="9.6069999999999993"/>
    <n v="5.7469999999999999"/>
    <n v="5.5789999999999997"/>
    <n v="283.86700000000002"/>
  </r>
  <r>
    <x v="0"/>
    <s v="PEST CONTROL"/>
    <s v="SC JOHNSON"/>
    <x v="3"/>
    <x v="0"/>
    <x v="0"/>
    <x v="9"/>
    <x v="4"/>
    <n v="0.49172529999999998"/>
    <n v="0.61350349999999998"/>
    <n v="0.61350340000000003"/>
    <n v="0.59871759999999996"/>
    <n v="0.13934099999999999"/>
    <n v="0.13934099999999999"/>
    <n v="0.1393411"/>
    <n v="0.13934089999999999"/>
    <n v="0.1562028"/>
    <n v="0.15620300000000001"/>
    <n v="0.15620300000000001"/>
    <n v="0.1562028"/>
    <n v="0.1562028"/>
    <n v="0.1562027"/>
    <n v="0.15620249999999999"/>
    <n v="0.58610910000000005"/>
    <n v="0.58611029999999997"/>
    <n v="0.15671640000000001"/>
    <n v="0.93397050000000004"/>
    <n v="0.93397209999999997"/>
    <n v="0.75486679999999995"/>
    <n v="0.75486580000000003"/>
    <n v="0.81213139999999995"/>
    <n v="1.7542106"/>
    <n v="2.2014393999999999"/>
    <n v="2.2014377000000001"/>
    <n v="2.1890154000000002"/>
    <n v="1.9185053000000001"/>
    <n v="1.9836676"/>
    <n v="2.3203459999999998"/>
    <n v="2.8581150000000002"/>
    <n v="2.9325359999999998"/>
    <n v="2.5489958000000001"/>
    <n v="2.4745710000000001"/>
    <n v="3.1484937"/>
    <n v="2.8937146999999999"/>
    <n v="2.4648248000000001"/>
    <n v="5.5789999999999997"/>
  </r>
  <r>
    <x v="0"/>
    <s v="PEST CONTROL"/>
    <s v="SC JOHNSON"/>
    <x v="3"/>
    <x v="0"/>
    <x v="0"/>
    <x v="9"/>
    <x v="5"/>
    <n v="3.2000000000000001E-2"/>
    <n v="4.4999999999999998E-2"/>
    <n v="4.4999999999999998E-2"/>
    <n v="4.0000000000000001E-3"/>
    <n v="4.0000000000000001E-3"/>
    <n v="4.0000000000000001E-3"/>
    <n v="4.0000000000000001E-3"/>
    <n v="0"/>
    <n v="5.0000000000000001E-3"/>
    <n v="0"/>
    <n v="5.0000000000000001E-3"/>
    <n v="5.0000000000000001E-3"/>
    <n v="6.0000000000000001E-3"/>
    <n v="5.0000000000000001E-3"/>
    <n v="6.0000000000000001E-3"/>
    <n v="1.7999999999999999E-2"/>
    <n v="0"/>
    <n v="6.0000000000000001E-3"/>
    <n v="5.3999999999999999E-2"/>
    <n v="2.5999999999999999E-2"/>
    <n v="2.7E-2"/>
    <n v="2.5999999999999999E-2"/>
    <n v="2.7E-2"/>
    <n v="8.5000000000000006E-2"/>
    <n v="0.16800000000000001"/>
    <n v="0.157"/>
    <n v="0.114"/>
    <n v="0.14699999999999999"/>
    <n v="0.155"/>
    <n v="0.157"/>
    <n v="0.185"/>
    <n v="0.218"/>
    <n v="0.151"/>
    <n v="0.17100000000000001"/>
    <n v="0.214"/>
    <n v="0.16400000000000001"/>
    <n v="0.14899999999999999"/>
    <n v="2.4648248000000001"/>
  </r>
  <r>
    <x v="0"/>
    <s v="PEST CONTROL"/>
    <s v="SC JOHNSON"/>
    <x v="3"/>
    <x v="0"/>
    <x v="0"/>
    <x v="10"/>
    <x v="0"/>
    <n v="579.78700000000003"/>
    <n v="1235.377"/>
    <n v="1151.8430000000001"/>
    <n v="2798.0729999999999"/>
    <n v="3114.7910000000002"/>
    <n v="2889.54"/>
    <n v="3200.0279999999998"/>
    <n v="2511.23"/>
    <n v="1349.002"/>
    <n v="853.29399999999998"/>
    <n v="654.34299999999996"/>
    <n v="660.90499999999997"/>
    <n v="594.92600000000004"/>
    <n v="908.97400000000005"/>
    <n v="522.55600000000004"/>
    <n v="841.38699999999994"/>
    <n v="1315.4960000000001"/>
    <n v="1627.1079999999999"/>
    <n v="1749.9159999999999"/>
    <n v="1669.671"/>
    <n v="1974.1220000000001"/>
    <n v="831.87699999999995"/>
    <n v="644.28300000000002"/>
    <n v="1073.7809999999999"/>
    <n v="835.92200000000003"/>
    <n v="1214.5920000000001"/>
    <n v="1499.6469999999999"/>
    <n v="3012.4679999999998"/>
    <n v="4195.2960000000003"/>
    <n v="3926.3919999999998"/>
    <n v="5502.2470000000003"/>
    <n v="6714.8249999999998"/>
    <n v="5501.2489999999998"/>
    <n v="5406.0159999999996"/>
    <n v="4081.5630000000001"/>
    <n v="2202.002"/>
    <n v="946.048"/>
    <n v="18300.095000000001"/>
  </r>
  <r>
    <x v="0"/>
    <s v="PEST CONTROL"/>
    <s v="SC JOHNSON"/>
    <x v="3"/>
    <x v="0"/>
    <x v="0"/>
    <x v="10"/>
    <x v="1"/>
    <n v="110657.656"/>
    <n v="209342.33199999999"/>
    <n v="191242.52299999999"/>
    <n v="472670.09100000001"/>
    <n v="482597.978"/>
    <n v="445351.45199999999"/>
    <n v="493768.15100000001"/>
    <n v="398395.25699999998"/>
    <n v="221226.64300000001"/>
    <n v="133819.12299999999"/>
    <n v="90432.843999999997"/>
    <n v="101538.774"/>
    <n v="77168.459000000003"/>
    <n v="116267.21400000001"/>
    <n v="79682.744999999995"/>
    <n v="133743.655"/>
    <n v="184513.019"/>
    <n v="250650.519"/>
    <n v="273675.57400000002"/>
    <n v="248062.75599999999"/>
    <n v="308097.98700000002"/>
    <n v="125581.232"/>
    <n v="88150.024999999994"/>
    <n v="162875.997"/>
    <n v="138924.85699999999"/>
    <n v="174918.378"/>
    <n v="236833.179"/>
    <n v="436426.97600000002"/>
    <n v="634699.69700000004"/>
    <n v="595461.446"/>
    <n v="808272.62"/>
    <n v="977452.16799999995"/>
    <n v="828177.91399999999"/>
    <n v="838553.88500000001"/>
    <n v="575253.02"/>
    <n v="289720.54499999998"/>
    <n v="142932.80100000001"/>
    <n v="142932.80100000001"/>
  </r>
  <r>
    <x v="0"/>
    <s v="PEST CONTROL"/>
    <s v="SC JOHNSON"/>
    <x v="3"/>
    <x v="0"/>
    <x v="0"/>
    <x v="10"/>
    <x v="2"/>
    <n v="6.4000000000000001E-2"/>
    <n v="0.104"/>
    <n v="7.4999999999999997E-2"/>
    <n v="0.13500000000000001"/>
    <n v="0.126"/>
    <n v="0.11600000000000001"/>
    <n v="0.128"/>
    <n v="0.13100000000000001"/>
    <n v="9.1999999999999998E-2"/>
    <n v="7.6999999999999999E-2"/>
    <n v="6.4000000000000001E-2"/>
    <n v="7.3999999999999996E-2"/>
    <n v="6.5000000000000002E-2"/>
    <n v="7.6999999999999999E-2"/>
    <n v="3.4000000000000002E-2"/>
    <n v="4.5999999999999999E-2"/>
    <n v="5.7000000000000002E-2"/>
    <n v="8.1000000000000003E-2"/>
    <n v="7.8E-2"/>
    <n v="8.8999999999999996E-2"/>
    <n v="0.114"/>
    <n v="5.5E-2"/>
    <n v="4.3999999999999997E-2"/>
    <n v="7.4999999999999997E-2"/>
    <n v="6.9000000000000006E-2"/>
    <n v="7.9000000000000001E-2"/>
    <n v="0.08"/>
    <n v="0.13600000000000001"/>
    <n v="0.157"/>
    <n v="0.128"/>
    <n v="0.14299999999999999"/>
    <n v="0.20699999999999999"/>
    <n v="0.20100000000000001"/>
    <n v="0.24"/>
    <n v="0.222"/>
    <n v="0.17499999999999999"/>
    <n v="0.10299999999999999"/>
    <n v="5.3920000000000003"/>
  </r>
  <r>
    <x v="0"/>
    <s v="PEST CONTROL"/>
    <s v="SC JOHNSON"/>
    <x v="3"/>
    <x v="0"/>
    <x v="0"/>
    <x v="10"/>
    <x v="3"/>
    <n v="22.071999999999999"/>
    <n v="19.867999999999999"/>
    <n v="22.748999999999999"/>
    <n v="29.588999999999999"/>
    <n v="27.15"/>
    <n v="30.332000000000001"/>
    <n v="31.303999999999998"/>
    <n v="25.19"/>
    <n v="23.286000000000001"/>
    <n v="22.959"/>
    <n v="21.687000000000001"/>
    <n v="19.853000000000002"/>
    <n v="19.238"/>
    <n v="19.257999999999999"/>
    <n v="18.902999999999999"/>
    <n v="18.713999999999999"/>
    <n v="18.422000000000001"/>
    <n v="18.809999999999999"/>
    <n v="21.163"/>
    <n v="22.661999999999999"/>
    <n v="28.398"/>
    <n v="21.555"/>
    <n v="19.648"/>
    <n v="17.846"/>
    <n v="21.044"/>
    <n v="28.611000000000001"/>
    <n v="26.72"/>
    <n v="27.681999999999999"/>
    <n v="31.884"/>
    <n v="33.253"/>
    <n v="32.049999999999997"/>
    <n v="31.143000000000001"/>
    <n v="25.295999999999999"/>
    <n v="26.2"/>
    <n v="24.669"/>
    <n v="24.428000000000001"/>
    <n v="20.446999999999999"/>
    <n v="80615.126000000004"/>
  </r>
  <r>
    <x v="0"/>
    <s v="PEST CONTROL"/>
    <s v="SC JOHNSON"/>
    <x v="3"/>
    <x v="0"/>
    <x v="0"/>
    <x v="10"/>
    <x v="4"/>
    <n v="14.4534628"/>
    <n v="14.152294599999999"/>
    <n v="13.8226277"/>
    <n v="18.461627499999999"/>
    <n v="17.901609000000001"/>
    <n v="19.051891000000001"/>
    <n v="18.627447"/>
    <n v="17.5461554"/>
    <n v="15.251874000000001"/>
    <n v="16.030930600000001"/>
    <n v="13.685199300000001"/>
    <n v="12.6217676"/>
    <n v="11.6534113"/>
    <n v="11.808480599999999"/>
    <n v="11.952763600000001"/>
    <n v="13.1764498"/>
    <n v="12.3535906"/>
    <n v="13.747319299999999"/>
    <n v="14.5199859"/>
    <n v="14.140417599999999"/>
    <n v="14.830619199999999"/>
    <n v="12.413485100000001"/>
    <n v="12.1309456"/>
    <n v="12.2777438"/>
    <n v="13.562380599999999"/>
    <n v="14.8554453"/>
    <n v="17.089210000000001"/>
    <n v="17.155498999999999"/>
    <n v="19.658924299999999"/>
    <n v="20.125960599999999"/>
    <n v="19.8867212"/>
    <n v="19.327509800000001"/>
    <n v="17.5406914"/>
    <n v="18.176882500000001"/>
    <n v="18.7323564"/>
    <n v="16.424969600000001"/>
    <n v="15.0203127"/>
    <n v="20.446999999999999"/>
  </r>
  <r>
    <x v="0"/>
    <s v="PEST CONTROL"/>
    <s v="SC JOHNSON"/>
    <x v="3"/>
    <x v="0"/>
    <x v="0"/>
    <x v="10"/>
    <x v="5"/>
    <n v="1.175"/>
    <n v="1.304"/>
    <n v="1.0609999999999999"/>
    <n v="1.1739999999999999"/>
    <n v="1.712"/>
    <n v="1.1759999999999999"/>
    <n v="1.556"/>
    <n v="1.381"/>
    <n v="1.1930000000000001"/>
    <n v="1"/>
    <n v="0.93700000000000006"/>
    <n v="1.0620000000000001"/>
    <n v="0.86299999999999999"/>
    <n v="1.3420000000000001"/>
    <n v="0.89100000000000001"/>
    <n v="0.84499999999999997"/>
    <n v="0.77900000000000003"/>
    <n v="0.95699999999999996"/>
    <n v="0.84199999999999997"/>
    <n v="1.222"/>
    <n v="1.5389999999999999"/>
    <n v="1.3759999999999999"/>
    <n v="1.0209999999999999"/>
    <n v="1.383"/>
    <n v="1.278"/>
    <n v="1.335"/>
    <n v="1.353"/>
    <n v="1.4930000000000001"/>
    <n v="2.3210000000000002"/>
    <n v="2.738"/>
    <n v="2.4009999999999998"/>
    <n v="2.2770000000000001"/>
    <n v="2.3730000000000002"/>
    <n v="2.343"/>
    <n v="2.2749999999999999"/>
    <n v="2.1989999999999998"/>
    <n v="1.9419999999999999"/>
    <n v="15.0203127"/>
  </r>
  <r>
    <x v="0"/>
    <s v="PEST CONTROL"/>
    <s v="SC JOHNSON"/>
    <x v="3"/>
    <x v="0"/>
    <x v="3"/>
    <x v="11"/>
    <x v="0"/>
    <n v="0"/>
    <n v="32.54"/>
    <n v="0"/>
    <n v="89.727000000000004"/>
    <n v="58.533999999999999"/>
    <n v="0"/>
    <n v="0"/>
    <n v="0"/>
    <n v="0"/>
    <n v="0"/>
    <n v="0"/>
    <n v="0"/>
    <n v="0"/>
    <n v="0"/>
    <n v="0"/>
    <n v="0"/>
    <n v="0"/>
    <n v="114.54900000000001"/>
    <n v="107.004"/>
    <n v="147.28200000000001"/>
    <n v="128.74700000000001"/>
    <n v="0"/>
    <n v="0"/>
    <n v="0"/>
    <n v="0"/>
    <n v="23.489000000000001"/>
    <n v="89.113"/>
    <n v="199.751"/>
    <n v="165.88900000000001"/>
    <n v="0"/>
    <n v="0"/>
    <n v="151.95099999999999"/>
    <n v="0"/>
    <n v="317.13499999999999"/>
    <n v="98.924000000000007"/>
    <n v="35.725000000000001"/>
    <n v="23.420999999999999"/>
    <n v="23.420999999999999"/>
  </r>
  <r>
    <x v="0"/>
    <s v="PEST CONTROL"/>
    <s v="SC JOHNSON"/>
    <x v="3"/>
    <x v="0"/>
    <x v="3"/>
    <x v="11"/>
    <x v="1"/>
    <n v="0"/>
    <n v="9111.2510000000002"/>
    <n v="0"/>
    <n v="25636.847000000002"/>
    <n v="29852.585999999999"/>
    <n v="0"/>
    <n v="0"/>
    <n v="0"/>
    <n v="0"/>
    <n v="0"/>
    <n v="0"/>
    <n v="0"/>
    <n v="0"/>
    <n v="0"/>
    <n v="0"/>
    <n v="0"/>
    <n v="0"/>
    <n v="58419.798999999999"/>
    <n v="54572.091999999997"/>
    <n v="75113.853000000003"/>
    <n v="69008.284"/>
    <n v="0"/>
    <n v="0"/>
    <n v="0"/>
    <n v="0"/>
    <n v="6717.73"/>
    <n v="53022.311000000002"/>
    <n v="90884.644"/>
    <n v="78344.717000000004"/>
    <n v="0"/>
    <n v="0"/>
    <n v="42546.16"/>
    <n v="0"/>
    <n v="135892.533"/>
    <n v="32319.934000000001"/>
    <n v="10217.474"/>
    <n v="6698.36"/>
    <n v="6698.36"/>
  </r>
  <r>
    <x v="0"/>
    <s v="PEST CONTROL"/>
    <s v="SC JOHNSON"/>
    <x v="3"/>
    <x v="0"/>
    <x v="3"/>
    <x v="11"/>
    <x v="2"/>
    <n v="0"/>
    <n v="3.4000000000000002E-2"/>
    <n v="0"/>
    <n v="5.7000000000000002E-2"/>
    <n v="3.3000000000000002E-2"/>
    <n v="0"/>
    <n v="0"/>
    <n v="0"/>
    <n v="0"/>
    <n v="0"/>
    <n v="0"/>
    <n v="0"/>
    <n v="0"/>
    <n v="0"/>
    <n v="0"/>
    <n v="0"/>
    <n v="0"/>
    <n v="7.0999999999999994E-2"/>
    <n v="6.2E-2"/>
    <n v="0.107"/>
    <n v="0.10299999999999999"/>
    <n v="0"/>
    <n v="0"/>
    <n v="0"/>
    <n v="0"/>
    <n v="2.3E-2"/>
    <n v="7.0000000000000007E-2"/>
    <n v="0.129"/>
    <n v="9.2999999999999999E-2"/>
    <n v="0"/>
    <n v="0"/>
    <n v="7.8E-2"/>
    <n v="0"/>
    <n v="0.214"/>
    <n v="7.8E-2"/>
    <n v="0.04"/>
    <n v="3.7999999999999999E-2"/>
    <n v="7.0000000000000001E-3"/>
  </r>
  <r>
    <x v="0"/>
    <s v="PEST CONTROL"/>
    <s v="SC JOHNSON"/>
    <x v="3"/>
    <x v="0"/>
    <x v="3"/>
    <x v="11"/>
    <x v="3"/>
    <n v="3.444"/>
    <n v="4.7309999999999999"/>
    <n v="4.6769999999999996"/>
    <n v="5.4729999999999999"/>
    <n v="2.52"/>
    <n v="0.86399999999999999"/>
    <n v="0.746"/>
    <n v="0.56299999999999994"/>
    <n v="0.57499999999999996"/>
    <n v="0.60899999999999999"/>
    <n v="0.55400000000000005"/>
    <n v="0.218"/>
    <n v="0.94399999999999995"/>
    <n v="0.73199999999999998"/>
    <n v="1.7509999999999999"/>
    <n v="1.5660000000000001"/>
    <n v="1.742"/>
    <n v="3.556"/>
    <n v="3.2919999999999998"/>
    <n v="3.4020000000000001"/>
    <n v="3.6139999999999999"/>
    <n v="1.3440000000000001"/>
    <n v="0.75"/>
    <n v="1.6779999999999999"/>
    <n v="0.38500000000000001"/>
    <n v="2.4430000000000001"/>
    <n v="2.4319999999999999"/>
    <n v="2.6269999999999998"/>
    <n v="3.0550000000000002"/>
    <n v="2.629"/>
    <n v="2.4350000000000001"/>
    <n v="4.6360000000000001"/>
    <n v="3.2250000000000001"/>
    <n v="5.7130000000000001"/>
    <n v="3.1869999999999998"/>
    <n v="3.1139999999999999"/>
    <n v="2.2930000000000001"/>
    <n v="92.79"/>
  </r>
  <r>
    <x v="0"/>
    <s v="PEST CONTROL"/>
    <s v="SC JOHNSON"/>
    <x v="3"/>
    <x v="0"/>
    <x v="3"/>
    <x v="11"/>
    <x v="4"/>
    <n v="0.70726040000000001"/>
    <n v="0.84326849999999998"/>
    <n v="0.8182933"/>
    <n v="0.80569210000000002"/>
    <n v="0.54015950000000001"/>
    <n v="0.19564960000000001"/>
    <n v="0.19564970000000001"/>
    <n v="0.1956495"/>
    <n v="0.20155200000000001"/>
    <n v="0.24186270000000001"/>
    <n v="0.17276050000000001"/>
    <n v="0.17276030000000001"/>
    <n v="0.17276030000000001"/>
    <n v="0.1727602"/>
    <n v="0.24186189999999999"/>
    <n v="0.23681579999999999"/>
    <n v="0.19734360000000001"/>
    <n v="0.62673610000000002"/>
    <n v="0.62673659999999998"/>
    <n v="0.62673760000000001"/>
    <n v="0.96831990000000001"/>
    <n v="0.50314440000000005"/>
    <n v="0.50314550000000002"/>
    <n v="0.53903489999999998"/>
    <n v="0.53903469999999998"/>
    <n v="0.69092849999999995"/>
    <n v="0.66431470000000004"/>
    <n v="0.68432519999999997"/>
    <n v="0.70114290000000001"/>
    <n v="0.49685119999999999"/>
    <n v="0.51206050000000003"/>
    <n v="0.7471875"/>
    <n v="0.73456589999999999"/>
    <n v="0.71723230000000004"/>
    <n v="0.74718839999999997"/>
    <n v="0.75325470000000005"/>
    <n v="0.66812669999999996"/>
    <n v="2.2930000000000001"/>
  </r>
  <r>
    <x v="0"/>
    <s v="PEST CONTROL"/>
    <s v="SC JOHNSON"/>
    <x v="3"/>
    <x v="0"/>
    <x v="3"/>
    <x v="11"/>
    <x v="5"/>
    <n v="8.6999999999999994E-2"/>
    <n v="9.7000000000000003E-2"/>
    <n v="8.6999999999999994E-2"/>
    <n v="3.6999999999999998E-2"/>
    <n v="0.01"/>
    <n v="8.9999999999999993E-3"/>
    <n v="8.9999999999999993E-3"/>
    <n v="0.01"/>
    <n v="1.0999999999999999E-2"/>
    <n v="1.2E-2"/>
    <n v="0.01"/>
    <n v="1.0999999999999999E-2"/>
    <n v="1.0999999999999999E-2"/>
    <n v="0.01"/>
    <n v="1.2999999999999999E-2"/>
    <n v="1.2E-2"/>
    <n v="8.9999999999999993E-3"/>
    <n v="6.0999999999999999E-2"/>
    <n v="0.01"/>
    <n v="0.05"/>
    <n v="3.5999999999999997E-2"/>
    <n v="3.5000000000000003E-2"/>
    <n v="3.5999999999999997E-2"/>
    <n v="3.7999999999999999E-2"/>
    <n v="3.6999999999999998E-2"/>
    <n v="5.7000000000000002E-2"/>
    <n v="0.03"/>
    <n v="5.0999999999999997E-2"/>
    <n v="0.04"/>
    <n v="4.3999999999999997E-2"/>
    <n v="4.3999999999999997E-2"/>
    <n v="6.3E-2"/>
    <n v="6.3E-2"/>
    <n v="6.0999999999999999E-2"/>
    <n v="5.0999999999999997E-2"/>
    <n v="0.05"/>
    <n v="4.9000000000000002E-2"/>
    <n v="0.66812669999999996"/>
  </r>
  <r>
    <x v="0"/>
    <s v="PEST CONTROL"/>
    <s v="SC JOHNSON"/>
    <x v="3"/>
    <x v="0"/>
    <x v="3"/>
    <x v="8"/>
    <x v="0"/>
    <n v="1624.027"/>
    <n v="1585.1869999999999"/>
    <n v="1254.9649999999999"/>
    <n v="2417.9789999999998"/>
    <n v="3648.7049999999999"/>
    <n v="2817.578"/>
    <n v="3479.2849999999999"/>
    <n v="2877.8620000000001"/>
    <n v="2473.366"/>
    <n v="1145.777"/>
    <n v="757.702"/>
    <n v="1236.8620000000001"/>
    <n v="483.36700000000002"/>
    <n v="621.06200000000001"/>
    <n v="1708.2840000000001"/>
    <n v="2272.5250000000001"/>
    <n v="3494.9409999999998"/>
    <n v="4359.5020000000004"/>
    <n v="5035.4380000000001"/>
    <n v="3396.1889999999999"/>
    <n v="2629.1489999999999"/>
    <n v="1135.501"/>
    <n v="1059.4269999999999"/>
    <n v="1622.1089999999999"/>
    <n v="1382.213"/>
    <n v="1774.49"/>
    <n v="2217.0500000000002"/>
    <n v="3183.5709999999999"/>
    <n v="3820.6320000000001"/>
    <n v="4428.0879999999997"/>
    <n v="5333.81"/>
    <n v="4996.8050000000003"/>
    <n v="2250.8670000000002"/>
    <n v="1942.2260000000001"/>
    <n v="678.63699999999994"/>
    <n v="610.96699999999998"/>
    <n v="479.19499999999999"/>
    <n v="5750.3440000000001"/>
  </r>
  <r>
    <x v="0"/>
    <s v="PEST CONTROL"/>
    <s v="SC JOHNSON"/>
    <x v="3"/>
    <x v="0"/>
    <x v="3"/>
    <x v="8"/>
    <x v="1"/>
    <n v="167694.902"/>
    <n v="161059.23000000001"/>
    <n v="130520.927"/>
    <n v="271274.07400000002"/>
    <n v="259979.80600000001"/>
    <n v="248369.92199999999"/>
    <n v="300151.21000000002"/>
    <n v="242221.83900000001"/>
    <n v="189694.50899999999"/>
    <n v="129204.11599999999"/>
    <n v="90305.698000000004"/>
    <n v="144895.52299999999"/>
    <n v="54251.957000000002"/>
    <n v="71131.129000000001"/>
    <n v="178127.932"/>
    <n v="274989.18"/>
    <n v="390047.42"/>
    <n v="553545.84400000004"/>
    <n v="675915.74800000002"/>
    <n v="431270.495"/>
    <n v="358554.39399999997"/>
    <n v="165193.405"/>
    <n v="159040.307"/>
    <n v="221218.924"/>
    <n v="187104.253"/>
    <n v="215406.11300000001"/>
    <n v="303733.00699999998"/>
    <n v="428414.98100000003"/>
    <n v="513574.56800000003"/>
    <n v="613615.67000000004"/>
    <n v="725155.63899999997"/>
    <n v="670637.59100000001"/>
    <n v="300570.23499999999"/>
    <n v="256402.554"/>
    <n v="75754.263999999996"/>
    <n v="78310.684999999998"/>
    <n v="66682.226999999999"/>
    <n v="66682.226999999999"/>
  </r>
  <r>
    <x v="0"/>
    <s v="PEST CONTROL"/>
    <s v="SC JOHNSON"/>
    <x v="3"/>
    <x v="0"/>
    <x v="3"/>
    <x v="8"/>
    <x v="2"/>
    <n v="8.5000000000000006E-2"/>
    <n v="6.9000000000000006E-2"/>
    <n v="4.3999999999999997E-2"/>
    <n v="6.4000000000000001E-2"/>
    <n v="5.5E-2"/>
    <n v="4.9000000000000002E-2"/>
    <n v="6.4000000000000001E-2"/>
    <n v="6.2E-2"/>
    <n v="5.8000000000000003E-2"/>
    <n v="5.7000000000000002E-2"/>
    <n v="4.4999999999999998E-2"/>
    <n v="8.1000000000000003E-2"/>
    <n v="3.2000000000000001E-2"/>
    <n v="3.5000000000000003E-2"/>
    <n v="6.0999999999999999E-2"/>
    <n v="6.7000000000000004E-2"/>
    <n v="7.8E-2"/>
    <n v="0.111"/>
    <n v="0.11799999999999999"/>
    <n v="9.1999999999999998E-2"/>
    <n v="8.4000000000000005E-2"/>
    <n v="4.5999999999999999E-2"/>
    <n v="4.9000000000000002E-2"/>
    <n v="7.0000000000000007E-2"/>
    <n v="5.6000000000000001E-2"/>
    <n v="5.6000000000000001E-2"/>
    <n v="7.1999999999999995E-2"/>
    <n v="0.08"/>
    <n v="8.5999999999999993E-2"/>
    <n v="9.9000000000000005E-2"/>
    <n v="0.1"/>
    <n v="0.105"/>
    <n v="5.5E-2"/>
    <n v="5.3999999999999999E-2"/>
    <n v="2.1999999999999999E-2"/>
    <n v="2.8000000000000001E-2"/>
    <n v="3.2000000000000001E-2"/>
    <n v="1.694"/>
  </r>
  <r>
    <x v="0"/>
    <s v="PEST CONTROL"/>
    <s v="SC JOHNSON"/>
    <x v="3"/>
    <x v="0"/>
    <x v="3"/>
    <x v="8"/>
    <x v="3"/>
    <n v="20.507999999999999"/>
    <n v="19.355"/>
    <n v="16.044"/>
    <n v="17.751000000000001"/>
    <n v="16.448"/>
    <n v="23.068999999999999"/>
    <n v="23.102"/>
    <n v="31.754000000000001"/>
    <n v="31.925000000000001"/>
    <n v="34.161999999999999"/>
    <n v="28.254999999999999"/>
    <n v="27.337"/>
    <n v="23.588999999999999"/>
    <n v="27.295000000000002"/>
    <n v="28.846"/>
    <n v="26.677"/>
    <n v="27.648"/>
    <n v="30.44"/>
    <n v="30.72"/>
    <n v="28.183"/>
    <n v="20.462"/>
    <n v="14.651999999999999"/>
    <n v="17.818999999999999"/>
    <n v="18.062000000000001"/>
    <n v="17.169"/>
    <n v="17.774000000000001"/>
    <n v="20.914000000000001"/>
    <n v="20.21"/>
    <n v="23.265000000000001"/>
    <n v="26.395"/>
    <n v="28.042000000000002"/>
    <n v="23.358000000000001"/>
    <n v="17.687999999999999"/>
    <n v="16.04"/>
    <n v="11.635"/>
    <n v="13.329000000000001"/>
    <n v="12.807"/>
    <n v="29266.264999999999"/>
  </r>
  <r>
    <x v="0"/>
    <s v="PEST CONTROL"/>
    <s v="SC JOHNSON"/>
    <x v="3"/>
    <x v="0"/>
    <x v="3"/>
    <x v="8"/>
    <x v="4"/>
    <n v="10.729907300000001"/>
    <n v="11.0902742"/>
    <n v="10.0527604"/>
    <n v="9.9691635000000005"/>
    <n v="10.9247554"/>
    <n v="13.9789399"/>
    <n v="14.9110885"/>
    <n v="15.202761499999999"/>
    <n v="13.0983714"/>
    <n v="12.6846294"/>
    <n v="12.366210799999999"/>
    <n v="12.2791394"/>
    <n v="12.1728106"/>
    <n v="12.598140600000001"/>
    <n v="14.9962123"/>
    <n v="14.836249799999999"/>
    <n v="17.066234399999999"/>
    <n v="17.174671499999999"/>
    <n v="17.633429899999999"/>
    <n v="15.7105204"/>
    <n v="13.4927764"/>
    <n v="12.2846592"/>
    <n v="14.310931099999999"/>
    <n v="14.3161909"/>
    <n v="14.155199400000001"/>
    <n v="13.9064368"/>
    <n v="15.082083900000001"/>
    <n v="15.617371"/>
    <n v="17.5711692"/>
    <n v="17.023420300000002"/>
    <n v="16.918528500000001"/>
    <n v="14.4468078"/>
    <n v="12.271175100000001"/>
    <n v="10.8623171"/>
    <n v="10.023454600000001"/>
    <n v="10.4260532"/>
    <n v="9.4165220999999999"/>
    <n v="12.807"/>
  </r>
  <r>
    <x v="0"/>
    <s v="PEST CONTROL"/>
    <s v="SC JOHNSON"/>
    <x v="3"/>
    <x v="0"/>
    <x v="3"/>
    <x v="8"/>
    <x v="5"/>
    <n v="1.2050000000000001"/>
    <n v="1.0089999999999999"/>
    <n v="0.97499999999999998"/>
    <n v="0.59"/>
    <n v="1.508"/>
    <n v="1.548"/>
    <n v="1.8220000000000001"/>
    <n v="1.7529999999999999"/>
    <n v="1.389"/>
    <n v="1.6839999999999999"/>
    <n v="1.458"/>
    <n v="1.573"/>
    <n v="1.4990000000000001"/>
    <n v="1.5049999999999999"/>
    <n v="1.4810000000000001"/>
    <n v="1.4890000000000001"/>
    <n v="1.855"/>
    <n v="1.968"/>
    <n v="2.149"/>
    <n v="1.86"/>
    <n v="1.758"/>
    <n v="1.81"/>
    <n v="2.093"/>
    <n v="2.4700000000000002"/>
    <n v="2.5950000000000002"/>
    <n v="2.3319999999999999"/>
    <n v="2.1840000000000002"/>
    <n v="1.6080000000000001"/>
    <n v="1.7450000000000001"/>
    <n v="1.88"/>
    <n v="2.2389999999999999"/>
    <n v="1.679"/>
    <n v="1.4750000000000001"/>
    <n v="1.1990000000000001"/>
    <n v="1.2569999999999999"/>
    <n v="1.07"/>
    <n v="1.2769999999999999"/>
    <n v="9.4165220999999999"/>
  </r>
  <r>
    <x v="0"/>
    <s v="PEST CONTROL"/>
    <s v="SC JOHNSON"/>
    <x v="3"/>
    <x v="0"/>
    <x v="3"/>
    <x v="9"/>
    <x v="0"/>
    <n v="108.687"/>
    <n v="235.8"/>
    <n v="359.887"/>
    <n v="382.93200000000002"/>
    <n v="795.63599999999997"/>
    <n v="825.04100000000005"/>
    <n v="579.97400000000005"/>
    <n v="649.02800000000002"/>
    <n v="560.34100000000001"/>
    <n v="435.57799999999997"/>
    <n v="197.09399999999999"/>
    <n v="213.21700000000001"/>
    <n v="316.702"/>
    <n v="403.63499999999999"/>
    <n v="395.24400000000003"/>
    <n v="498.41500000000002"/>
    <n v="572.11900000000003"/>
    <n v="788.30200000000002"/>
    <n v="690.89099999999996"/>
    <n v="436.64699999999999"/>
    <n v="533.61099999999999"/>
    <n v="466.56700000000001"/>
    <n v="436.77699999999999"/>
    <n v="410.42"/>
    <n v="653.82600000000002"/>
    <n v="508.786"/>
    <n v="1124.8150000000001"/>
    <n v="1037.942"/>
    <n v="1310.826"/>
    <n v="1569.6610000000001"/>
    <n v="1023.412"/>
    <n v="1622.4960000000001"/>
    <n v="756.58199999999999"/>
    <n v="429.23599999999999"/>
    <n v="494.846"/>
    <n v="269.33"/>
    <n v="180.48699999999999"/>
    <n v="180.48699999999999"/>
  </r>
  <r>
    <x v="0"/>
    <s v="PEST CONTROL"/>
    <s v="SC JOHNSON"/>
    <x v="3"/>
    <x v="0"/>
    <x v="3"/>
    <x v="9"/>
    <x v="1"/>
    <n v="26174.341"/>
    <n v="56875.28"/>
    <n v="64870.279000000002"/>
    <n v="76723.819000000003"/>
    <n v="188214.46400000001"/>
    <n v="199104.93799999999"/>
    <n v="132522.97700000001"/>
    <n v="145575.00700000001"/>
    <n v="123726.39"/>
    <n v="104803.914"/>
    <n v="54325.951000000001"/>
    <n v="50740.243999999999"/>
    <n v="83906.44"/>
    <n v="104186.64599999999"/>
    <n v="95744.385999999999"/>
    <n v="126363.912"/>
    <n v="137914.136"/>
    <n v="216766.24299999999"/>
    <n v="184755.565"/>
    <n v="115048.932"/>
    <n v="147952.46799999999"/>
    <n v="119692.04700000001"/>
    <n v="114770.152"/>
    <n v="112413.749"/>
    <n v="171393.91"/>
    <n v="144337.47"/>
    <n v="309877.77299999999"/>
    <n v="269444.29700000002"/>
    <n v="383096.625"/>
    <n v="477773.90899999999"/>
    <n v="329805.47100000002"/>
    <n v="509065.51400000002"/>
    <n v="255740.41200000001"/>
    <n v="134177.908"/>
    <n v="158110.709"/>
    <n v="81871.777000000002"/>
    <n v="52514.656000000003"/>
    <n v="52514.656000000003"/>
  </r>
  <r>
    <x v="0"/>
    <s v="PEST CONTROL"/>
    <s v="SC JOHNSON"/>
    <x v="3"/>
    <x v="0"/>
    <x v="3"/>
    <x v="9"/>
    <x v="2"/>
    <n v="2.1000000000000001E-2"/>
    <n v="3.7999999999999999E-2"/>
    <n v="4.7E-2"/>
    <n v="3.7999999999999999E-2"/>
    <n v="6.9000000000000006E-2"/>
    <n v="6.6000000000000003E-2"/>
    <n v="4.9000000000000002E-2"/>
    <n v="6.9000000000000006E-2"/>
    <n v="7.4999999999999997E-2"/>
    <n v="8.1000000000000003E-2"/>
    <n v="4.3999999999999997E-2"/>
    <n v="5.2999999999999999E-2"/>
    <n v="0.08"/>
    <n v="8.5999999999999993E-2"/>
    <n v="5.8999999999999997E-2"/>
    <n v="5.5E-2"/>
    <n v="5.0999999999999997E-2"/>
    <n v="7.4999999999999997E-2"/>
    <n v="6.2E-2"/>
    <n v="4.9000000000000002E-2"/>
    <n v="6.6000000000000003E-2"/>
    <n v="7.1999999999999995E-2"/>
    <n v="7.6999999999999999E-2"/>
    <n v="7.3999999999999996E-2"/>
    <n v="0.112"/>
    <n v="7.6999999999999999E-2"/>
    <n v="0.13700000000000001"/>
    <n v="0.10299999999999999"/>
    <n v="0.114"/>
    <n v="0.13200000000000001"/>
    <n v="7.1999999999999995E-2"/>
    <n v="0.128"/>
    <n v="7.0000000000000007E-2"/>
    <n v="4.4999999999999998E-2"/>
    <n v="6.0999999999999999E-2"/>
    <n v="4.7E-2"/>
    <n v="4.5999999999999999E-2"/>
    <n v="5.2999999999999999E-2"/>
  </r>
  <r>
    <x v="0"/>
    <s v="PEST CONTROL"/>
    <s v="SC JOHNSON"/>
    <x v="3"/>
    <x v="0"/>
    <x v="3"/>
    <x v="9"/>
    <x v="3"/>
    <n v="8.9659999999999993"/>
    <n v="9.7289999999999992"/>
    <n v="9.6509999999999998"/>
    <n v="10.117000000000001"/>
    <n v="9.15"/>
    <n v="10.457000000000001"/>
    <n v="8.4250000000000007"/>
    <n v="8.3089999999999993"/>
    <n v="8.5719999999999992"/>
    <n v="8.0079999999999991"/>
    <n v="5.8929999999999998"/>
    <n v="7.5739999999999998"/>
    <n v="7.3940000000000001"/>
    <n v="8.4629999999999992"/>
    <n v="18.648"/>
    <n v="15.932"/>
    <n v="15.996"/>
    <n v="15.648"/>
    <n v="12.124000000000001"/>
    <n v="14.667"/>
    <n v="17.206"/>
    <n v="12.395"/>
    <n v="14.457000000000001"/>
    <n v="13.760999999999999"/>
    <n v="17.399999999999999"/>
    <n v="17.798999999999999"/>
    <n v="23.975000000000001"/>
    <n v="24.251000000000001"/>
    <n v="26.315999999999999"/>
    <n v="27.512"/>
    <n v="29.687999999999999"/>
    <n v="24.91"/>
    <n v="19.427"/>
    <n v="17.937999999999999"/>
    <n v="18.018000000000001"/>
    <n v="18.047000000000001"/>
    <n v="13.055"/>
    <n v="1631.056"/>
  </r>
  <r>
    <x v="0"/>
    <s v="PEST CONTROL"/>
    <s v="SC JOHNSON"/>
    <x v="3"/>
    <x v="0"/>
    <x v="3"/>
    <x v="9"/>
    <x v="4"/>
    <n v="3.9518369999999998"/>
    <n v="4.4092026999999998"/>
    <n v="4.927854"/>
    <n v="4.9001878999999997"/>
    <n v="4.2359651999999999"/>
    <n v="4.4414623999999998"/>
    <n v="4.1599614000000003"/>
    <n v="4.6466181000000004"/>
    <n v="4.6235225"/>
    <n v="4.7041484999999996"/>
    <n v="3.736961"/>
    <n v="3.7104705999999998"/>
    <n v="3.6426585"/>
    <n v="4.2036968000000003"/>
    <n v="5.4456208999999998"/>
    <n v="6.0915387000000001"/>
    <n v="5.9164566000000001"/>
    <n v="6.1484956999999998"/>
    <n v="5.5470271000000002"/>
    <n v="6.1085798999999996"/>
    <n v="5.5415307"/>
    <n v="5.0811552000000004"/>
    <n v="4.6533946999999998"/>
    <n v="4.7625923999999999"/>
    <n v="5.1867068999999999"/>
    <n v="4.7920442000000003"/>
    <n v="6.5215962000000003"/>
    <n v="7.8867113"/>
    <n v="8.7837796000000008"/>
    <n v="8.5487807999999994"/>
    <n v="8.8409127999999999"/>
    <n v="8.9885213999999998"/>
    <n v="9.5313169000000002"/>
    <n v="8.6209840999999994"/>
    <n v="9.4832774000000004"/>
    <n v="9.7372244000000006"/>
    <n v="8.1032205000000008"/>
    <n v="13.055"/>
  </r>
  <r>
    <x v="0"/>
    <s v="PEST CONTROL"/>
    <s v="SC JOHNSON"/>
    <x v="3"/>
    <x v="0"/>
    <x v="3"/>
    <x v="9"/>
    <x v="5"/>
    <n v="0.56200000000000006"/>
    <n v="0.49399999999999999"/>
    <n v="0.441"/>
    <n v="0.41399999999999998"/>
    <n v="0.54400000000000004"/>
    <n v="0.41599999999999998"/>
    <n v="0.45200000000000001"/>
    <n v="0.46200000000000002"/>
    <n v="0.46800000000000003"/>
    <n v="0.42499999999999999"/>
    <n v="0.40200000000000002"/>
    <n v="0.40300000000000002"/>
    <n v="0.36899999999999999"/>
    <n v="0.48799999999999999"/>
    <n v="0.79"/>
    <n v="0.60599999999999998"/>
    <n v="0.52300000000000002"/>
    <n v="0.64300000000000002"/>
    <n v="0.59599999999999997"/>
    <n v="0.54800000000000004"/>
    <n v="0.52700000000000002"/>
    <n v="0.53800000000000003"/>
    <n v="0.54800000000000004"/>
    <n v="0.47199999999999998"/>
    <n v="0.57799999999999996"/>
    <n v="0.61199999999999999"/>
    <n v="0.89900000000000002"/>
    <n v="0.84799999999999998"/>
    <n v="0.66"/>
    <n v="0.76700000000000002"/>
    <n v="0.78100000000000003"/>
    <n v="0.97899999999999998"/>
    <n v="0.78700000000000003"/>
    <n v="0.80800000000000005"/>
    <n v="0.92600000000000005"/>
    <n v="0.86099999999999999"/>
    <n v="0.85399999999999998"/>
    <n v="8.1032205000000008"/>
  </r>
  <r>
    <x v="0"/>
    <s v="PEST CONTROL"/>
    <s v="SC JOHNSON"/>
    <x v="3"/>
    <x v="0"/>
    <x v="3"/>
    <x v="10"/>
    <x v="0"/>
    <n v="2408.8939999999998"/>
    <n v="2654.1210000000001"/>
    <n v="4238.2610000000004"/>
    <n v="6635.4040000000005"/>
    <n v="6504.2780000000002"/>
    <n v="5519.915"/>
    <n v="4922.7950000000001"/>
    <n v="5085.5659999999998"/>
    <n v="3538.3449999999998"/>
    <n v="2831.1819999999998"/>
    <n v="2160.2939999999999"/>
    <n v="2477.5569999999998"/>
    <n v="2296.2240000000002"/>
    <n v="2429.1239999999998"/>
    <n v="3388.462"/>
    <n v="4388.4610000000002"/>
    <n v="7599.0749999999998"/>
    <n v="7487.9219999999996"/>
    <n v="9075.8979999999992"/>
    <n v="7611.277"/>
    <n v="5929.6469999999999"/>
    <n v="4561.1220000000003"/>
    <n v="5057.2340000000004"/>
    <n v="3511.7069999999999"/>
    <n v="4557.335"/>
    <n v="4650.067"/>
    <n v="5373.549"/>
    <n v="8002.26"/>
    <n v="10751.663"/>
    <n v="10460.36"/>
    <n v="13996.334000000001"/>
    <n v="14743.380999999999"/>
    <n v="11512.851000000001"/>
    <n v="8477.8760000000002"/>
    <n v="6472.7079999999996"/>
    <n v="5390.4679999999998"/>
    <n v="4249.3230000000003"/>
    <n v="91006.32"/>
  </r>
  <r>
    <x v="0"/>
    <s v="PEST CONTROL"/>
    <s v="SC JOHNSON"/>
    <x v="3"/>
    <x v="0"/>
    <x v="3"/>
    <x v="10"/>
    <x v="1"/>
    <n v="441188.41200000001"/>
    <n v="488349.82400000002"/>
    <n v="822167.505"/>
    <n v="1303587.371"/>
    <n v="1320880.037"/>
    <n v="1099229.9369999999"/>
    <n v="1006427.8"/>
    <n v="1027491.624"/>
    <n v="674912.99100000004"/>
    <n v="595411.01199999999"/>
    <n v="442751.755"/>
    <n v="512086.19799999997"/>
    <n v="463199.81400000001"/>
    <n v="514367.80900000001"/>
    <n v="672586.51199999999"/>
    <n v="846343.20499999996"/>
    <n v="1452123.639"/>
    <n v="1411737.794"/>
    <n v="1618103.8959999999"/>
    <n v="1340576.5560000001"/>
    <n v="1090481.591"/>
    <n v="829957.30200000003"/>
    <n v="827347.50899999996"/>
    <n v="642853.18500000006"/>
    <n v="873720.84400000004"/>
    <n v="881128.64300000004"/>
    <n v="1115097.5930000001"/>
    <n v="1586251.3430000001"/>
    <n v="2111244.7960000001"/>
    <n v="2105841.0980000002"/>
    <n v="2700109.0159999998"/>
    <n v="2750553.1310000001"/>
    <n v="2199168.6329999999"/>
    <n v="1569054.7819999999"/>
    <n v="1245393.8149999999"/>
    <n v="1018976.189"/>
    <n v="785965.74800000002"/>
    <n v="785965.74800000002"/>
  </r>
  <r>
    <x v="0"/>
    <s v="PEST CONTROL"/>
    <s v="SC JOHNSON"/>
    <x v="3"/>
    <x v="0"/>
    <x v="3"/>
    <x v="10"/>
    <x v="2"/>
    <n v="0.27300000000000002"/>
    <n v="0.22600000000000001"/>
    <n v="0.3"/>
    <n v="0.36599999999999999"/>
    <n v="0.32200000000000001"/>
    <n v="0.23899999999999999"/>
    <n v="0.218"/>
    <n v="0.28499999999999998"/>
    <n v="0.218"/>
    <n v="0.26700000000000002"/>
    <n v="0.25700000000000001"/>
    <n v="0.317"/>
    <n v="0.30499999999999999"/>
    <n v="0.27700000000000002"/>
    <n v="0.26300000000000001"/>
    <n v="0.245"/>
    <n v="0.34100000000000003"/>
    <n v="0.35399999999999998"/>
    <n v="0.40699999999999997"/>
    <n v="0.40699999999999997"/>
    <n v="0.39100000000000001"/>
    <n v="0.35099999999999998"/>
    <n v="0.40200000000000002"/>
    <n v="0.33900000000000002"/>
    <n v="0.376"/>
    <n v="0.34499999999999997"/>
    <n v="0.34499999999999997"/>
    <n v="0.41099999999999998"/>
    <n v="0.45"/>
    <n v="0.44600000000000001"/>
    <n v="0.47599999999999998"/>
    <n v="0.57899999999999996"/>
    <n v="0.51800000000000002"/>
    <n v="0.42799999999999999"/>
    <n v="0.40100000000000002"/>
    <n v="0.48799999999999999"/>
    <n v="0.52"/>
    <n v="26.815000000000001"/>
  </r>
  <r>
    <x v="0"/>
    <s v="PEST CONTROL"/>
    <s v="SC JOHNSON"/>
    <x v="3"/>
    <x v="0"/>
    <x v="3"/>
    <x v="10"/>
    <x v="3"/>
    <n v="45.344999999999999"/>
    <n v="47.088999999999999"/>
    <n v="52.695999999999998"/>
    <n v="57.917000000000002"/>
    <n v="53.158999999999999"/>
    <n v="49.225999999999999"/>
    <n v="46.213000000000001"/>
    <n v="46.484999999999999"/>
    <n v="43.752000000000002"/>
    <n v="42.271999999999998"/>
    <n v="45.82"/>
    <n v="48.02"/>
    <n v="48.204999999999998"/>
    <n v="53.631999999999998"/>
    <n v="56.966000000000001"/>
    <n v="52.591999999999999"/>
    <n v="59.73"/>
    <n v="59.661000000000001"/>
    <n v="61.604999999999997"/>
    <n v="55.21"/>
    <n v="56.04"/>
    <n v="57.875999999999998"/>
    <n v="60.682000000000002"/>
    <n v="55.749000000000002"/>
    <n v="59.923999999999999"/>
    <n v="53.860999999999997"/>
    <n v="59.036999999999999"/>
    <n v="61.447000000000003"/>
    <n v="66.123000000000005"/>
    <n v="70.941000000000003"/>
    <n v="72.058999999999997"/>
    <n v="66.308000000000007"/>
    <n v="61.012999999999998"/>
    <n v="56.942"/>
    <n v="54.325000000000003"/>
    <n v="49.677"/>
    <n v="50.948"/>
    <n v="190434.15400000001"/>
  </r>
  <r>
    <x v="0"/>
    <s v="PEST CONTROL"/>
    <s v="SC JOHNSON"/>
    <x v="3"/>
    <x v="0"/>
    <x v="3"/>
    <x v="10"/>
    <x v="4"/>
    <n v="28.6862621"/>
    <n v="29.8166291"/>
    <n v="30.157136099999999"/>
    <n v="33.007983899999999"/>
    <n v="30.249279699999999"/>
    <n v="30.815727599999999"/>
    <n v="31.552907300000001"/>
    <n v="31.1396549"/>
    <n v="27.671508899999999"/>
    <n v="27.020394899999999"/>
    <n v="26.152639799999999"/>
    <n v="26.890446399999998"/>
    <n v="27.034122700000001"/>
    <n v="28.451616099999999"/>
    <n v="30.706320300000002"/>
    <n v="32.080179899999997"/>
    <n v="38.729082699999999"/>
    <n v="37.698277300000001"/>
    <n v="36.901358000000002"/>
    <n v="35.174053600000001"/>
    <n v="32.718068700000003"/>
    <n v="34.193887400000001"/>
    <n v="33.569785000000003"/>
    <n v="31.523796999999998"/>
    <n v="33.5033016"/>
    <n v="33.930066799999999"/>
    <n v="33.884039799999996"/>
    <n v="36.001209299999999"/>
    <n v="41.280293"/>
    <n v="43.433334899999998"/>
    <n v="43.029206600000002"/>
    <n v="39.187550999999999"/>
    <n v="38.424245300000003"/>
    <n v="36.177058100000004"/>
    <n v="34.4492014"/>
    <n v="33.398961399999997"/>
    <n v="32.608619099999999"/>
    <n v="50.948"/>
  </r>
  <r>
    <x v="0"/>
    <s v="PEST CONTROL"/>
    <s v="SC JOHNSON"/>
    <x v="3"/>
    <x v="0"/>
    <x v="3"/>
    <x v="10"/>
    <x v="5"/>
    <n v="3.2410000000000001"/>
    <n v="4.1230000000000002"/>
    <n v="3.883"/>
    <n v="3.1269999999999998"/>
    <n v="2.835"/>
    <n v="2.6880000000000002"/>
    <n v="2.8959999999999999"/>
    <n v="3.0649999999999999"/>
    <n v="2.855"/>
    <n v="3.6629999999999998"/>
    <n v="3.552"/>
    <n v="3.8159999999999998"/>
    <n v="3.8210000000000002"/>
    <n v="3.8319999999999999"/>
    <n v="4.1280000000000001"/>
    <n v="4.8319999999999999"/>
    <n v="5.3730000000000002"/>
    <n v="5.5140000000000002"/>
    <n v="5.6470000000000002"/>
    <n v="4.6669999999999998"/>
    <n v="4.9580000000000002"/>
    <n v="4.952"/>
    <n v="5.4749999999999996"/>
    <n v="4.9960000000000004"/>
    <n v="4.758"/>
    <n v="3.823"/>
    <n v="3.5019999999999998"/>
    <n v="3.9020000000000001"/>
    <n v="3.758"/>
    <n v="4.4119999999999999"/>
    <n v="4.298"/>
    <n v="5.2240000000000002"/>
    <n v="4.8940000000000001"/>
    <n v="4.5839999999999996"/>
    <n v="4.3390000000000004"/>
    <n v="4.7350000000000003"/>
    <n v="4.6870000000000003"/>
    <n v="32.608619099999999"/>
  </r>
  <r>
    <x v="0"/>
    <s v="PEST CONTROL"/>
    <s v="SC JOHNSON"/>
    <x v="4"/>
    <x v="6"/>
    <x v="3"/>
    <x v="0"/>
    <x v="0"/>
    <n v="431.87400000000002"/>
    <n v="907.03200000000004"/>
    <n v="898.32600000000002"/>
    <n v="1087.335"/>
    <n v="1973.0820000000001"/>
    <n v="1796.931"/>
    <n v="1502.8679999999999"/>
    <n v="1492.2529999999999"/>
    <n v="1312.758"/>
    <n v="544.99300000000005"/>
    <n v="605.65300000000002"/>
    <n v="816.553"/>
    <n v="773.58900000000006"/>
    <n v="1053.482"/>
    <n v="1206.9259999999999"/>
    <n v="1479.9960000000001"/>
    <n v="2406.904"/>
    <n v="2398.8760000000002"/>
    <n v="2633.6309999999999"/>
    <n v="1349.586"/>
    <n v="800.23699999999997"/>
    <n v="570.18899999999996"/>
    <n v="594.51"/>
    <n v="504.00799999999998"/>
    <n v="482.02300000000002"/>
    <n v="686.43200000000002"/>
    <n v="714.09799999999996"/>
    <n v="842.46400000000006"/>
    <n v="1171.434"/>
    <n v="1005.3869999999999"/>
    <n v="1543.8820000000001"/>
    <n v="1015.696"/>
    <n v="1134.6859999999999"/>
    <n v="648.08900000000006"/>
    <n v="345.94900000000001"/>
    <n v="290.81799999999998"/>
    <n v="335.36500000000001"/>
    <n v="335.36500000000001"/>
  </r>
  <r>
    <x v="0"/>
    <s v="PEST CONTROL"/>
    <s v="SC JOHNSON"/>
    <x v="4"/>
    <x v="6"/>
    <x v="3"/>
    <x v="0"/>
    <x v="1"/>
    <n v="83973.775999999998"/>
    <n v="175012.22"/>
    <n v="166796.44399999999"/>
    <n v="196744.98499999999"/>
    <n v="399825.85"/>
    <n v="373954.48599999998"/>
    <n v="302220.57299999997"/>
    <n v="334939.81300000002"/>
    <n v="285904.26400000002"/>
    <n v="115508.717"/>
    <n v="120861.83500000001"/>
    <n v="161123.785"/>
    <n v="160730.53"/>
    <n v="229665.435"/>
    <n v="251716.00099999999"/>
    <n v="287800.08399999997"/>
    <n v="495083.92200000002"/>
    <n v="490069.23499999999"/>
    <n v="545240.277"/>
    <n v="290373.25300000003"/>
    <n v="168276.872"/>
    <n v="118016.2"/>
    <n v="122595.716"/>
    <n v="104573.58500000001"/>
    <n v="99287.195999999996"/>
    <n v="135184.09099999999"/>
    <n v="141144.946"/>
    <n v="168017.85"/>
    <n v="239620.31299999999"/>
    <n v="197493.742"/>
    <n v="305024.44099999999"/>
    <n v="195322.06700000001"/>
    <n v="220493.872"/>
    <n v="118651.31600000001"/>
    <n v="65139.885000000002"/>
    <n v="59244.156999999999"/>
    <n v="61297.231"/>
    <n v="61297.231"/>
  </r>
  <r>
    <x v="0"/>
    <s v="PEST CONTROL"/>
    <s v="SC JOHNSON"/>
    <x v="4"/>
    <x v="6"/>
    <x v="3"/>
    <x v="0"/>
    <x v="2"/>
    <n v="0.74299999999999999"/>
    <n v="1.2869999999999999"/>
    <n v="1.087"/>
    <n v="0.96299999999999997"/>
    <n v="1.5609999999999999"/>
    <n v="1.3009999999999999"/>
    <n v="1.123"/>
    <n v="1.42"/>
    <n v="1.536"/>
    <n v="0.88500000000000001"/>
    <n v="1.1519999999999999"/>
    <n v="1.7070000000000001"/>
    <n v="1.6559999999999999"/>
    <n v="2.0019999999999998"/>
    <n v="1.556"/>
    <n v="1.399"/>
    <n v="1.821"/>
    <n v="1.9319999999999999"/>
    <n v="2.0249999999999999"/>
    <n v="1.2509999999999999"/>
    <n v="0.81"/>
    <n v="0.71"/>
    <n v="0.84899999999999998"/>
    <n v="0.73599999999999999"/>
    <n v="0.67200000000000004"/>
    <n v="0.83599999999999997"/>
    <n v="0.7"/>
    <n v="0.68899999999999995"/>
    <n v="0.84699999999999998"/>
    <n v="0.69699999999999995"/>
    <n v="0.88400000000000001"/>
    <n v="0.64700000000000002"/>
    <n v="0.85099999999999998"/>
    <n v="0.54800000000000004"/>
    <n v="0.35899999999999999"/>
    <n v="0.42299999999999999"/>
    <n v="0.72299999999999998"/>
    <n v="9.9000000000000005E-2"/>
  </r>
  <r>
    <x v="0"/>
    <s v="PEST CONTROL"/>
    <s v="SC JOHNSON"/>
    <x v="4"/>
    <x v="6"/>
    <x v="3"/>
    <x v="0"/>
    <x v="3"/>
    <n v="15.541"/>
    <n v="16.779"/>
    <n v="12.412000000000001"/>
    <n v="10.855"/>
    <n v="14.718"/>
    <n v="13.92"/>
    <n v="18.213999999999999"/>
    <n v="16.353999999999999"/>
    <n v="15.742000000000001"/>
    <n v="18.326000000000001"/>
    <n v="18.969000000000001"/>
    <n v="18.224"/>
    <n v="18.812000000000001"/>
    <n v="23.832000000000001"/>
    <n v="25.574999999999999"/>
    <n v="23.817"/>
    <n v="23.3"/>
    <n v="21.896000000000001"/>
    <n v="23.556000000000001"/>
    <n v="14.367000000000001"/>
    <n v="13.36"/>
    <n v="10.888"/>
    <n v="9.2910000000000004"/>
    <n v="12.022"/>
    <n v="11.054"/>
    <n v="10.487"/>
    <n v="9.3140000000000001"/>
    <n v="9.7810000000000006"/>
    <n v="14.433"/>
    <n v="13.781000000000001"/>
    <n v="13.355"/>
    <n v="14.015000000000001"/>
    <n v="11.183"/>
    <n v="7.8319999999999999"/>
    <n v="6.891"/>
    <n v="6.3869999999999996"/>
    <n v="7.4089999999999998"/>
    <n v="591.12400000000002"/>
  </r>
  <r>
    <x v="0"/>
    <s v="PEST CONTROL"/>
    <s v="SC JOHNSON"/>
    <x v="4"/>
    <x v="6"/>
    <x v="3"/>
    <x v="0"/>
    <x v="4"/>
    <n v="7.6149464"/>
    <n v="5.6930509000000002"/>
    <n v="5.2129566000000001"/>
    <n v="5.9368951000000001"/>
    <n v="6.1839271"/>
    <n v="5.8516233"/>
    <n v="6.8564119999999997"/>
    <n v="6.2553276000000002"/>
    <n v="5.9354950999999998"/>
    <n v="6.3042011999999996"/>
    <n v="6.7346583000000004"/>
    <n v="6.8012496000000002"/>
    <n v="5.8695959000000002"/>
    <n v="7.6126645000000002"/>
    <n v="8.7441030000000008"/>
    <n v="8.6879849"/>
    <n v="9.1396455000000003"/>
    <n v="9.0385445999999998"/>
    <n v="8.8321825999999994"/>
    <n v="5.8075245999999998"/>
    <n v="5.0666941000000003"/>
    <n v="4.6383890000000001"/>
    <n v="4.2311449000000003"/>
    <n v="4.4254667999999997"/>
    <n v="4.3767924000000002"/>
    <n v="4.9583789999999999"/>
    <n v="5.7281320999999998"/>
    <n v="5.2945222000000003"/>
    <n v="7.7789273000000003"/>
    <n v="7.3626727000000001"/>
    <n v="6.9656165999999997"/>
    <n v="7.0115739000000001"/>
    <n v="6.8133005000000004"/>
    <n v="5.4525353000000001"/>
    <n v="3.9718778000000001"/>
    <n v="4.3169009000000003"/>
    <n v="3.6559040999999999"/>
    <n v="7.4089999999999998"/>
  </r>
  <r>
    <x v="0"/>
    <s v="PEST CONTROL"/>
    <s v="SC JOHNSON"/>
    <x v="4"/>
    <x v="6"/>
    <x v="3"/>
    <x v="0"/>
    <x v="5"/>
    <n v="0.82599999999999996"/>
    <n v="0.55500000000000005"/>
    <n v="0.53300000000000003"/>
    <n v="0.82899999999999996"/>
    <n v="0.51400000000000001"/>
    <n v="1.0149999999999999"/>
    <n v="0.73899999999999999"/>
    <n v="0.82399999999999995"/>
    <n v="0.80600000000000005"/>
    <n v="0.66"/>
    <n v="0.64100000000000001"/>
    <n v="0.59299999999999997"/>
    <n v="1.044"/>
    <n v="1.0349999999999999"/>
    <n v="1.069"/>
    <n v="0.71"/>
    <n v="0.90700000000000003"/>
    <n v="0.73499999999999999"/>
    <n v="0.53700000000000003"/>
    <n v="0.53"/>
    <n v="0.49199999999999999"/>
    <n v="0.46500000000000002"/>
    <n v="0.41099999999999998"/>
    <n v="0.42599999999999999"/>
    <n v="0.36099999999999999"/>
    <n v="0.34499999999999997"/>
    <n v="0.36199999999999999"/>
    <n v="0.36699999999999999"/>
    <n v="0.498"/>
    <n v="0.47299999999999998"/>
    <n v="0.378"/>
    <n v="0.46700000000000003"/>
    <n v="0.25600000000000001"/>
    <n v="0.219"/>
    <n v="0.27300000000000002"/>
    <n v="0.317"/>
    <n v="0.309"/>
    <n v="3.6559040999999999"/>
  </r>
  <r>
    <x v="1"/>
    <s v="PEST CONTROL"/>
    <s v="SC JOHNSON"/>
    <x v="0"/>
    <x v="0"/>
    <x v="0"/>
    <x v="0"/>
    <x v="0"/>
    <n v="202.43100000000001"/>
    <n v="1248.3889999999999"/>
    <n v="2809.87"/>
    <n v="3001.913"/>
    <n v="7690.8850000000002"/>
    <n v="8605.6859999999997"/>
    <n v="4972.3190000000004"/>
    <n v="1887.81"/>
    <n v="378.40499999999997"/>
    <n v="105.88"/>
    <n v="79.018000000000001"/>
    <n v="88.974000000000004"/>
    <n v="170.154"/>
    <n v="458.73700000000002"/>
    <n v="2707.1840000000002"/>
    <n v="4883.8209999999999"/>
    <n v="7624.875"/>
    <n v="7910.4780000000001"/>
    <n v="6710.47"/>
    <n v="2798.8270000000002"/>
    <n v="969.59199999999998"/>
    <n v="237.495"/>
    <n v="109.73699999999999"/>
    <n v="116.985"/>
    <n v="184.43799999999999"/>
    <n v="548.36900000000003"/>
    <n v="1982.0219999999999"/>
    <n v="6199.5"/>
    <n v="14221.392"/>
    <n v="10602.282999999999"/>
    <n v="16956.595000000001"/>
    <n v="16562.478999999999"/>
    <n v="2973.9229999999998"/>
    <n v="1184.499"/>
    <n v="557.62300000000005"/>
    <n v="364.03"/>
    <n v="1012.3390000000001"/>
    <n v="1012.3390000000001"/>
  </r>
  <r>
    <x v="1"/>
    <s v="PEST CONTROL"/>
    <s v="SC JOHNSON"/>
    <x v="0"/>
    <x v="0"/>
    <x v="0"/>
    <x v="0"/>
    <x v="1"/>
    <n v="34821.728000000003"/>
    <n v="207146.86799999999"/>
    <n v="459806.92700000003"/>
    <n v="501571.60200000001"/>
    <n v="1252556.4669999999"/>
    <n v="1247657.0560000001"/>
    <n v="776530.25600000005"/>
    <n v="301738.68800000002"/>
    <n v="63078.881000000001"/>
    <n v="18331.753000000001"/>
    <n v="14633.35"/>
    <n v="15549.397999999999"/>
    <n v="28873.87"/>
    <n v="74025.869000000006"/>
    <n v="418549.47899999999"/>
    <n v="809301.3"/>
    <n v="1279050.291"/>
    <n v="1380174.8370000001"/>
    <n v="1195108.031"/>
    <n v="506756.61599999998"/>
    <n v="175511.451"/>
    <n v="44115.419000000002"/>
    <n v="21284.673999999999"/>
    <n v="22310.286"/>
    <n v="36520.68"/>
    <n v="109762.133"/>
    <n v="390491.11900000001"/>
    <n v="1232478.5689999999"/>
    <n v="2800298.8709999998"/>
    <n v="2175810.0639999998"/>
    <n v="3397576.5290000001"/>
    <n v="3327227.4569999999"/>
    <n v="620600.37100000004"/>
    <n v="240981.72500000001"/>
    <n v="114035.04700000001"/>
    <n v="74815.784"/>
    <n v="224766.318"/>
    <n v="224766.318"/>
  </r>
  <r>
    <x v="1"/>
    <s v="PEST CONTROL"/>
    <s v="SC JOHNSON"/>
    <x v="0"/>
    <x v="0"/>
    <x v="0"/>
    <x v="0"/>
    <x v="2"/>
    <n v="0.20499999999999999"/>
    <n v="0.64800000000000002"/>
    <n v="0.874"/>
    <n v="0.72799999999999998"/>
    <n v="1.194"/>
    <n v="1.4930000000000001"/>
    <n v="1.032"/>
    <n v="0.628"/>
    <n v="0.24299999999999999"/>
    <n v="0.161"/>
    <n v="0.155"/>
    <n v="0.159"/>
    <n v="0.19400000000000001"/>
    <n v="0.29599999999999999"/>
    <n v="0.96799999999999997"/>
    <n v="1.123"/>
    <n v="1.5620000000000001"/>
    <n v="1.72"/>
    <n v="1.429"/>
    <n v="0.85899999999999999"/>
    <n v="0.48199999999999998"/>
    <n v="0.21099999999999999"/>
    <n v="0.161"/>
    <n v="0.185"/>
    <n v="0.27"/>
    <n v="0.39700000000000002"/>
    <n v="0.91600000000000004"/>
    <n v="1.6240000000000001"/>
    <n v="2.6429999999999998"/>
    <n v="2.2570000000000001"/>
    <n v="3.2429999999999999"/>
    <n v="3.129"/>
    <n v="1.345"/>
    <n v="1.103"/>
    <n v="0.90500000000000003"/>
    <n v="0.76400000000000001"/>
    <n v="1.597"/>
    <n v="0.52"/>
  </r>
  <r>
    <x v="1"/>
    <s v="PEST CONTROL"/>
    <s v="SC JOHNSON"/>
    <x v="0"/>
    <x v="0"/>
    <x v="0"/>
    <x v="0"/>
    <x v="3"/>
    <n v="40.585999999999999"/>
    <n v="72.504000000000005"/>
    <n v="84.009"/>
    <n v="84.328999999999994"/>
    <n v="85.456000000000003"/>
    <n v="82.427999999999997"/>
    <n v="80.834999999999994"/>
    <n v="77.552000000000007"/>
    <n v="61.143999999999998"/>
    <n v="23.989000000000001"/>
    <n v="18.004999999999999"/>
    <n v="28.742000000000001"/>
    <n v="47.713000000000001"/>
    <n v="62.512"/>
    <n v="82.381"/>
    <n v="83.74"/>
    <n v="93.153999999999996"/>
    <n v="92.47"/>
    <n v="90.974999999999994"/>
    <n v="91.667000000000002"/>
    <n v="81.302000000000007"/>
    <n v="42.94"/>
    <n v="31.747"/>
    <n v="36.052"/>
    <n v="42.095999999999997"/>
    <n v="77.248000000000005"/>
    <n v="93.52"/>
    <n v="95.751999999999995"/>
    <n v="96.174000000000007"/>
    <n v="93.415999999999997"/>
    <n v="95.349000000000004"/>
    <n v="96.043999999999997"/>
    <n v="64.790999999999997"/>
    <n v="65.83"/>
    <n v="46.904000000000003"/>
    <n v="38.743000000000002"/>
    <n v="77.149000000000001"/>
    <n v="0"/>
  </r>
  <r>
    <x v="1"/>
    <s v="PEST CONTROL"/>
    <s v="SC JOHNSON"/>
    <x v="0"/>
    <x v="0"/>
    <x v="0"/>
    <x v="0"/>
    <x v="4"/>
    <n v="29.092936900000002"/>
    <n v="55.838042899999998"/>
    <n v="65.186553799999999"/>
    <n v="67.654026200000004"/>
    <n v="68.653387600000002"/>
    <n v="65.965145500000006"/>
    <n v="65.770429100000001"/>
    <n v="63.682378200000002"/>
    <n v="46.127208799999998"/>
    <n v="22.051212599999999"/>
    <n v="15.760712399999999"/>
    <n v="21.9982018"/>
    <n v="34.871599199999999"/>
    <n v="47.048643599999998"/>
    <n v="64.551053300000007"/>
    <n v="65.814060499999997"/>
    <n v="81.068322300000005"/>
    <n v="80.612301400000007"/>
    <n v="80.689455899999999"/>
    <n v="81.237829000000005"/>
    <n v="69.888354899999996"/>
    <n v="36.399729299999997"/>
    <n v="25.5608638"/>
    <n v="29.0069494"/>
    <n v="34.696661599999999"/>
    <n v="64.160474699999995"/>
    <n v="83.667900799999998"/>
    <n v="85.050702000000001"/>
    <n v="85.107270900000003"/>
    <n v="81.409004100000004"/>
    <n v="85.310337599999997"/>
    <n v="85.672806600000001"/>
    <n v="57.980607599999999"/>
    <n v="54.8093985"/>
    <n v="35.924942000000001"/>
    <n v="30.2484246"/>
    <n v="63.827770899999997"/>
    <n v="77.149000000000001"/>
  </r>
  <r>
    <x v="1"/>
    <s v="PEST CONTROL"/>
    <s v="SC JOHNSON"/>
    <x v="0"/>
    <x v="0"/>
    <x v="0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827770899999997"/>
  </r>
  <r>
    <x v="1"/>
    <s v="PEST CONTROL"/>
    <s v="SC JOHNSON"/>
    <x v="0"/>
    <x v="0"/>
    <x v="0"/>
    <x v="1"/>
    <x v="0"/>
    <n v="2.8570000000000002"/>
    <n v="19.492999999999999"/>
    <n v="52.314999999999998"/>
    <n v="19.709"/>
    <n v="50.972000000000001"/>
    <n v="32.052999999999997"/>
    <n v="6.3410000000000002"/>
    <n v="3.835"/>
    <n v="0.28599999999999998"/>
    <n v="0"/>
    <n v="0"/>
    <n v="0"/>
    <n v="0"/>
    <n v="9"/>
    <n v="0.28599999999999998"/>
    <n v="0.71399999999999997"/>
    <n v="0.14299999999999999"/>
    <n v="0.85699999999999998"/>
    <n v="9.5210000000000008"/>
    <n v="6.681"/>
    <n v="0"/>
    <n v="0"/>
    <n v="0"/>
    <n v="1"/>
    <n v="2"/>
    <n v="2.1429999999999998"/>
    <n v="0.85699999999999998"/>
    <n v="0"/>
    <n v="1"/>
    <n v="0"/>
    <n v="0"/>
    <n v="0"/>
    <n v="0"/>
    <n v="0"/>
    <n v="0"/>
    <n v="0"/>
    <n v="0"/>
    <n v="0"/>
  </r>
  <r>
    <x v="1"/>
    <s v="PEST CONTROL"/>
    <s v="SC JOHNSON"/>
    <x v="0"/>
    <x v="0"/>
    <x v="0"/>
    <x v="1"/>
    <x v="1"/>
    <n v="220.00399999999999"/>
    <n v="1385.894"/>
    <n v="3477.11"/>
    <n v="1285.9860000000001"/>
    <n v="3522.6729999999998"/>
    <n v="2333.5410000000002"/>
    <n v="426.40199999999999"/>
    <n v="230.54400000000001"/>
    <n v="18.571000000000002"/>
    <n v="0"/>
    <n v="0"/>
    <n v="0"/>
    <n v="0"/>
    <n v="531"/>
    <n v="21.998999999999999"/>
    <n v="55.000999999999998"/>
    <n v="11.003"/>
    <n v="65.997"/>
    <n v="752.15899999999999"/>
    <n v="527.79"/>
    <n v="0"/>
    <n v="0"/>
    <n v="0"/>
    <n v="72"/>
    <n v="122.4"/>
    <n v="139.87899999999999"/>
    <n v="61.710999999999999"/>
    <n v="0"/>
    <n v="65"/>
    <n v="0"/>
    <n v="0"/>
    <n v="0"/>
    <n v="0"/>
    <n v="0"/>
    <n v="0"/>
    <n v="0"/>
    <n v="0"/>
    <n v="0"/>
  </r>
  <r>
    <x v="1"/>
    <s v="PEST CONTROL"/>
    <s v="SC JOHNSON"/>
    <x v="0"/>
    <x v="0"/>
    <x v="0"/>
    <x v="1"/>
    <x v="2"/>
    <n v="1E-3"/>
    <n v="4.0000000000000001E-3"/>
    <n v="6.0000000000000001E-3"/>
    <n v="2E-3"/>
    <n v="3.0000000000000001E-3"/>
    <n v="2E-3"/>
    <n v="0"/>
    <n v="0"/>
    <n v="0"/>
    <n v="0"/>
    <n v="0"/>
    <n v="0"/>
    <n v="0"/>
    <n v="2E-3"/>
    <n v="0"/>
    <n v="0"/>
    <n v="0"/>
    <n v="0"/>
    <n v="1E-3"/>
    <n v="1E-3"/>
    <n v="0"/>
    <n v="0"/>
    <n v="0"/>
    <n v="1E-3"/>
    <n v="1E-3"/>
    <n v="1E-3"/>
    <n v="0"/>
    <n v="0"/>
    <n v="0"/>
    <n v="0"/>
    <n v="0"/>
    <n v="0"/>
    <n v="0"/>
    <n v="0"/>
    <n v="0"/>
    <n v="0"/>
    <n v="0"/>
    <n v="0"/>
  </r>
  <r>
    <x v="1"/>
    <s v="PEST CONTROL"/>
    <s v="SC JOHNSON"/>
    <x v="0"/>
    <x v="0"/>
    <x v="0"/>
    <x v="1"/>
    <x v="3"/>
    <n v="1.0620000000000001"/>
    <n v="3.4180000000000001"/>
    <n v="2.1269999999999998"/>
    <n v="3.4260000000000002"/>
    <n v="2.8879999999999999"/>
    <n v="3.0920000000000001"/>
    <n v="2.3849999999999998"/>
    <n v="2.448"/>
    <n v="1.3140000000000001"/>
    <n v="2.09"/>
    <n v="2.0350000000000001"/>
    <n v="1.629"/>
    <n v="1.8049999999999999"/>
    <n v="1.113"/>
    <n v="1.3220000000000001"/>
    <n v="2.3690000000000002"/>
    <n v="5.1879999999999997"/>
    <n v="4.5540000000000003"/>
    <n v="1.032"/>
    <n v="1.4430000000000001"/>
    <n v="0"/>
    <n v="0"/>
    <n v="0"/>
    <n v="0.371"/>
    <n v="2.5390000000000001"/>
    <n v="1.29"/>
    <n v="0.106"/>
    <n v="0"/>
    <n v="0.32400000000000001"/>
    <n v="0"/>
    <n v="0"/>
    <n v="0"/>
    <n v="0"/>
    <n v="0"/>
    <n v="0"/>
    <n v="0"/>
    <n v="0"/>
    <n v="0"/>
  </r>
  <r>
    <x v="1"/>
    <s v="PEST CONTROL"/>
    <s v="SC JOHNSON"/>
    <x v="0"/>
    <x v="0"/>
    <x v="0"/>
    <x v="1"/>
    <x v="4"/>
    <n v="4.0499451999999998"/>
    <n v="6.8696929999999998"/>
    <n v="6.2106979000000004"/>
    <n v="7.1600017999999999"/>
    <n v="5.4499351000000003"/>
    <n v="6.0340052999999996"/>
    <n v="5.6899091999999998"/>
    <n v="5.4011012000000003"/>
    <n v="3.3739123000000002"/>
    <n v="3.0769419999999998"/>
    <n v="3.0769419999999998"/>
    <n v="3.0790831999999999"/>
    <n v="3.0769419999999998"/>
    <n v="3.3752580999999999"/>
    <n v="3.3670239999999998"/>
    <n v="3.3077831999999998"/>
    <n v="3.2094018000000002"/>
    <n v="3.2069877"/>
    <n v="1.9457342"/>
    <n v="1.9494038"/>
    <n v="0"/>
    <n v="0"/>
    <n v="0"/>
    <n v="0.28728290000000001"/>
    <n v="0.28841299999999997"/>
    <n v="0.57112510000000005"/>
    <n v="0.28305200000000003"/>
    <n v="0"/>
    <n v="0.27456079999999999"/>
    <n v="0"/>
    <n v="0"/>
    <n v="0"/>
    <n v="0"/>
    <n v="0"/>
    <n v="0"/>
    <n v="0"/>
    <n v="0"/>
    <n v="0"/>
  </r>
  <r>
    <x v="1"/>
    <s v="PEST CONTROL"/>
    <s v="SC JOHNSON"/>
    <x v="0"/>
    <x v="0"/>
    <x v="0"/>
    <x v="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EST CONTROL"/>
    <s v="SC JOHNSON"/>
    <x v="0"/>
    <x v="0"/>
    <x v="1"/>
    <x v="0"/>
    <x v="0"/>
    <n v="1206.5139999999999"/>
    <n v="4538.0020000000004"/>
    <n v="8686.3320000000003"/>
    <n v="12044.692999999999"/>
    <n v="27334.035"/>
    <n v="20299.530999999999"/>
    <n v="13741.062"/>
    <n v="5188.6679999999997"/>
    <n v="1287.655"/>
    <n v="662.81600000000003"/>
    <n v="662.548"/>
    <n v="571.096"/>
    <n v="1006.179"/>
    <n v="1866.607"/>
    <n v="6664.9480000000003"/>
    <n v="15444.838"/>
    <n v="16738.769"/>
    <n v="14455.22"/>
    <n v="13836.754000000001"/>
    <n v="7172.9440000000004"/>
    <n v="3174.76"/>
    <n v="1141.27"/>
    <n v="1092.5719999999999"/>
    <n v="1197.797"/>
    <n v="1375.856"/>
    <n v="2406.5"/>
    <n v="5388.4089999999997"/>
    <n v="20858.635999999999"/>
    <n v="44563.879000000001"/>
    <n v="25953.565999999999"/>
    <n v="42963.866000000002"/>
    <n v="73381.686000000002"/>
    <n v="13781.075999999999"/>
    <n v="4442.5969999999998"/>
    <n v="1967.546"/>
    <n v="2112.5369999999998"/>
    <n v="2836.8009999999999"/>
    <n v="2836.8009999999999"/>
  </r>
  <r>
    <x v="1"/>
    <s v="PEST CONTROL"/>
    <s v="SC JOHNSON"/>
    <x v="0"/>
    <x v="0"/>
    <x v="1"/>
    <x v="0"/>
    <x v="1"/>
    <n v="300399.80900000001"/>
    <n v="1325463.6880000001"/>
    <n v="2545515.656"/>
    <n v="3491561.5010000002"/>
    <n v="7968571.3859999999"/>
    <n v="5766287.1210000003"/>
    <n v="3906596.9580000001"/>
    <n v="1441624.821"/>
    <n v="347072.90399999998"/>
    <n v="167621.486"/>
    <n v="166714.761"/>
    <n v="149044.45600000001"/>
    <n v="290527.99599999998"/>
    <n v="550975.853"/>
    <n v="2030569.0789999999"/>
    <n v="4763454.1150000002"/>
    <n v="5511084.4179999996"/>
    <n v="4775112.09"/>
    <n v="4575080.5460000001"/>
    <n v="2272484.1639999999"/>
    <n v="967692.69900000002"/>
    <n v="299545.74599999998"/>
    <n v="278185.44699999999"/>
    <n v="296290.49200000003"/>
    <n v="347115.56400000001"/>
    <n v="723118.82200000004"/>
    <n v="1820938.298"/>
    <n v="7832185.3660000004"/>
    <n v="16530434.393999999"/>
    <n v="9851846.2219999991"/>
    <n v="16651208.654999999"/>
    <n v="27700900.407000002"/>
    <n v="4640441.9069999997"/>
    <n v="1280765.2180000001"/>
    <n v="510996.462"/>
    <n v="535588.17700000003"/>
    <n v="1116110.915"/>
    <n v="1116110.915"/>
  </r>
  <r>
    <x v="1"/>
    <s v="PEST CONTROL"/>
    <s v="SC JOHNSON"/>
    <x v="0"/>
    <x v="0"/>
    <x v="1"/>
    <x v="0"/>
    <x v="2"/>
    <n v="1.272"/>
    <n v="2.5350000000000001"/>
    <n v="2.9359999999999999"/>
    <n v="3.2349999999999999"/>
    <n v="4.82"/>
    <n v="3.9780000000000002"/>
    <n v="3.2160000000000002"/>
    <n v="1.9039999999999999"/>
    <n v="0.89100000000000001"/>
    <n v="1.0580000000000001"/>
    <n v="1.339"/>
    <n v="1.042"/>
    <n v="1.206"/>
    <n v="1.274"/>
    <n v="2.63"/>
    <n v="3.9620000000000002"/>
    <n v="3.8490000000000002"/>
    <n v="3.56"/>
    <n v="3.33"/>
    <n v="2.4460000000000002"/>
    <n v="1.6850000000000001"/>
    <n v="1.034"/>
    <n v="1.637"/>
    <n v="1.9159999999999999"/>
    <n v="2.028"/>
    <n v="1.8520000000000001"/>
    <n v="2.758"/>
    <n v="6.26"/>
    <n v="9.7029999999999994"/>
    <n v="6.5119999999999996"/>
    <n v="9.5869999999999997"/>
    <n v="15.287000000000001"/>
    <n v="6.2409999999999997"/>
    <n v="4.1319999999999997"/>
    <n v="3.17"/>
    <n v="4.4080000000000004"/>
    <n v="4.585"/>
    <n v="1.456"/>
  </r>
  <r>
    <x v="1"/>
    <s v="PEST CONTROL"/>
    <s v="SC JOHNSON"/>
    <x v="0"/>
    <x v="0"/>
    <x v="1"/>
    <x v="0"/>
    <x v="3"/>
    <n v="88.680999999999997"/>
    <n v="98.097999999999999"/>
    <n v="99.191000000000003"/>
    <n v="99.307000000000002"/>
    <n v="99.552000000000007"/>
    <n v="99.290999999999997"/>
    <n v="98.516000000000005"/>
    <n v="98.081999999999994"/>
    <n v="90.596999999999994"/>
    <n v="65.036000000000001"/>
    <n v="67.634"/>
    <n v="71.317999999999998"/>
    <n v="82.74"/>
    <n v="93.975999999999999"/>
    <n v="98.977000000000004"/>
    <n v="99.677999999999997"/>
    <n v="99.424999999999997"/>
    <n v="99.534000000000006"/>
    <n v="99.435000000000002"/>
    <n v="98.057000000000002"/>
    <n v="95.129000000000005"/>
    <n v="72.712999999999994"/>
    <n v="63.009"/>
    <n v="66.504999999999995"/>
    <n v="70.454999999999998"/>
    <n v="93.304000000000002"/>
    <n v="98.010999999999996"/>
    <n v="99.328999999999994"/>
    <n v="99.308999999999997"/>
    <n v="99.052000000000007"/>
    <n v="98.98"/>
    <n v="99.962000000000003"/>
    <n v="96.638999999999996"/>
    <n v="93.21"/>
    <n v="78.793999999999997"/>
    <n v="74.555999999999997"/>
    <n v="89.308999999999997"/>
    <n v="0"/>
  </r>
  <r>
    <x v="1"/>
    <s v="PEST CONTROL"/>
    <s v="SC JOHNSON"/>
    <x v="0"/>
    <x v="0"/>
    <x v="1"/>
    <x v="0"/>
    <x v="4"/>
    <n v="78.348993100000001"/>
    <n v="91.185380100000003"/>
    <n v="93.9445695"/>
    <n v="94.673084000000003"/>
    <n v="93.007659599999997"/>
    <n v="92.718025400000002"/>
    <n v="93.028477199999998"/>
    <n v="93.312819399999995"/>
    <n v="83.100686699999997"/>
    <n v="49.401842500000001"/>
    <n v="47.077212799999998"/>
    <n v="52.993176800000001"/>
    <n v="66.803488000000002"/>
    <n v="83.528433500000006"/>
    <n v="93.673974099999995"/>
    <n v="97.380837099999994"/>
    <n v="97.374125800000002"/>
    <n v="96.209923599999996"/>
    <n v="96.083724599999996"/>
    <n v="93.258519000000007"/>
    <n v="88.522827199999995"/>
    <n v="58.372179899999999"/>
    <n v="45.4336585"/>
    <n v="45.884816800000003"/>
    <n v="52.724205099999999"/>
    <n v="83.339996499999998"/>
    <n v="90.887424600000003"/>
    <n v="93.383663900000002"/>
    <n v="94.648260100000002"/>
    <n v="95.146127500000006"/>
    <n v="93.761315499999995"/>
    <n v="95.909106100000002"/>
    <n v="87.365141100000002"/>
    <n v="79.944010399999996"/>
    <n v="52.332503600000003"/>
    <n v="47.408989099999999"/>
    <n v="77.674291499999995"/>
    <n v="89.308999999999997"/>
  </r>
  <r>
    <x v="1"/>
    <s v="PEST CONTROL"/>
    <s v="SC JOHNSON"/>
    <x v="0"/>
    <x v="0"/>
    <x v="1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.674291499999995"/>
  </r>
  <r>
    <x v="1"/>
    <s v="PEST CONTROL"/>
    <s v="SC JOHNSON"/>
    <x v="0"/>
    <x v="0"/>
    <x v="1"/>
    <x v="12"/>
    <x v="0"/>
    <n v="14.994"/>
    <n v="12.676"/>
    <n v="12.266999999999999"/>
    <n v="41.756"/>
    <n v="111.398"/>
    <n v="54.387"/>
    <n v="39.192999999999998"/>
    <n v="0"/>
    <n v="0"/>
    <n v="0"/>
    <n v="0"/>
    <n v="0"/>
    <n v="0"/>
    <n v="0"/>
    <n v="19.079999999999998"/>
    <n v="0"/>
    <n v="1"/>
    <n v="0"/>
    <n v="9.0250000000000004"/>
    <n v="0"/>
    <n v="1"/>
    <n v="0"/>
    <n v="0"/>
    <n v="0"/>
    <n v="0"/>
    <n v="2.4289999999999998"/>
    <n v="8"/>
    <n v="7.2859999999999996"/>
    <n v="10.286"/>
    <n v="2.4289999999999998"/>
    <n v="4.4290000000000003"/>
    <n v="214.059"/>
    <n v="55.792999999999999"/>
    <n v="234.02799999999999"/>
    <n v="194.93700000000001"/>
    <n v="1.714"/>
    <n v="4.2859999999999996"/>
    <n v="4.2859999999999996"/>
  </r>
  <r>
    <x v="1"/>
    <s v="PEST CONTROL"/>
    <s v="SC JOHNSON"/>
    <x v="0"/>
    <x v="0"/>
    <x v="1"/>
    <x v="12"/>
    <x v="1"/>
    <n v="5532.9359999999997"/>
    <n v="4677.4250000000002"/>
    <n v="4526.54"/>
    <n v="15041.174999999999"/>
    <n v="38748.410000000003"/>
    <n v="20068.949000000001"/>
    <n v="13042.465"/>
    <n v="0"/>
    <n v="0"/>
    <n v="0"/>
    <n v="0"/>
    <n v="0"/>
    <n v="0"/>
    <n v="0"/>
    <n v="6010.3050000000003"/>
    <n v="0"/>
    <n v="301"/>
    <n v="0"/>
    <n v="2814.95"/>
    <n v="0"/>
    <n v="301"/>
    <n v="0"/>
    <n v="0"/>
    <n v="0"/>
    <n v="0"/>
    <n v="970.47900000000004"/>
    <n v="3289.0340000000001"/>
    <n v="2895.7359999999999"/>
    <n v="4419.7510000000002"/>
    <n v="993.58199999999999"/>
    <n v="1463.232"/>
    <n v="86213.255999999994"/>
    <n v="21248.370999999999"/>
    <n v="71817.153999999995"/>
    <n v="58867.152000000002"/>
    <n v="778.29200000000003"/>
    <n v="1854.9079999999999"/>
    <n v="1854.9079999999999"/>
  </r>
  <r>
    <x v="1"/>
    <s v="PEST CONTROL"/>
    <s v="SC JOHNSON"/>
    <x v="0"/>
    <x v="0"/>
    <x v="1"/>
    <x v="12"/>
    <x v="2"/>
    <n v="8.9999999999999993E-3"/>
    <n v="4.0000000000000001E-3"/>
    <n v="2E-3"/>
    <n v="6.0000000000000001E-3"/>
    <n v="0.01"/>
    <n v="6.0000000000000001E-3"/>
    <n v="5.0000000000000001E-3"/>
    <n v="0"/>
    <n v="0"/>
    <n v="0"/>
    <n v="0"/>
    <n v="0"/>
    <n v="0"/>
    <n v="0"/>
    <n v="4.0000000000000001E-3"/>
    <n v="0"/>
    <n v="0"/>
    <n v="0"/>
    <n v="1E-3"/>
    <n v="0"/>
    <n v="0"/>
    <n v="0"/>
    <n v="0"/>
    <n v="0"/>
    <n v="0"/>
    <n v="1E-3"/>
    <n v="2E-3"/>
    <n v="1E-3"/>
    <n v="1E-3"/>
    <n v="0"/>
    <n v="0"/>
    <n v="2.4E-2"/>
    <n v="1.4999999999999999E-2"/>
    <n v="0.129"/>
    <n v="0.188"/>
    <n v="2E-3"/>
    <n v="4.0000000000000001E-3"/>
    <n v="2E-3"/>
  </r>
  <r>
    <x v="1"/>
    <s v="PEST CONTROL"/>
    <s v="SC JOHNSON"/>
    <x v="0"/>
    <x v="0"/>
    <x v="1"/>
    <x v="12"/>
    <x v="3"/>
    <n v="2.3620000000000001"/>
    <n v="1.347"/>
    <n v="1.002"/>
    <n v="1.06"/>
    <n v="0.82199999999999995"/>
    <n v="0.72299999999999998"/>
    <n v="1.84"/>
    <n v="0.80500000000000005"/>
    <n v="0.90300000000000002"/>
    <n v="0.99399999999999999"/>
    <n v="1.2809999999999999"/>
    <n v="0.67700000000000005"/>
    <n v="0.35499999999999998"/>
    <n v="0.45700000000000002"/>
    <n v="0.27700000000000002"/>
    <n v="0.29599999999999999"/>
    <n v="0.85499999999999998"/>
    <n v="0.436"/>
    <n v="0.80500000000000005"/>
    <n v="0"/>
    <n v="0.214"/>
    <n v="0"/>
    <n v="0"/>
    <n v="0"/>
    <n v="0"/>
    <n v="1.3859999999999999"/>
    <n v="1.4359999999999999"/>
    <n v="2.85"/>
    <n v="2.3639999999999999"/>
    <n v="0.66700000000000004"/>
    <n v="0.51300000000000001"/>
    <n v="15.416"/>
    <n v="11.398"/>
    <n v="11.59"/>
    <n v="7.3109999999999999"/>
    <n v="2.74"/>
    <n v="4.7640000000000002"/>
    <n v="0"/>
  </r>
  <r>
    <x v="1"/>
    <s v="PEST CONTROL"/>
    <s v="SC JOHNSON"/>
    <x v="0"/>
    <x v="0"/>
    <x v="1"/>
    <x v="12"/>
    <x v="4"/>
    <n v="4.6730137000000003"/>
    <n v="4.6603678999999998"/>
    <n v="4.6580234000000003"/>
    <n v="4.2301979999999997"/>
    <n v="4.1644943999999997"/>
    <n v="4.1537439000000003"/>
    <n v="4.1520959"/>
    <n v="1.2345374"/>
    <n v="1.2268771999999999"/>
    <n v="1.2307767999999999"/>
    <n v="1.2307767999999999"/>
    <n v="1.2316332999999999"/>
    <n v="1.2307767999999999"/>
    <n v="1.2273666000000001"/>
    <n v="1.2243724"/>
    <n v="1.2028303"/>
    <n v="1.4398544"/>
    <n v="1.1661774"/>
    <n v="1.4592277"/>
    <n v="0"/>
    <n v="0.29303170000000001"/>
    <n v="0"/>
    <n v="0"/>
    <n v="0"/>
    <n v="0"/>
    <n v="0.85668759999999999"/>
    <n v="0.84915589999999996"/>
    <n v="1.1143303"/>
    <n v="1.0982434000000001"/>
    <n v="0.83366450000000003"/>
    <n v="0.55536430000000003"/>
    <n v="5.8014995000000003"/>
    <n v="4.1248491999999999"/>
    <n v="3.2869538999999999"/>
    <n v="1.8996377"/>
    <n v="0.57867360000000001"/>
    <n v="1.1627670000000001"/>
    <n v="4.7640000000000002"/>
  </r>
  <r>
    <x v="1"/>
    <s v="PEST CONTROL"/>
    <s v="SC JOHNSON"/>
    <x v="0"/>
    <x v="0"/>
    <x v="1"/>
    <x v="1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627670000000001"/>
  </r>
  <r>
    <x v="1"/>
    <s v="PEST CONTROL"/>
    <s v="SC JOHNSON"/>
    <x v="0"/>
    <x v="0"/>
    <x v="1"/>
    <x v="2"/>
    <x v="0"/>
    <n v="24.952999999999999"/>
    <n v="184.602"/>
    <n v="357.22899999999998"/>
    <n v="616.04200000000003"/>
    <n v="1102.548"/>
    <n v="850.92700000000002"/>
    <n v="474.14600000000002"/>
    <n v="158.80199999999999"/>
    <n v="45.387999999999998"/>
    <n v="32.100999999999999"/>
    <n v="12.714"/>
    <n v="14.143000000000001"/>
    <n v="24.143000000000001"/>
    <n v="82.34"/>
    <n v="330.90600000000001"/>
    <n v="828.77599999999995"/>
    <n v="1037.472"/>
    <n v="743.774"/>
    <n v="692.77800000000002"/>
    <n v="304.73500000000001"/>
    <n v="159.751"/>
    <n v="68.102999999999994"/>
    <n v="71.703999999999994"/>
    <n v="51.034999999999997"/>
    <n v="55.942999999999998"/>
    <n v="142.37299999999999"/>
    <n v="363.35399999999998"/>
    <n v="1390.2380000000001"/>
    <n v="2571.9589999999998"/>
    <n v="1432.7539999999999"/>
    <n v="2212.404"/>
    <n v="8324.32"/>
    <n v="691.33199999999999"/>
    <n v="336.21499999999997"/>
    <n v="120.175"/>
    <n v="117.33499999999999"/>
    <n v="196.78899999999999"/>
    <n v="196.78899999999999"/>
  </r>
  <r>
    <x v="1"/>
    <s v="PEST CONTROL"/>
    <s v="SC JOHNSON"/>
    <x v="0"/>
    <x v="0"/>
    <x v="1"/>
    <x v="2"/>
    <x v="1"/>
    <n v="9104.8070000000007"/>
    <n v="65448.061000000002"/>
    <n v="129243.448"/>
    <n v="219235.038"/>
    <n v="399092.16499999998"/>
    <n v="288400.15600000002"/>
    <n v="160877.111"/>
    <n v="55232.576999999997"/>
    <n v="15679.101000000001"/>
    <n v="11510.623"/>
    <n v="4425.2550000000001"/>
    <n v="5290.5550000000003"/>
    <n v="9599.0609999999997"/>
    <n v="32625.170999999998"/>
    <n v="131362.07399999999"/>
    <n v="323512.08899999998"/>
    <n v="419301.05900000001"/>
    <n v="310301.76400000002"/>
    <n v="280873.3"/>
    <n v="120899.762"/>
    <n v="64564.377"/>
    <n v="26052.774000000001"/>
    <n v="28841.439999999999"/>
    <n v="20516.797999999999"/>
    <n v="22140.725999999999"/>
    <n v="56973.046000000002"/>
    <n v="148099.22399999999"/>
    <n v="581307.10100000002"/>
    <n v="1072641.5560000001"/>
    <n v="580666.26500000001"/>
    <n v="915846.94200000004"/>
    <n v="3733804.0019999999"/>
    <n v="296869.48200000002"/>
    <n v="130348.02899999999"/>
    <n v="46980.65"/>
    <n v="46163.71"/>
    <n v="88549.04"/>
    <n v="88549.04"/>
  </r>
  <r>
    <x v="1"/>
    <s v="PEST CONTROL"/>
    <s v="SC JOHNSON"/>
    <x v="0"/>
    <x v="0"/>
    <x v="1"/>
    <x v="2"/>
    <x v="2"/>
    <n v="3.1E-2"/>
    <n v="0.11600000000000001"/>
    <n v="0.13500000000000001"/>
    <n v="0.18"/>
    <n v="0.20699999999999999"/>
    <n v="0.17899999999999999"/>
    <n v="0.11799999999999999"/>
    <n v="6.4000000000000001E-2"/>
    <n v="3.4000000000000002E-2"/>
    <n v="5.8999999999999997E-2"/>
    <n v="0.03"/>
    <n v="3.1E-2"/>
    <n v="3.3000000000000002E-2"/>
    <n v="0.06"/>
    <n v="0.129"/>
    <n v="0.20599999999999999"/>
    <n v="0.23"/>
    <n v="0.17599999999999999"/>
    <n v="0.16"/>
    <n v="0.10199999999999999"/>
    <n v="8.5999999999999993E-2"/>
    <n v="6.9000000000000006E-2"/>
    <n v="0.11600000000000001"/>
    <n v="8.7999999999999995E-2"/>
    <n v="0.09"/>
    <n v="0.111"/>
    <n v="0.16500000000000001"/>
    <n v="0.34499999999999997"/>
    <n v="0.42"/>
    <n v="0.26"/>
    <n v="0.34899999999999998"/>
    <n v="1.323"/>
    <n v="0.26500000000000001"/>
    <n v="0.26200000000000001"/>
    <n v="0.17799999999999999"/>
    <n v="0.21099999999999999"/>
    <n v="0.254"/>
    <n v="0.10100000000000001"/>
  </r>
  <r>
    <x v="1"/>
    <s v="PEST CONTROL"/>
    <s v="SC JOHNSON"/>
    <x v="0"/>
    <x v="0"/>
    <x v="1"/>
    <x v="2"/>
    <x v="3"/>
    <n v="17.933"/>
    <n v="35.820999999999998"/>
    <n v="40.070999999999998"/>
    <n v="40.015000000000001"/>
    <n v="40.081000000000003"/>
    <n v="50.142000000000003"/>
    <n v="46.228000000000002"/>
    <n v="36.164999999999999"/>
    <n v="22.928999999999998"/>
    <n v="19.829000000000001"/>
    <n v="15.127000000000001"/>
    <n v="14.762"/>
    <n v="18.114999999999998"/>
    <n v="29.527999999999999"/>
    <n v="59.581000000000003"/>
    <n v="71.599999999999994"/>
    <n v="72.454999999999998"/>
    <n v="66.686999999999998"/>
    <n v="58.688000000000002"/>
    <n v="48.417999999999999"/>
    <n v="37.529000000000003"/>
    <n v="16.873999999999999"/>
    <n v="17.536999999999999"/>
    <n v="15.384"/>
    <n v="19.43"/>
    <n v="35.628999999999998"/>
    <n v="59.34"/>
    <n v="75.572000000000003"/>
    <n v="81.86"/>
    <n v="77.941999999999993"/>
    <n v="77.936000000000007"/>
    <n v="83.183999999999997"/>
    <n v="53.243000000000002"/>
    <n v="44.054000000000002"/>
    <n v="31.829000000000001"/>
    <n v="23.661999999999999"/>
    <n v="34.478000000000002"/>
    <n v="0"/>
  </r>
  <r>
    <x v="1"/>
    <s v="PEST CONTROL"/>
    <s v="SC JOHNSON"/>
    <x v="0"/>
    <x v="0"/>
    <x v="1"/>
    <x v="2"/>
    <x v="4"/>
    <n v="7.5285365000000004"/>
    <n v="19.2796314"/>
    <n v="23.047899999999998"/>
    <n v="24.864477000000001"/>
    <n v="24.169183400000001"/>
    <n v="32.495815499999999"/>
    <n v="28.862602500000001"/>
    <n v="18.8958297"/>
    <n v="10.494400799999999"/>
    <n v="8.0342032999999997"/>
    <n v="4.6154130000000002"/>
    <n v="5.2344413999999997"/>
    <n v="6.1538839999999997"/>
    <n v="13.875992999999999"/>
    <n v="36.390795199999999"/>
    <n v="53.646830999999999"/>
    <n v="56.3853966"/>
    <n v="51.781773200000003"/>
    <n v="43.283320699999997"/>
    <n v="31.936362899999999"/>
    <n v="21.489187099999999"/>
    <n v="8.7677434999999999"/>
    <n v="7.7486449999999998"/>
    <n v="6.8229677000000004"/>
    <n v="10.887591"/>
    <n v="25.406498299999999"/>
    <n v="42.189463699999997"/>
    <n v="59.243091200000002"/>
    <n v="65.480563799999999"/>
    <n v="61.166240999999999"/>
    <n v="59.095478200000002"/>
    <n v="61.8813593"/>
    <n v="30.453092399999999"/>
    <n v="19.294419099999999"/>
    <n v="10.0381883"/>
    <n v="9.3455781000000009"/>
    <n v="14.505518800000001"/>
    <n v="34.478000000000002"/>
  </r>
  <r>
    <x v="1"/>
    <s v="PEST CONTROL"/>
    <s v="SC JOHNSON"/>
    <x v="0"/>
    <x v="0"/>
    <x v="1"/>
    <x v="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505518800000001"/>
  </r>
  <r>
    <x v="1"/>
    <s v="PEST CONTROL"/>
    <s v="SC JOHNSON"/>
    <x v="0"/>
    <x v="0"/>
    <x v="1"/>
    <x v="3"/>
    <x v="0"/>
    <n v="409.78500000000003"/>
    <n v="2157.2130000000002"/>
    <n v="5450.1469999999999"/>
    <n v="6283.5150000000003"/>
    <n v="11839.531999999999"/>
    <n v="8021.87"/>
    <n v="4741.3130000000001"/>
    <n v="1936.2360000000001"/>
    <n v="599.35"/>
    <n v="268.99900000000002"/>
    <n v="244.435"/>
    <n v="352.33300000000003"/>
    <n v="561.62800000000004"/>
    <n v="1217.3520000000001"/>
    <n v="3973.163"/>
    <n v="7104.6279999999997"/>
    <n v="7697.1679999999997"/>
    <n v="6648.5889999999999"/>
    <n v="5970.9690000000001"/>
    <n v="2384.4279999999999"/>
    <n v="1300.171"/>
    <n v="624.29200000000003"/>
    <n v="455.86"/>
    <n v="364.82299999999998"/>
    <n v="521.08399999999995"/>
    <n v="1511.7919999999999"/>
    <n v="3701.797"/>
    <n v="10230.904"/>
    <n v="16332.879000000001"/>
    <n v="10302.911"/>
    <n v="13812.885"/>
    <n v="29040.819"/>
    <n v="4277.91"/>
    <n v="1790.8489999999999"/>
    <n v="1041.6210000000001"/>
    <n v="710.51700000000005"/>
    <n v="1081.472"/>
    <n v="1081.472"/>
  </r>
  <r>
    <x v="1"/>
    <s v="PEST CONTROL"/>
    <s v="SC JOHNSON"/>
    <x v="0"/>
    <x v="0"/>
    <x v="1"/>
    <x v="3"/>
    <x v="1"/>
    <n v="80735.856"/>
    <n v="436193.37699999998"/>
    <n v="1084218.5549999999"/>
    <n v="1245351.8529999999"/>
    <n v="2435403.8289999999"/>
    <n v="1477888.5330000001"/>
    <n v="909625.34"/>
    <n v="365523.51299999998"/>
    <n v="105300.66099999999"/>
    <n v="54389.872000000003"/>
    <n v="49590.491000000002"/>
    <n v="66731.985000000001"/>
    <n v="115034.361"/>
    <n v="232261.96400000001"/>
    <n v="858570.79399999999"/>
    <n v="1562838.5330000001"/>
    <n v="1720182.821"/>
    <n v="1519367.449"/>
    <n v="1356873.155"/>
    <n v="517246.103"/>
    <n v="263657.31199999998"/>
    <n v="135272.89199999999"/>
    <n v="108622.02899999999"/>
    <n v="82425.460000000006"/>
    <n v="128448.958"/>
    <n v="340187.82699999999"/>
    <n v="806123.29500000004"/>
    <n v="2481548.548"/>
    <n v="4161041.699"/>
    <n v="2623551.963"/>
    <n v="3689684.2480000001"/>
    <n v="8869630.8029999994"/>
    <n v="1086290.6680000001"/>
    <n v="397293.56800000003"/>
    <n v="233227.57399999999"/>
    <n v="161492.649"/>
    <n v="302767.614"/>
    <n v="302767.614"/>
  </r>
  <r>
    <x v="1"/>
    <s v="PEST CONTROL"/>
    <s v="SC JOHNSON"/>
    <x v="0"/>
    <x v="0"/>
    <x v="1"/>
    <x v="3"/>
    <x v="2"/>
    <n v="0.26400000000000001"/>
    <n v="0.66600000000000004"/>
    <n v="1.052"/>
    <n v="0.89800000000000002"/>
    <n v="1.121"/>
    <n v="0.78800000000000003"/>
    <n v="0.56599999999999995"/>
    <n v="0.35899999999999999"/>
    <n v="0.19400000000000001"/>
    <n v="0.23799999999999999"/>
    <n v="0.249"/>
    <n v="0.314"/>
    <n v="0.34799999999999998"/>
    <n v="0.39600000000000002"/>
    <n v="0.80300000000000005"/>
    <n v="0.95099999999999996"/>
    <n v="0.89600000000000002"/>
    <n v="0.82699999999999996"/>
    <n v="0.70499999999999996"/>
    <n v="0.38300000000000001"/>
    <n v="0.318"/>
    <n v="0.29499999999999998"/>
    <n v="0.372"/>
    <n v="0.309"/>
    <n v="0.42899999999999999"/>
    <n v="0.55500000000000005"/>
    <n v="0.84699999999999998"/>
    <n v="1.474"/>
    <n v="1.72"/>
    <n v="1.238"/>
    <n v="1.5620000000000001"/>
    <n v="3.5019999999999998"/>
    <n v="1.125"/>
    <n v="0.90500000000000003"/>
    <n v="0.89100000000000001"/>
    <n v="0.82399999999999995"/>
    <n v="0.97099999999999997"/>
    <n v="0.55500000000000005"/>
  </r>
  <r>
    <x v="1"/>
    <s v="PEST CONTROL"/>
    <s v="SC JOHNSON"/>
    <x v="0"/>
    <x v="0"/>
    <x v="1"/>
    <x v="3"/>
    <x v="3"/>
    <n v="64.305000000000007"/>
    <n v="94.144999999999996"/>
    <n v="97.629000000000005"/>
    <n v="98.24"/>
    <n v="98.016000000000005"/>
    <n v="96.724000000000004"/>
    <n v="94.094999999999999"/>
    <n v="91.84"/>
    <n v="80.929000000000002"/>
    <n v="49.475999999999999"/>
    <n v="49.963000000000001"/>
    <n v="63.279000000000003"/>
    <n v="72.941000000000003"/>
    <n v="86.131"/>
    <n v="97.697000000000003"/>
    <n v="98.269000000000005"/>
    <n v="98.385000000000005"/>
    <n v="97.489000000000004"/>
    <n v="96.926000000000002"/>
    <n v="91.424000000000007"/>
    <n v="85.825000000000003"/>
    <n v="64.415000000000006"/>
    <n v="53.432000000000002"/>
    <n v="60.47"/>
    <n v="68.536000000000001"/>
    <n v="87.757000000000005"/>
    <n v="95.462000000000003"/>
    <n v="97.066000000000003"/>
    <n v="98.063000000000002"/>
    <n v="97.134"/>
    <n v="97.213999999999999"/>
    <n v="97.828000000000003"/>
    <n v="93.305999999999997"/>
    <n v="83.525000000000006"/>
    <n v="70.536000000000001"/>
    <n v="64.790999999999997"/>
    <n v="85.117999999999995"/>
    <n v="0"/>
  </r>
  <r>
    <x v="1"/>
    <s v="PEST CONTROL"/>
    <s v="SC JOHNSON"/>
    <x v="0"/>
    <x v="0"/>
    <x v="1"/>
    <x v="3"/>
    <x v="4"/>
    <n v="58.120763099999998"/>
    <n v="90.886495199999999"/>
    <n v="95.497243999999995"/>
    <n v="95.762908400000001"/>
    <n v="92.660309900000001"/>
    <n v="91.418672799999996"/>
    <n v="86.9421198"/>
    <n v="84.001938199999998"/>
    <n v="69.411497699999998"/>
    <n v="39.384550099999998"/>
    <n v="40.547018799999996"/>
    <n v="53.916593800000001"/>
    <n v="65.093939000000006"/>
    <n v="78.278065999999995"/>
    <n v="93.255544900000004"/>
    <n v="92.870223600000003"/>
    <n v="92.282263999999998"/>
    <n v="91.140259099999994"/>
    <n v="91.008822499999994"/>
    <n v="84.031964700000003"/>
    <n v="75.7108949"/>
    <n v="51.452150199999998"/>
    <n v="39.5308797"/>
    <n v="50.704273899999997"/>
    <n v="60.387338700000001"/>
    <n v="81.880200799999997"/>
    <n v="92.088697199999999"/>
    <n v="92.601682600000004"/>
    <n v="93.755937399999993"/>
    <n v="91.891501300000002"/>
    <n v="91.894736300000005"/>
    <n v="91.046724400000002"/>
    <n v="87.225788100000003"/>
    <n v="69.739968500000003"/>
    <n v="52.387816600000001"/>
    <n v="46.613602299999997"/>
    <n v="71.298549199999997"/>
    <n v="85.117999999999995"/>
  </r>
  <r>
    <x v="1"/>
    <s v="PEST CONTROL"/>
    <s v="SC JOHNSON"/>
    <x v="0"/>
    <x v="0"/>
    <x v="1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298549199999997"/>
  </r>
  <r>
    <x v="1"/>
    <s v="PEST CONTROL"/>
    <s v="SC JOHNSON"/>
    <x v="1"/>
    <x v="1"/>
    <x v="2"/>
    <x v="4"/>
    <x v="0"/>
    <n v="0.42899999999999999"/>
    <n v="0.570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460000000000004"/>
    <n v="6.5220000000000002"/>
    <n v="6.7619999999999996"/>
    <n v="7.2460000000000004"/>
    <n v="7.98"/>
    <n v="0"/>
    <n v="0"/>
    <n v="0"/>
    <n v="0"/>
    <n v="0"/>
    <n v="0"/>
    <n v="0"/>
    <n v="0"/>
    <n v="0"/>
    <n v="0"/>
    <n v="0"/>
  </r>
  <r>
    <x v="1"/>
    <s v="PEST CONTROL"/>
    <s v="SC JOHNSON"/>
    <x v="1"/>
    <x v="1"/>
    <x v="2"/>
    <x v="4"/>
    <x v="1"/>
    <n v="114.43600000000001"/>
    <n v="152.563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2.211"/>
    <n v="1452.1790000000001"/>
    <n v="1505.7239999999999"/>
    <n v="1613.5170000000001"/>
    <n v="1776.8050000000001"/>
    <n v="0"/>
    <n v="0"/>
    <n v="0"/>
    <n v="0"/>
    <n v="0"/>
    <n v="0"/>
    <n v="0"/>
    <n v="0"/>
    <n v="0"/>
    <n v="0"/>
    <n v="0"/>
  </r>
  <r>
    <x v="1"/>
    <s v="PEST CONTROL"/>
    <s v="SC JOHNSON"/>
    <x v="1"/>
    <x v="1"/>
    <x v="2"/>
    <x v="4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EST CONTROL"/>
    <s v="SC JOHNSON"/>
    <x v="1"/>
    <x v="1"/>
    <x v="2"/>
    <x v="4"/>
    <x v="3"/>
    <n v="0.03"/>
    <n v="2.9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26"/>
    <n v="2.5510000000000002"/>
    <n v="1.8029999999999999"/>
    <n v="1.2849999999999999"/>
    <n v="0.80900000000000005"/>
    <n v="0"/>
    <n v="0"/>
    <n v="0"/>
    <n v="0"/>
    <n v="0"/>
    <n v="0"/>
    <n v="0"/>
    <n v="0"/>
    <n v="0"/>
    <n v="0"/>
    <n v="0"/>
  </r>
  <r>
    <x v="1"/>
    <s v="PEST CONTROL"/>
    <s v="SC JOHNSON"/>
    <x v="1"/>
    <x v="1"/>
    <x v="2"/>
    <x v="4"/>
    <x v="4"/>
    <n v="0.31153419999999998"/>
    <n v="0.3106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361964999999999"/>
    <n v="1.7236971000000001"/>
    <n v="1.730478"/>
    <n v="1.7133752"/>
    <n v="1.6983119"/>
    <n v="0"/>
    <n v="0"/>
    <n v="0"/>
    <n v="0"/>
    <n v="0"/>
    <n v="0"/>
    <n v="0"/>
    <n v="0"/>
    <n v="0"/>
    <n v="0"/>
    <n v="0"/>
  </r>
  <r>
    <x v="1"/>
    <s v="PEST CONTROL"/>
    <s v="SC JOHNSON"/>
    <x v="1"/>
    <x v="1"/>
    <x v="2"/>
    <x v="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EST CONTROL"/>
    <s v="SC JOHNSON"/>
    <x v="1"/>
    <x v="1"/>
    <x v="3"/>
    <x v="0"/>
    <x v="0"/>
    <n v="3774.9960000000001"/>
    <n v="6505.6229999999996"/>
    <n v="13257.396000000001"/>
    <n v="16498.419999999998"/>
    <n v="23760.920999999998"/>
    <n v="17764.853999999999"/>
    <n v="15111.999"/>
    <n v="8938.8130000000001"/>
    <n v="5441.9880000000003"/>
    <n v="2974.7040000000002"/>
    <n v="2527.0369999999998"/>
    <n v="2349.7199999999998"/>
    <n v="3220.895"/>
    <n v="4975.7209999999995"/>
    <n v="7909.7820000000002"/>
    <n v="14746.177"/>
    <n v="12943.67"/>
    <n v="11572.767"/>
    <n v="12481.009"/>
    <n v="9026.26"/>
    <n v="5853.4189999999999"/>
    <n v="4160.3850000000002"/>
    <n v="3170.4789999999998"/>
    <n v="2790.97"/>
    <n v="2812.2370000000001"/>
    <n v="4235.3559999999998"/>
    <n v="6492.3950000000004"/>
    <n v="10792.073"/>
    <n v="11836.025"/>
    <n v="12120.696"/>
    <n v="10810.884"/>
    <n v="7139.9669999999996"/>
    <n v="4146.2889999999998"/>
    <n v="3113.4050000000002"/>
    <n v="2063.4009999999998"/>
    <n v="1476.1880000000001"/>
    <n v="1426.2940000000001"/>
    <n v="1426.2940000000001"/>
  </r>
  <r>
    <x v="1"/>
    <s v="PEST CONTROL"/>
    <s v="SC JOHNSON"/>
    <x v="1"/>
    <x v="1"/>
    <x v="3"/>
    <x v="0"/>
    <x v="1"/>
    <n v="757616.44200000004"/>
    <n v="1306780.9580000001"/>
    <n v="2617433.855"/>
    <n v="3250924.3229999999"/>
    <n v="4801700.8660000004"/>
    <n v="3545558.4010000001"/>
    <n v="2914658.8050000002"/>
    <n v="1702898.2169999999"/>
    <n v="1046549.019"/>
    <n v="568508.47"/>
    <n v="483665.45199999999"/>
    <n v="454993.32900000003"/>
    <n v="625648.85699999996"/>
    <n v="939147.527"/>
    <n v="1504046.3589999999"/>
    <n v="2712543.872"/>
    <n v="2539058.3360000001"/>
    <n v="2357580.6839999999"/>
    <n v="2504792.1979999999"/>
    <n v="1717919.8030000001"/>
    <n v="1131731.828"/>
    <n v="817377.98699999996"/>
    <n v="613470.36800000002"/>
    <n v="552500.90500000003"/>
    <n v="620883.929"/>
    <n v="916250.84199999995"/>
    <n v="1378511.3230000001"/>
    <n v="2348835.4419999998"/>
    <n v="2540590.0019999999"/>
    <n v="2547577.9419999998"/>
    <n v="2257067.1359999999"/>
    <n v="1514792.7919999999"/>
    <n v="877803.43599999999"/>
    <n v="647502.46299999999"/>
    <n v="437408.984"/>
    <n v="312351.13099999999"/>
    <n v="329803.304"/>
    <n v="329803.304"/>
  </r>
  <r>
    <x v="1"/>
    <s v="PEST CONTROL"/>
    <s v="SC JOHNSON"/>
    <x v="1"/>
    <x v="1"/>
    <x v="3"/>
    <x v="0"/>
    <x v="2"/>
    <n v="8.4600000000000009"/>
    <n v="7.4580000000000002"/>
    <n v="9.093"/>
    <n v="8.8079999999999998"/>
    <n v="8.1479999999999997"/>
    <n v="6.8010000000000002"/>
    <n v="6.91"/>
    <n v="6.5469999999999997"/>
    <n v="7.6820000000000004"/>
    <n v="9.9719999999999995"/>
    <n v="10.907999999999999"/>
    <n v="9.2469999999999999"/>
    <n v="8.0670000000000002"/>
    <n v="6.9290000000000003"/>
    <n v="6.0590000000000002"/>
    <n v="7.2089999999999996"/>
    <n v="5.633"/>
    <n v="5.34"/>
    <n v="5.6420000000000003"/>
    <n v="5.8849999999999998"/>
    <n v="6.1879999999999997"/>
    <n v="7.8440000000000003"/>
    <n v="9.8930000000000007"/>
    <n v="9.3789999999999996"/>
    <n v="8.7370000000000001"/>
    <n v="6.5449999999999999"/>
    <n v="6.3949999999999996"/>
    <n v="6.03"/>
    <n v="4.6909999999999998"/>
    <n v="5.5010000000000003"/>
    <n v="4.4160000000000004"/>
    <n v="2.8860000000000001"/>
    <n v="4.0209999999999999"/>
    <n v="6.2270000000000003"/>
    <n v="7.234"/>
    <n v="6.7050000000000001"/>
    <n v="4.8410000000000002"/>
    <n v="0.73199999999999998"/>
  </r>
  <r>
    <x v="1"/>
    <s v="PEST CONTROL"/>
    <s v="SC JOHNSON"/>
    <x v="1"/>
    <x v="1"/>
    <x v="3"/>
    <x v="0"/>
    <x v="3"/>
    <n v="98.897999999999996"/>
    <n v="99.036000000000001"/>
    <n v="99.864000000000004"/>
    <n v="99.882999999999996"/>
    <n v="99.852999999999994"/>
    <n v="99.641999999999996"/>
    <n v="99.701999999999998"/>
    <n v="97.814999999999998"/>
    <n v="95.974000000000004"/>
    <n v="92.884"/>
    <n v="91.596000000000004"/>
    <n v="93.358999999999995"/>
    <n v="96.147000000000006"/>
    <n v="97.64"/>
    <n v="98.626999999999995"/>
    <n v="99.230999999999995"/>
    <n v="99.572000000000003"/>
    <n v="99.789000000000001"/>
    <n v="99.658000000000001"/>
    <n v="99.465000000000003"/>
    <n v="98.378"/>
    <n v="97.927999999999997"/>
    <n v="96.156999999999996"/>
    <n v="90.037000000000006"/>
    <n v="92.475999999999999"/>
    <n v="98.873999999999995"/>
    <n v="99.448999999999998"/>
    <n v="99.641999999999996"/>
    <n v="99.647999999999996"/>
    <n v="99.251000000000005"/>
    <n v="98.444000000000003"/>
    <n v="97.075999999999993"/>
    <n v="94.113"/>
    <n v="94.817999999999998"/>
    <n v="93.6"/>
    <n v="89.38"/>
    <n v="88.703999999999994"/>
    <n v="0"/>
  </r>
  <r>
    <x v="1"/>
    <s v="PEST CONTROL"/>
    <s v="SC JOHNSON"/>
    <x v="1"/>
    <x v="1"/>
    <x v="3"/>
    <x v="0"/>
    <x v="4"/>
    <n v="92.055876799999993"/>
    <n v="93.630830500000002"/>
    <n v="97.670988300000005"/>
    <n v="97.649889999999999"/>
    <n v="97.069429799999995"/>
    <n v="96.769310300000001"/>
    <n v="95.335197199999996"/>
    <n v="91.461013300000005"/>
    <n v="90.900558500000002"/>
    <n v="88.034080200000005"/>
    <n v="85.914374899999999"/>
    <n v="88.025753499999993"/>
    <n v="88.512544700000007"/>
    <n v="88.846919799999995"/>
    <n v="89.184506799999994"/>
    <n v="91.715807299999994"/>
    <n v="93.449319200000005"/>
    <n v="94.752201900000003"/>
    <n v="94.454934699999995"/>
    <n v="93.859684999999999"/>
    <n v="92.055617400000003"/>
    <n v="91.624611299999998"/>
    <n v="87.4886786"/>
    <n v="85.895273900000007"/>
    <n v="89.463407599999996"/>
    <n v="93.920088199999995"/>
    <n v="94.282349999999994"/>
    <n v="94.239469600000007"/>
    <n v="94.925017400000002"/>
    <n v="93.015558999999996"/>
    <n v="92.071342099999995"/>
    <n v="89.4289986"/>
    <n v="85.886326999999994"/>
    <n v="84.632933600000001"/>
    <n v="80.826230600000002"/>
    <n v="75.877124499999994"/>
    <n v="74.816210100000006"/>
    <n v="88.703999999999994"/>
  </r>
  <r>
    <x v="1"/>
    <s v="PEST CONTROL"/>
    <s v="SC JOHNSON"/>
    <x v="1"/>
    <x v="1"/>
    <x v="3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816210100000006"/>
  </r>
  <r>
    <x v="1"/>
    <s v="PEST CONTROL"/>
    <s v="SC JOHNSON"/>
    <x v="1"/>
    <x v="1"/>
    <x v="3"/>
    <x v="4"/>
    <x v="0"/>
    <n v="657.66300000000001"/>
    <n v="921.83199999999999"/>
    <n v="1821.394"/>
    <n v="3005.8850000000002"/>
    <n v="3852.8159999999998"/>
    <n v="2324.3829999999998"/>
    <n v="2073.5320000000002"/>
    <n v="1456.58"/>
    <n v="872.17"/>
    <n v="617.72"/>
    <n v="361.68099999999998"/>
    <n v="322.90899999999999"/>
    <n v="406.28199999999998"/>
    <n v="652.60299999999995"/>
    <n v="1193.9570000000001"/>
    <n v="2127.7669999999998"/>
    <n v="2141.864"/>
    <n v="2020.85"/>
    <n v="2001.0129999999999"/>
    <n v="1271.3140000000001"/>
    <n v="616.553"/>
    <n v="428.83699999999999"/>
    <n v="445.49599999999998"/>
    <n v="320.065"/>
    <n v="331.24400000000003"/>
    <n v="536.31200000000001"/>
    <n v="808.21100000000001"/>
    <n v="1807.0940000000001"/>
    <n v="2106.127"/>
    <n v="1717.578"/>
    <n v="1535.5909999999999"/>
    <n v="998.12"/>
    <n v="514.74199999999996"/>
    <n v="381.39699999999999"/>
    <n v="255.23500000000001"/>
    <n v="199.929"/>
    <n v="293.26900000000001"/>
    <n v="293.26900000000001"/>
  </r>
  <r>
    <x v="1"/>
    <s v="PEST CONTROL"/>
    <s v="SC JOHNSON"/>
    <x v="1"/>
    <x v="1"/>
    <x v="3"/>
    <x v="4"/>
    <x v="1"/>
    <n v="204881.125"/>
    <n v="290661.81199999998"/>
    <n v="573706.41099999996"/>
    <n v="863369.8"/>
    <n v="1165365.129"/>
    <n v="740755.25"/>
    <n v="661104.75"/>
    <n v="456319.81699999998"/>
    <n v="273173.54599999997"/>
    <n v="189410.60399999999"/>
    <n v="109599.508"/>
    <n v="100929.181"/>
    <n v="127550.22100000001"/>
    <n v="209391.31099999999"/>
    <n v="387513.41100000002"/>
    <n v="696240.62600000005"/>
    <n v="714018.446"/>
    <n v="712990.71200000006"/>
    <n v="708352.973"/>
    <n v="456539.17200000002"/>
    <n v="222895.995"/>
    <n v="155651.49600000001"/>
    <n v="159227.99900000001"/>
    <n v="116629.61500000001"/>
    <n v="127726.265"/>
    <n v="206603.76800000001"/>
    <n v="312397.01799999998"/>
    <n v="696088.24100000004"/>
    <n v="818642.78200000001"/>
    <n v="671736.53300000005"/>
    <n v="589593.76399999997"/>
    <n v="379739.96299999999"/>
    <n v="194389.715"/>
    <n v="141382.394"/>
    <n v="96086.820999999996"/>
    <n v="75374.832999999999"/>
    <n v="107860.5"/>
    <n v="107860.5"/>
  </r>
  <r>
    <x v="1"/>
    <s v="PEST CONTROL"/>
    <s v="SC JOHNSON"/>
    <x v="1"/>
    <x v="1"/>
    <x v="3"/>
    <x v="4"/>
    <x v="2"/>
    <n v="4.0000000000000001E-3"/>
    <n v="3.0000000000000001E-3"/>
    <n v="3.0000000000000001E-3"/>
    <n v="4.0000000000000001E-3"/>
    <n v="4.0000000000000001E-3"/>
    <n v="2E-3"/>
    <n v="3.0000000000000001E-3"/>
    <n v="3.0000000000000001E-3"/>
    <n v="3.0000000000000001E-3"/>
    <n v="6.0000000000000001E-3"/>
    <n v="4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2E-3"/>
    <n v="2E-3"/>
    <n v="2E-3"/>
    <n v="4.0000000000000001E-3"/>
    <n v="3.0000000000000001E-3"/>
    <n v="3.0000000000000001E-3"/>
    <n v="2E-3"/>
    <n v="2E-3"/>
    <n v="3.0000000000000001E-3"/>
    <n v="2E-3"/>
    <n v="2E-3"/>
    <n v="2E-3"/>
    <n v="1E-3"/>
    <n v="1E-3"/>
    <n v="2E-3"/>
    <n v="2E-3"/>
    <n v="3.0000000000000001E-3"/>
    <n v="3.0000000000000001E-3"/>
    <n v="0.151"/>
  </r>
  <r>
    <x v="1"/>
    <s v="PEST CONTROL"/>
    <s v="SC JOHNSON"/>
    <x v="1"/>
    <x v="1"/>
    <x v="3"/>
    <x v="4"/>
    <x v="3"/>
    <n v="80.722999999999999"/>
    <n v="87.992000000000004"/>
    <n v="93.477000000000004"/>
    <n v="95.167000000000002"/>
    <n v="95.299000000000007"/>
    <n v="94.299000000000007"/>
    <n v="93.087000000000003"/>
    <n v="89.12"/>
    <n v="84.900999999999996"/>
    <n v="75.5"/>
    <n v="72.426000000000002"/>
    <n v="70.099000000000004"/>
    <n v="74.364999999999995"/>
    <n v="84.634"/>
    <n v="91.477999999999994"/>
    <n v="95.721999999999994"/>
    <n v="93.278000000000006"/>
    <n v="93.867000000000004"/>
    <n v="90.393000000000001"/>
    <n v="87.852999999999994"/>
    <n v="77.965000000000003"/>
    <n v="71.572999999999993"/>
    <n v="71.605999999999995"/>
    <n v="63.256999999999998"/>
    <n v="69.31"/>
    <n v="81.3"/>
    <n v="86.442999999999998"/>
    <n v="92.519000000000005"/>
    <n v="95.403000000000006"/>
    <n v="91.828000000000003"/>
    <n v="84.516999999999996"/>
    <n v="87.066000000000003"/>
    <n v="68.072999999999993"/>
    <n v="63.905999999999999"/>
    <n v="55.704000000000001"/>
    <n v="53.807000000000002"/>
    <n v="60.281999999999996"/>
    <n v="0"/>
  </r>
  <r>
    <x v="1"/>
    <s v="PEST CONTROL"/>
    <s v="SC JOHNSON"/>
    <x v="1"/>
    <x v="1"/>
    <x v="3"/>
    <x v="4"/>
    <x v="4"/>
    <n v="61.2837703"/>
    <n v="68.453348199999994"/>
    <n v="75.485133099999999"/>
    <n v="78.800441199999995"/>
    <n v="77.219289900000007"/>
    <n v="79.179897100000005"/>
    <n v="78.023110299999999"/>
    <n v="74.726241299999998"/>
    <n v="71.453021300000003"/>
    <n v="60.136677800000001"/>
    <n v="55.076954299999997"/>
    <n v="49.504575500000001"/>
    <n v="56.136960799999997"/>
    <n v="65.561320800000004"/>
    <n v="78.087101799999999"/>
    <n v="83.068660600000001"/>
    <n v="80.618130800000003"/>
    <n v="81.794805299999993"/>
    <n v="79.293558700000006"/>
    <n v="76.202185999999998"/>
    <n v="65.780050399999993"/>
    <n v="58.2458679"/>
    <n v="58.872398199999999"/>
    <n v="44.782799799999999"/>
    <n v="51.803590700000001"/>
    <n v="66.579189299999996"/>
    <n v="70.978114399999995"/>
    <n v="77.652663200000006"/>
    <n v="80.993251299999997"/>
    <n v="76.133297400000004"/>
    <n v="68.345347700000005"/>
    <n v="69.189017300000003"/>
    <n v="52.209999400000001"/>
    <n v="47.538823700000002"/>
    <n v="40.785500200000001"/>
    <n v="33.730303399999997"/>
    <n v="44.428747100000002"/>
    <n v="60.281999999999996"/>
  </r>
  <r>
    <x v="1"/>
    <s v="PEST CONTROL"/>
    <s v="SC JOHNSON"/>
    <x v="1"/>
    <x v="1"/>
    <x v="3"/>
    <x v="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428747100000002"/>
  </r>
  <r>
    <x v="1"/>
    <s v="PEST CONTROL"/>
    <s v="SC JOHNSON"/>
    <x v="1"/>
    <x v="1"/>
    <x v="3"/>
    <x v="5"/>
    <x v="0"/>
    <n v="1964.788"/>
    <n v="2869.6840000000002"/>
    <n v="5405.5910000000003"/>
    <n v="7178.5050000000001"/>
    <n v="9172.3220000000001"/>
    <n v="6893.6459999999997"/>
    <n v="5958.4750000000004"/>
    <n v="4222.5820000000003"/>
    <n v="2420.4009999999998"/>
    <n v="1332.221"/>
    <n v="1165.0940000000001"/>
    <n v="1218.8389999999999"/>
    <n v="1618.059"/>
    <n v="2283"/>
    <n v="4371.41"/>
    <n v="7374.8620000000001"/>
    <n v="6884.8220000000001"/>
    <n v="5670.0460000000003"/>
    <n v="5311.3029999999999"/>
    <n v="3805.6819999999998"/>
    <n v="2453.846"/>
    <n v="1696.373"/>
    <n v="1237.943"/>
    <n v="1318.038"/>
    <n v="1362.48"/>
    <n v="2074.1869999999999"/>
    <n v="2399.3319999999999"/>
    <n v="3911.2420000000002"/>
    <n v="7731.2240000000002"/>
    <n v="6672.6750000000002"/>
    <n v="5383.3829999999998"/>
    <n v="3727.2510000000002"/>
    <n v="2194.2910000000002"/>
    <n v="1604.85"/>
    <n v="1131.942"/>
    <n v="1110.7660000000001"/>
    <n v="1258.4480000000001"/>
    <n v="7550.6850000000004"/>
  </r>
  <r>
    <x v="1"/>
    <s v="PEST CONTROL"/>
    <s v="SC JOHNSON"/>
    <x v="1"/>
    <x v="1"/>
    <x v="3"/>
    <x v="5"/>
    <x v="1"/>
    <n v="539954.95299999998"/>
    <n v="817458.18200000003"/>
    <n v="1550246.1470000001"/>
    <n v="2021099.9939999999"/>
    <n v="2619295.69"/>
    <n v="2007189.497"/>
    <n v="1702799.405"/>
    <n v="1168901.1950000001"/>
    <n v="686490.78399999999"/>
    <n v="374053.11700000003"/>
    <n v="315805.19300000003"/>
    <n v="351404.853"/>
    <n v="489351.46100000001"/>
    <n v="689541.93200000003"/>
    <n v="1302769.487"/>
    <n v="2293066.08"/>
    <n v="2201113.9890000001"/>
    <n v="1833429.828"/>
    <n v="1728557.5819999999"/>
    <n v="1232489.531"/>
    <n v="731538.30799999996"/>
    <n v="565320.18099999998"/>
    <n v="426768.84499999997"/>
    <n v="462678.59700000001"/>
    <n v="496500.19900000002"/>
    <n v="753831.19200000004"/>
    <n v="824236.62"/>
    <n v="1407183.1"/>
    <n v="2816404.3629999999"/>
    <n v="2514156.84"/>
    <n v="2003768.51"/>
    <n v="1403889.28"/>
    <n v="797532.08100000001"/>
    <n v="563872.50300000003"/>
    <n v="412912.57400000002"/>
    <n v="416831.73499999999"/>
    <n v="499387.05099999998"/>
    <n v="499387.05099999998"/>
  </r>
  <r>
    <x v="1"/>
    <s v="PEST CONTROL"/>
    <s v="SC JOHNSON"/>
    <x v="1"/>
    <x v="1"/>
    <x v="3"/>
    <x v="5"/>
    <x v="2"/>
    <n v="7.1999999999999995E-2"/>
    <n v="5.3999999999999999E-2"/>
    <n v="6.0999999999999999E-2"/>
    <n v="6.3E-2"/>
    <n v="5.1999999999999998E-2"/>
    <n v="4.2999999999999997E-2"/>
    <n v="4.4999999999999998E-2"/>
    <n v="5.0999999999999997E-2"/>
    <n v="5.6000000000000001E-2"/>
    <n v="7.3999999999999996E-2"/>
    <n v="8.3000000000000004E-2"/>
    <n v="7.9000000000000001E-2"/>
    <n v="6.7000000000000004E-2"/>
    <n v="5.2999999999999999E-2"/>
    <n v="5.6000000000000001E-2"/>
    <n v="0.06"/>
    <n v="0.05"/>
    <n v="4.3999999999999997E-2"/>
    <n v="0.04"/>
    <n v="4.1000000000000002E-2"/>
    <n v="4.2999999999999997E-2"/>
    <n v="5.2999999999999999E-2"/>
    <n v="6.4000000000000001E-2"/>
    <n v="7.3999999999999996E-2"/>
    <n v="7.0000000000000007E-2"/>
    <n v="5.2999999999999999E-2"/>
    <n v="3.9E-2"/>
    <n v="3.5999999999999997E-2"/>
    <n v="5.0999999999999997E-2"/>
    <n v="0.05"/>
    <n v="3.5999999999999997E-2"/>
    <n v="2.5000000000000001E-2"/>
    <n v="3.5000000000000003E-2"/>
    <n v="5.2999999999999999E-2"/>
    <n v="6.6000000000000003E-2"/>
    <n v="8.3000000000000004E-2"/>
    <n v="7.0000000000000007E-2"/>
    <n v="3.8759999999999999"/>
  </r>
  <r>
    <x v="1"/>
    <s v="PEST CONTROL"/>
    <s v="SC JOHNSON"/>
    <x v="1"/>
    <x v="1"/>
    <x v="3"/>
    <x v="5"/>
    <x v="3"/>
    <n v="83.299000000000007"/>
    <n v="90.706999999999994"/>
    <n v="95.097999999999999"/>
    <n v="94.757999999999996"/>
    <n v="95.831000000000003"/>
    <n v="95.421999999999997"/>
    <n v="93.799000000000007"/>
    <n v="91.84"/>
    <n v="87.275000000000006"/>
    <n v="77.466999999999999"/>
    <n v="72.415000000000006"/>
    <n v="79.602000000000004"/>
    <n v="88.89"/>
    <n v="93.113"/>
    <n v="96.427999999999997"/>
    <n v="97.668999999999997"/>
    <n v="97.069000000000003"/>
    <n v="93.804000000000002"/>
    <n v="91.685000000000002"/>
    <n v="86.631"/>
    <n v="84.588999999999999"/>
    <n v="81.96"/>
    <n v="76.813999999999993"/>
    <n v="81.796000000000006"/>
    <n v="80.198999999999998"/>
    <n v="88.977000000000004"/>
    <n v="88.296000000000006"/>
    <n v="92.793000000000006"/>
    <n v="95.795000000000002"/>
    <n v="94.697000000000003"/>
    <n v="93.372"/>
    <n v="91.903999999999996"/>
    <n v="83.936999999999998"/>
    <n v="79.432000000000002"/>
    <n v="71.941999999999993"/>
    <n v="74.959999999999994"/>
    <n v="86.686000000000007"/>
    <n v="0"/>
  </r>
  <r>
    <x v="1"/>
    <s v="PEST CONTROL"/>
    <s v="SC JOHNSON"/>
    <x v="1"/>
    <x v="1"/>
    <x v="3"/>
    <x v="5"/>
    <x v="4"/>
    <n v="74.073497200000006"/>
    <n v="75.731600099999994"/>
    <n v="79.504696800000005"/>
    <n v="83.112423000000007"/>
    <n v="81.645067900000001"/>
    <n v="81.692450600000001"/>
    <n v="83.611216200000001"/>
    <n v="83.384978099999998"/>
    <n v="83.334713600000001"/>
    <n v="77.298937199999997"/>
    <n v="75.999852300000001"/>
    <n v="80.054315000000003"/>
    <n v="85.982682999999994"/>
    <n v="86.426246000000006"/>
    <n v="88.358055500000006"/>
    <n v="91.269557300000002"/>
    <n v="90.823445000000007"/>
    <n v="86.880504700000003"/>
    <n v="84.215241899999995"/>
    <n v="78.752463399999996"/>
    <n v="79.357381500000002"/>
    <n v="74.847871400000002"/>
    <n v="69.803202099999993"/>
    <n v="78.569561199999995"/>
    <n v="76.270242999999994"/>
    <n v="81.666028900000001"/>
    <n v="80.823228400000005"/>
    <n v="83.651103199999994"/>
    <n v="85.933149900000004"/>
    <n v="84.790069399999993"/>
    <n v="82.587108900000004"/>
    <n v="80.419939299999996"/>
    <n v="74.710215399999996"/>
    <n v="73.314113000000006"/>
    <n v="71.011249800000002"/>
    <n v="68.304312899999999"/>
    <n v="69.535212900000005"/>
    <n v="86.686000000000007"/>
  </r>
  <r>
    <x v="1"/>
    <s v="PEST CONTROL"/>
    <s v="SC JOHNSON"/>
    <x v="1"/>
    <x v="1"/>
    <x v="3"/>
    <x v="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535212900000005"/>
  </r>
  <r>
    <x v="1"/>
    <s v="PEST CONTROL"/>
    <s v="SC JOHNSON"/>
    <x v="1"/>
    <x v="2"/>
    <x v="3"/>
    <x v="0"/>
    <x v="0"/>
    <n v="1538.2070000000001"/>
    <n v="2107.8969999999999"/>
    <n v="2822.6930000000002"/>
    <n v="2704.393"/>
    <n v="4060.875"/>
    <n v="2515.6329999999998"/>
    <n v="2431.1550000000002"/>
    <n v="1553.6949999999999"/>
    <n v="1128.817"/>
    <n v="710.36699999999996"/>
    <n v="625.01800000000003"/>
    <n v="749.88499999999999"/>
    <n v="1091.308"/>
    <n v="1570.2860000000001"/>
    <n v="2385.3339999999998"/>
    <n v="3626.3679999999999"/>
    <n v="2710.8449999999998"/>
    <n v="2408.7310000000002"/>
    <n v="2622.74"/>
    <n v="1503.1610000000001"/>
    <n v="943.99699999999996"/>
    <n v="920.43899999999996"/>
    <n v="651.74300000000005"/>
    <n v="818.23400000000004"/>
    <n v="568.84100000000001"/>
    <n v="430.18"/>
    <n v="454.48599999999999"/>
    <n v="529.26700000000005"/>
    <n v="346.24099999999999"/>
    <n v="272.596"/>
    <n v="261.25599999999997"/>
    <n v="225.19399999999999"/>
    <n v="190.517"/>
    <n v="184.08699999999999"/>
    <n v="162.928"/>
    <n v="89.766999999999996"/>
    <n v="88.838999999999999"/>
    <n v="88.838999999999999"/>
  </r>
  <r>
    <x v="1"/>
    <s v="PEST CONTROL"/>
    <s v="SC JOHNSON"/>
    <x v="1"/>
    <x v="2"/>
    <x v="3"/>
    <x v="0"/>
    <x v="1"/>
    <n v="410333.17700000003"/>
    <n v="562497.23499999999"/>
    <n v="764390.11300000001"/>
    <n v="729661.83400000003"/>
    <n v="1078373.2509999999"/>
    <n v="660241.20799999998"/>
    <n v="647827.18799999997"/>
    <n v="410082.72600000002"/>
    <n v="296665.20799999998"/>
    <n v="187947.66899999999"/>
    <n v="165696.204"/>
    <n v="207065.27600000001"/>
    <n v="304191.15999999997"/>
    <n v="435859.83799999999"/>
    <n v="669544.07400000002"/>
    <n v="1022293.87"/>
    <n v="800876.39899999998"/>
    <n v="733809.21499999997"/>
    <n v="806688.78300000005"/>
    <n v="461860.42099999997"/>
    <n v="272050.98300000001"/>
    <n v="277970.12400000001"/>
    <n v="196952.55100000001"/>
    <n v="237772.27900000001"/>
    <n v="182154.61300000001"/>
    <n v="135207.06299999999"/>
    <n v="138603.06899999999"/>
    <n v="169091.503"/>
    <n v="104716.696"/>
    <n v="79188.442999999999"/>
    <n v="74468.963000000003"/>
    <n v="66368.554000000004"/>
    <n v="54267.358999999997"/>
    <n v="52318.578000000001"/>
    <n v="47511.603000000003"/>
    <n v="27474.491000000002"/>
    <n v="32056.642"/>
    <n v="32056.642"/>
  </r>
  <r>
    <x v="1"/>
    <s v="PEST CONTROL"/>
    <s v="SC JOHNSON"/>
    <x v="1"/>
    <x v="2"/>
    <x v="3"/>
    <x v="0"/>
    <x v="2"/>
    <n v="3.6680000000000001"/>
    <n v="2.5750000000000002"/>
    <n v="2.069"/>
    <n v="1.5449999999999999"/>
    <n v="1.4870000000000001"/>
    <n v="1.028"/>
    <n v="1.1890000000000001"/>
    <n v="1.2170000000000001"/>
    <n v="1.698"/>
    <n v="2.528"/>
    <n v="2.855"/>
    <n v="3.1320000000000001"/>
    <n v="2.9220000000000002"/>
    <n v="2.3460000000000001"/>
    <n v="1.966"/>
    <n v="1.9119999999999999"/>
    <n v="1.272"/>
    <n v="1.1990000000000001"/>
    <n v="1.278"/>
    <n v="1.0549999999999999"/>
    <n v="1.071"/>
    <n v="1.8620000000000001"/>
    <n v="2.1720000000000002"/>
    <n v="2.9329999999999998"/>
    <n v="1.8819999999999999"/>
    <n v="0.70099999999999996"/>
    <n v="0.47199999999999998"/>
    <n v="0.312"/>
    <n v="0.14299999999999999"/>
    <n v="0.128"/>
    <n v="0.11"/>
    <n v="9.4E-2"/>
    <n v="0.189"/>
    <n v="0.377"/>
    <n v="0.59099999999999997"/>
    <n v="0.41799999999999998"/>
    <n v="0.32"/>
    <n v="4.5999999999999999E-2"/>
  </r>
  <r>
    <x v="1"/>
    <s v="PEST CONTROL"/>
    <s v="SC JOHNSON"/>
    <x v="1"/>
    <x v="2"/>
    <x v="3"/>
    <x v="0"/>
    <x v="3"/>
    <n v="88.789000000000001"/>
    <n v="92.698999999999998"/>
    <n v="96.991"/>
    <n v="97.582999999999998"/>
    <n v="97.296999999999997"/>
    <n v="95.631"/>
    <n v="95.68"/>
    <n v="93.173000000000002"/>
    <n v="88.745999999999995"/>
    <n v="80.537999999999997"/>
    <n v="82.718999999999994"/>
    <n v="87.262"/>
    <n v="91.668000000000006"/>
    <n v="95.051000000000002"/>
    <n v="96.991"/>
    <n v="96.947000000000003"/>
    <n v="95.912999999999997"/>
    <n v="96.388000000000005"/>
    <n v="96.063999999999993"/>
    <n v="91.82"/>
    <n v="87.701999999999998"/>
    <n v="76.905000000000001"/>
    <n v="71.894999999999996"/>
    <n v="78.194000000000003"/>
    <n v="73.201999999999998"/>
    <n v="49.597999999999999"/>
    <n v="23.206"/>
    <n v="15.863"/>
    <n v="11.19"/>
    <n v="9.7520000000000007"/>
    <n v="7.6959999999999997"/>
    <n v="6.38"/>
    <n v="12.233000000000001"/>
    <n v="24.059000000000001"/>
    <n v="26.442"/>
    <n v="18.605"/>
    <n v="5.548"/>
    <n v="0"/>
  </r>
  <r>
    <x v="1"/>
    <s v="PEST CONTROL"/>
    <s v="SC JOHNSON"/>
    <x v="1"/>
    <x v="2"/>
    <x v="3"/>
    <x v="0"/>
    <x v="4"/>
    <n v="77.742747499999993"/>
    <n v="80.599198999999999"/>
    <n v="86.198587099999997"/>
    <n v="87.253003399999997"/>
    <n v="87.129244299999996"/>
    <n v="84.700991999999999"/>
    <n v="86.244875199999996"/>
    <n v="82.441791600000002"/>
    <n v="78.473519400000001"/>
    <n v="67.213644400000007"/>
    <n v="69.093963700000003"/>
    <n v="75.127781999999996"/>
    <n v="79.452796599999999"/>
    <n v="82.096403499999994"/>
    <n v="84.287017399999996"/>
    <n v="84.101290300000002"/>
    <n v="81.665271099999998"/>
    <n v="82.977017599999996"/>
    <n v="84.101714000000001"/>
    <n v="79.808305200000007"/>
    <n v="74.511809200000002"/>
    <n v="64.092974999999996"/>
    <n v="56.0247466"/>
    <n v="58.8361023"/>
    <n v="52.850529999999999"/>
    <n v="39.680055699999997"/>
    <n v="27.652480099999998"/>
    <n v="22.758524600000001"/>
    <n v="17.762439000000001"/>
    <n v="14.2887314"/>
    <n v="11.8292588"/>
    <n v="10.9522827"/>
    <n v="7.5994770999999997"/>
    <n v="7.0382595999999999"/>
    <n v="8.7347015999999993"/>
    <n v="5.2274475999999996"/>
    <n v="4.5251986000000004"/>
    <n v="5.548"/>
  </r>
  <r>
    <x v="1"/>
    <s v="PEST CONTROL"/>
    <s v="SC JOHNSON"/>
    <x v="1"/>
    <x v="2"/>
    <x v="3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251986000000004"/>
  </r>
  <r>
    <x v="1"/>
    <s v="PEST CONTROL"/>
    <s v="SC JOHNSON"/>
    <x v="1"/>
    <x v="3"/>
    <x v="2"/>
    <x v="0"/>
    <x v="0"/>
    <n v="948.51499999999999"/>
    <n v="1198.96"/>
    <n v="1983.067"/>
    <n v="2406.3890000000001"/>
    <n v="3283.9650000000001"/>
    <n v="2290.7890000000002"/>
    <n v="2331.9870000000001"/>
    <n v="1786.019"/>
    <n v="1061.941"/>
    <n v="585"/>
    <n v="565.44000000000005"/>
    <n v="492.96699999999998"/>
    <n v="678.92700000000002"/>
    <n v="913.95899999999995"/>
    <n v="1629.4970000000001"/>
    <n v="2167.5709999999999"/>
    <n v="1471.373"/>
    <n v="654.99699999999996"/>
    <n v="551.93499999999995"/>
    <n v="401.93200000000002"/>
    <n v="467.358"/>
    <n v="432.18400000000003"/>
    <n v="529.22199999999998"/>
    <n v="608.80999999999995"/>
    <n v="729.16499999999996"/>
    <n v="860.86"/>
    <n v="880.48500000000001"/>
    <n v="1044.2080000000001"/>
    <n v="684.91"/>
    <n v="773.24"/>
    <n v="784.36599999999999"/>
    <n v="776.52499999999998"/>
    <n v="700.62099999999998"/>
    <n v="691.74800000000005"/>
    <n v="549.80499999999995"/>
    <n v="373.86599999999999"/>
    <n v="4.2679999999999998"/>
    <n v="4.2679999999999998"/>
  </r>
  <r>
    <x v="1"/>
    <s v="PEST CONTROL"/>
    <s v="SC JOHNSON"/>
    <x v="1"/>
    <x v="3"/>
    <x v="2"/>
    <x v="0"/>
    <x v="1"/>
    <n v="124083.431"/>
    <n v="161618.318"/>
    <n v="270227.02399999998"/>
    <n v="332123.28200000001"/>
    <n v="451010.88"/>
    <n v="313819.75900000002"/>
    <n v="312420.02399999998"/>
    <n v="239041.73"/>
    <n v="140680.40700000001"/>
    <n v="78028.350999999995"/>
    <n v="75839.641000000003"/>
    <n v="68536.284"/>
    <n v="93834.278000000006"/>
    <n v="128362.55899999999"/>
    <n v="230565.984"/>
    <n v="311199.25099999999"/>
    <n v="215317.39600000001"/>
    <n v="93881.626000000004"/>
    <n v="74124.308999999994"/>
    <n v="53003.057999999997"/>
    <n v="61130.885999999999"/>
    <n v="55908.031000000003"/>
    <n v="68734.698000000004"/>
    <n v="78579.933999999994"/>
    <n v="94061.964999999997"/>
    <n v="111070.433"/>
    <n v="113893.249"/>
    <n v="134627.13699999999"/>
    <n v="88616.854999999996"/>
    <n v="99698.504000000001"/>
    <n v="101419.48699999999"/>
    <n v="100912.338"/>
    <n v="90688.805999999997"/>
    <n v="90179.975999999995"/>
    <n v="70791.430999999997"/>
    <n v="48137.936999999998"/>
    <n v="635.87300000000005"/>
    <n v="635.87300000000005"/>
  </r>
  <r>
    <x v="1"/>
    <s v="PEST CONTROL"/>
    <s v="SC JOHNSON"/>
    <x v="1"/>
    <x v="3"/>
    <x v="2"/>
    <x v="0"/>
    <x v="2"/>
    <n v="1.75"/>
    <n v="1.1359999999999999"/>
    <n v="1.1240000000000001"/>
    <n v="1.0609999999999999"/>
    <n v="0.92700000000000005"/>
    <n v="0.72299999999999998"/>
    <n v="0.88"/>
    <n v="1.0820000000000001"/>
    <n v="1.238"/>
    <n v="1.621"/>
    <n v="2.0150000000000001"/>
    <n v="1.6020000000000001"/>
    <n v="1.4119999999999999"/>
    <n v="1.0580000000000001"/>
    <n v="1.0369999999999999"/>
    <n v="0.88100000000000001"/>
    <n v="0.53400000000000003"/>
    <n v="0.254"/>
    <n v="0.21"/>
    <n v="0.219"/>
    <n v="0.41199999999999998"/>
    <n v="0.68"/>
    <n v="1.3759999999999999"/>
    <n v="1.7050000000000001"/>
    <n v="1.887"/>
    <n v="1.1060000000000001"/>
    <n v="0.72099999999999997"/>
    <n v="0.48399999999999999"/>
    <n v="0.22600000000000001"/>
    <n v="0.29099999999999998"/>
    <n v="0.26600000000000001"/>
    <n v="0.26"/>
    <n v="0.56499999999999995"/>
    <n v="1.153"/>
    <n v="1.5980000000000001"/>
    <n v="1.4079999999999999"/>
    <n v="1.4E-2"/>
    <n v="2E-3"/>
  </r>
  <r>
    <x v="1"/>
    <s v="PEST CONTROL"/>
    <s v="SC JOHNSON"/>
    <x v="1"/>
    <x v="3"/>
    <x v="2"/>
    <x v="0"/>
    <x v="3"/>
    <n v="65.397000000000006"/>
    <n v="66.064999999999998"/>
    <n v="69.155000000000001"/>
    <n v="63.865000000000002"/>
    <n v="67.254999999999995"/>
    <n v="63.716000000000001"/>
    <n v="61.527999999999999"/>
    <n v="60.725999999999999"/>
    <n v="58.44"/>
    <n v="56.055"/>
    <n v="58.228999999999999"/>
    <n v="55.646999999999998"/>
    <n v="58.122999999999998"/>
    <n v="72.867999999999995"/>
    <n v="79.521000000000001"/>
    <n v="60.622"/>
    <n v="49.741"/>
    <n v="15.084"/>
    <n v="8.6479999999999997"/>
    <n v="7.3689999999999998"/>
    <n v="9.89"/>
    <n v="10.282"/>
    <n v="15.345000000000001"/>
    <n v="14.176"/>
    <n v="12.481"/>
    <n v="7.7530000000000001"/>
    <n v="4.5060000000000002"/>
    <n v="2.6429999999999998"/>
    <n v="2.992"/>
    <n v="3.5369999999999999"/>
    <n v="3.863"/>
    <n v="3.15"/>
    <n v="8.5890000000000004"/>
    <n v="17.591999999999999"/>
    <n v="15.586"/>
    <n v="15.682"/>
    <n v="2.633"/>
    <n v="0"/>
  </r>
  <r>
    <x v="1"/>
    <s v="PEST CONTROL"/>
    <s v="SC JOHNSON"/>
    <x v="1"/>
    <x v="3"/>
    <x v="2"/>
    <x v="0"/>
    <x v="4"/>
    <n v="45.326986300000002"/>
    <n v="47.379164400000001"/>
    <n v="53.558885199999999"/>
    <n v="51.394711899999997"/>
    <n v="52.458131399999999"/>
    <n v="47.1108403"/>
    <n v="46.308479200000001"/>
    <n v="45.370176000000001"/>
    <n v="41.024319800000001"/>
    <n v="35.897451699999998"/>
    <n v="34.051286500000003"/>
    <n v="32.739583500000002"/>
    <n v="37.401768599999997"/>
    <n v="51.480971199999999"/>
    <n v="58.735590700000003"/>
    <n v="47.300698500000003"/>
    <n v="40.247357299999997"/>
    <n v="19.241926400000001"/>
    <n v="12.744019400000001"/>
    <n v="9.8440945000000006"/>
    <n v="8.6933716000000008"/>
    <n v="8.0708397000000005"/>
    <n v="7.4271592999999996"/>
    <n v="6.0329398999999997"/>
    <n v="5.4798470999999997"/>
    <n v="6.2823757000000002"/>
    <n v="5.6610395999999996"/>
    <n v="5.2930688999999997"/>
    <n v="5.2166560000000004"/>
    <n v="4.9094500999999999"/>
    <n v="4.9058102000000003"/>
    <n v="4.9276486000000004"/>
    <n v="4.9238993000000004"/>
    <n v="4.9212385000000003"/>
    <n v="4.0973508000000001"/>
    <n v="4.2437025999999998"/>
    <n v="2.3255341"/>
    <n v="2.633"/>
  </r>
  <r>
    <x v="1"/>
    <s v="PEST CONTROL"/>
    <s v="SC JOHNSON"/>
    <x v="1"/>
    <x v="3"/>
    <x v="2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255341"/>
  </r>
  <r>
    <x v="1"/>
    <s v="PEST CONTROL"/>
    <s v="SC JOHNSON"/>
    <x v="1"/>
    <x v="4"/>
    <x v="2"/>
    <x v="0"/>
    <x v="0"/>
    <n v="0"/>
    <n v="47.936999999999998"/>
    <n v="42.25"/>
    <n v="0"/>
    <n v="0"/>
    <n v="0"/>
    <n v="387.33499999999998"/>
    <n v="218.529"/>
    <n v="196.70400000000001"/>
    <n v="171.756"/>
    <n v="183.59"/>
    <n v="118.619"/>
    <n v="85.878"/>
    <n v="95.073999999999998"/>
    <n v="128.46299999999999"/>
    <n v="504.47399999999999"/>
    <n v="1331.134"/>
    <n v="1924.066"/>
    <n v="1843.184"/>
    <n v="1259.394"/>
    <n v="863.822"/>
    <n v="588.54999999999995"/>
    <n v="429.06"/>
    <n v="436.17500000000001"/>
    <n v="436.03800000000001"/>
    <n v="666.745"/>
    <n v="1048.2449999999999"/>
    <n v="2009.4749999999999"/>
    <n v="2505.6010000000001"/>
    <n v="2586.4360000000001"/>
    <n v="2266.607"/>
    <n v="1923.5530000000001"/>
    <n v="1302.1890000000001"/>
    <n v="906.65099999999995"/>
    <n v="594.64400000000001"/>
    <n v="456.399"/>
    <n v="537.71699999999998"/>
    <n v="537.71699999999998"/>
  </r>
  <r>
    <x v="1"/>
    <s v="PEST CONTROL"/>
    <s v="SC JOHNSON"/>
    <x v="1"/>
    <x v="4"/>
    <x v="2"/>
    <x v="0"/>
    <x v="1"/>
    <n v="0"/>
    <n v="6183.8450000000003"/>
    <n v="5450.2889999999998"/>
    <n v="0"/>
    <n v="0"/>
    <n v="0"/>
    <n v="42804.646999999997"/>
    <n v="24007.834999999999"/>
    <n v="21610.133999999998"/>
    <n v="18869.359"/>
    <n v="20169.457999999999"/>
    <n v="10557.048000000001"/>
    <n v="7643.1509999999998"/>
    <n v="8461.6229999999996"/>
    <n v="12287.369000000001"/>
    <n v="67702.561000000002"/>
    <n v="203586.39600000001"/>
    <n v="307612.10700000002"/>
    <n v="296041.11200000002"/>
    <n v="201672.37"/>
    <n v="138711.98800000001"/>
    <n v="95268.782999999996"/>
    <n v="69717.589000000007"/>
    <n v="74269.437000000005"/>
    <n v="77212.678"/>
    <n v="117730.038"/>
    <n v="184465.625"/>
    <n v="353645.09399999998"/>
    <n v="439356.26699999999"/>
    <n v="449372.78499999997"/>
    <n v="391096.93900000001"/>
    <n v="327304.63"/>
    <n v="220975.83100000001"/>
    <n v="144704.674"/>
    <n v="98781.513000000006"/>
    <n v="80704.051000000007"/>
    <n v="98700.358999999997"/>
    <n v="98700.358999999997"/>
  </r>
  <r>
    <x v="1"/>
    <s v="PEST CONTROL"/>
    <s v="SC JOHNSON"/>
    <x v="1"/>
    <x v="4"/>
    <x v="2"/>
    <x v="0"/>
    <x v="2"/>
    <n v="0"/>
    <n v="4.4999999999999998E-2"/>
    <n v="2.4E-2"/>
    <n v="0"/>
    <n v="0"/>
    <n v="0"/>
    <n v="0.14599999999999999"/>
    <n v="0.13200000000000001"/>
    <n v="0.22900000000000001"/>
    <n v="0.47499999999999998"/>
    <n v="0.65300000000000002"/>
    <n v="0.38500000000000001"/>
    <n v="0.17799999999999999"/>
    <n v="0.11"/>
    <n v="8.2000000000000003E-2"/>
    <n v="0.20499999999999999"/>
    <n v="0.48199999999999998"/>
    <n v="0.73899999999999999"/>
    <n v="0.69299999999999995"/>
    <n v="0.68300000000000005"/>
    <n v="0.76"/>
    <n v="0.92400000000000004"/>
    <n v="1.113"/>
    <n v="1.2190000000000001"/>
    <n v="1.127"/>
    <n v="0.85399999999999998"/>
    <n v="0.85499999999999998"/>
    <n v="0.92900000000000005"/>
    <n v="0.82199999999999995"/>
    <n v="0.97199999999999998"/>
    <n v="0.76500000000000001"/>
    <n v="0.64200000000000002"/>
    <n v="1.0429999999999999"/>
    <n v="1.5009999999999999"/>
    <n v="1.7230000000000001"/>
    <n v="1.7150000000000001"/>
    <n v="1.5009999999999999"/>
    <n v="0.27600000000000002"/>
  </r>
  <r>
    <x v="1"/>
    <s v="PEST CONTROL"/>
    <s v="SC JOHNSON"/>
    <x v="1"/>
    <x v="4"/>
    <x v="2"/>
    <x v="0"/>
    <x v="3"/>
    <n v="0.28999999999999998"/>
    <n v="0.45500000000000002"/>
    <n v="0.43099999999999999"/>
    <n v="0.495"/>
    <n v="0.46500000000000002"/>
    <n v="0.317"/>
    <n v="1.84"/>
    <n v="1.6559999999999999"/>
    <n v="2.9"/>
    <n v="4.5229999999999997"/>
    <n v="5.1630000000000003"/>
    <n v="3.8530000000000002"/>
    <n v="2.1840000000000002"/>
    <n v="1.2849999999999999"/>
    <n v="12.112"/>
    <n v="15.827"/>
    <n v="54.741999999999997"/>
    <n v="59.302"/>
    <n v="60.225999999999999"/>
    <n v="56.984999999999999"/>
    <n v="53.084000000000003"/>
    <n v="51.006999999999998"/>
    <n v="43.908999999999999"/>
    <n v="48.390999999999998"/>
    <n v="50.076999999999998"/>
    <n v="60.009"/>
    <n v="63.524000000000001"/>
    <n v="68.882999999999996"/>
    <n v="68.632999999999996"/>
    <n v="64.488"/>
    <n v="66.775000000000006"/>
    <n v="70.405000000000001"/>
    <n v="61.448999999999998"/>
    <n v="49.26"/>
    <n v="48.491"/>
    <n v="49.415999999999997"/>
    <n v="64.524000000000001"/>
    <n v="0"/>
  </r>
  <r>
    <x v="1"/>
    <s v="PEST CONTROL"/>
    <s v="SC JOHNSON"/>
    <x v="1"/>
    <x v="4"/>
    <x v="2"/>
    <x v="0"/>
    <x v="4"/>
    <n v="1.2461370000000001"/>
    <n v="1.2427648"/>
    <n v="1.2421396"/>
    <n v="1.2533920000000001"/>
    <n v="1.2339243"/>
    <n v="1.2307389"/>
    <n v="4.1520959"/>
    <n v="2.9320263999999998"/>
    <n v="3.0671930000000001"/>
    <n v="3.0769419999999998"/>
    <n v="3.0769419999999998"/>
    <n v="3.0790831999999999"/>
    <n v="3.0769419999999998"/>
    <n v="3.0684165000000001"/>
    <n v="8.2645134000000002"/>
    <n v="12.711510199999999"/>
    <n v="37.986187899999997"/>
    <n v="42.063434200000003"/>
    <n v="42.164384900000002"/>
    <n v="39.554739400000003"/>
    <n v="40.920998699999998"/>
    <n v="39.436467700000001"/>
    <n v="37.682987900000001"/>
    <n v="39.189402700000002"/>
    <n v="39.586992600000002"/>
    <n v="43.357815600000002"/>
    <n v="45.559480499999999"/>
    <n v="46.638622699999999"/>
    <n v="47.6659583"/>
    <n v="46.5212571"/>
    <n v="45.513489800000002"/>
    <n v="48.233610800000001"/>
    <n v="48.421548399999999"/>
    <n v="44.828200899999999"/>
    <n v="43.001930399999999"/>
    <n v="42.045842499999999"/>
    <n v="47.160668200000003"/>
    <n v="64.524000000000001"/>
  </r>
  <r>
    <x v="1"/>
    <s v="PEST CONTROL"/>
    <s v="SC JOHNSON"/>
    <x v="1"/>
    <x v="4"/>
    <x v="2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160668200000003"/>
  </r>
  <r>
    <x v="1"/>
    <s v="PEST CONTROL"/>
    <s v="SC JOHNSON"/>
    <x v="1"/>
    <x v="4"/>
    <x v="3"/>
    <x v="0"/>
    <x v="0"/>
    <n v="225.91200000000001"/>
    <n v="206.60599999999999"/>
    <n v="199.06899999999999"/>
    <n v="248.56899999999999"/>
    <n v="231.155"/>
    <n v="231.155"/>
    <n v="1049.655"/>
    <n v="1368.318"/>
    <n v="1147.8140000000001"/>
    <n v="837.54600000000005"/>
    <n v="658.05899999999997"/>
    <n v="708.73699999999997"/>
    <n v="1030.1880000000001"/>
    <n v="1766.6179999999999"/>
    <n v="3012.47"/>
    <n v="4854.5320000000002"/>
    <n v="5978.3329999999996"/>
    <n v="5180.5410000000002"/>
    <n v="5409.78"/>
    <n v="4068.0120000000002"/>
    <n v="3025.1660000000002"/>
    <n v="1451.4690000000001"/>
    <n v="1051.904"/>
    <n v="993.82100000000003"/>
    <n v="1073.69"/>
    <n v="2895.0949999999998"/>
    <n v="4835.8019999999997"/>
    <n v="9260.5210000000006"/>
    <n v="11459.174000000001"/>
    <n v="9855.5830000000005"/>
    <n v="8653.8209999999999"/>
    <n v="6764.0619999999999"/>
    <n v="4077.7950000000001"/>
    <n v="2586.3919999999998"/>
    <n v="1909.779"/>
    <n v="1677.94"/>
    <n v="1830.8710000000001"/>
    <n v="1830.8710000000001"/>
  </r>
  <r>
    <x v="1"/>
    <s v="PEST CONTROL"/>
    <s v="SC JOHNSON"/>
    <x v="1"/>
    <x v="4"/>
    <x v="3"/>
    <x v="0"/>
    <x v="1"/>
    <n v="40184.51"/>
    <n v="36197.805"/>
    <n v="34887.016000000003"/>
    <n v="44831.517"/>
    <n v="41392.190999999999"/>
    <n v="41392.190999999999"/>
    <n v="249411.99100000001"/>
    <n v="335216.11499999999"/>
    <n v="270094.36900000001"/>
    <n v="194643.609"/>
    <n v="149514.73499999999"/>
    <n v="162387.31899999999"/>
    <n v="231888.64499999999"/>
    <n v="407175.81599999999"/>
    <n v="688367.42"/>
    <n v="1139312.476"/>
    <n v="1416076.4850000001"/>
    <n v="1195020.4779999999"/>
    <n v="1215943.2350000001"/>
    <n v="931969.53799999994"/>
    <n v="630678.26199999999"/>
    <n v="325380.82"/>
    <n v="242893.98800000001"/>
    <n v="238663.82800000001"/>
    <n v="272611.41100000002"/>
    <n v="784913.47"/>
    <n v="1316075.2450000001"/>
    <n v="2552798.29"/>
    <n v="3207690.1170000001"/>
    <n v="2751369.9010000001"/>
    <n v="2392877.702"/>
    <n v="1887938.7790000001"/>
    <n v="1118497.4550000001"/>
    <n v="725929.16399999999"/>
    <n v="542078.47699999996"/>
    <n v="473327.83100000001"/>
    <n v="555819.95900000003"/>
    <n v="555819.95900000003"/>
  </r>
  <r>
    <x v="1"/>
    <s v="PEST CONTROL"/>
    <s v="SC JOHNSON"/>
    <x v="1"/>
    <x v="4"/>
    <x v="3"/>
    <x v="0"/>
    <x v="2"/>
    <n v="0.5"/>
    <n v="0.23400000000000001"/>
    <n v="0.13500000000000001"/>
    <n v="0.13100000000000001"/>
    <n v="7.8E-2"/>
    <n v="8.6999999999999994E-2"/>
    <n v="0.47499999999999998"/>
    <n v="0.99299999999999999"/>
    <n v="1.605"/>
    <n v="2.782"/>
    <n v="2.81"/>
    <n v="2.7570000000000001"/>
    <n v="2.5659999999999998"/>
    <n v="2.448"/>
    <n v="2.2989999999999999"/>
    <n v="2.3679999999999999"/>
    <n v="2.5979999999999999"/>
    <n v="2.3879999999999999"/>
    <n v="2.4420000000000002"/>
    <n v="2.649"/>
    <n v="3.194"/>
    <n v="2.7330000000000001"/>
    <n v="3.2749999999999999"/>
    <n v="3.3319999999999999"/>
    <n v="3.3479999999999999"/>
    <n v="4.5510000000000002"/>
    <n v="4.8639999999999999"/>
    <n v="5.27"/>
    <n v="4.6310000000000002"/>
    <n v="4.5439999999999996"/>
    <n v="3.59"/>
    <n v="2.7650000000000001"/>
    <n v="4"/>
    <n v="5.2560000000000002"/>
    <n v="6.82"/>
    <n v="7.7880000000000003"/>
    <n v="6.3159999999999998"/>
    <n v="0.94"/>
  </r>
  <r>
    <x v="1"/>
    <s v="PEST CONTROL"/>
    <s v="SC JOHNSON"/>
    <x v="1"/>
    <x v="4"/>
    <x v="3"/>
    <x v="0"/>
    <x v="3"/>
    <n v="9.84"/>
    <n v="5.3230000000000004"/>
    <n v="2.9249999999999998"/>
    <n v="2.9870000000000001"/>
    <n v="2.319"/>
    <n v="2.97"/>
    <n v="41.430999999999997"/>
    <n v="52.665999999999997"/>
    <n v="61.564"/>
    <n v="60.395000000000003"/>
    <n v="59.917000000000002"/>
    <n v="65.072999999999993"/>
    <n v="70.474000000000004"/>
    <n v="80.043000000000006"/>
    <n v="84.513000000000005"/>
    <n v="87.341999999999999"/>
    <n v="89.498999999999995"/>
    <n v="87.62"/>
    <n v="87.366"/>
    <n v="91.875"/>
    <n v="89.908000000000001"/>
    <n v="76.341999999999999"/>
    <n v="70.980999999999995"/>
    <n v="68.552999999999997"/>
    <n v="68.668000000000006"/>
    <n v="93.475999999999999"/>
    <n v="95.92"/>
    <n v="97.491"/>
    <n v="98.474999999999994"/>
    <n v="97.509"/>
    <n v="97.662000000000006"/>
    <n v="98.578999999999994"/>
    <n v="96.102000000000004"/>
    <n v="92.909000000000006"/>
    <n v="90.936999999999998"/>
    <n v="92.611000000000004"/>
    <n v="96.171000000000006"/>
    <n v="0"/>
  </r>
  <r>
    <x v="1"/>
    <s v="PEST CONTROL"/>
    <s v="SC JOHNSON"/>
    <x v="1"/>
    <x v="4"/>
    <x v="3"/>
    <x v="0"/>
    <x v="4"/>
    <n v="4.5172464999999997"/>
    <n v="4.5050223000000003"/>
    <n v="4.5027559999999998"/>
    <n v="4.1258530999999996"/>
    <n v="3.7532892000000002"/>
    <n v="3.7436001999999999"/>
    <n v="25.0153012"/>
    <n v="35.065183599999997"/>
    <n v="43.788167399999999"/>
    <n v="43.623960799999999"/>
    <n v="43.008572399999998"/>
    <n v="44.200546799999998"/>
    <n v="51.316315799999998"/>
    <n v="62.629448799999999"/>
    <n v="68.0304134"/>
    <n v="70.996154000000004"/>
    <n v="75.457120900000007"/>
    <n v="74.036227299999993"/>
    <n v="73.757248700000005"/>
    <n v="78.849831300000005"/>
    <n v="78.217781200000005"/>
    <n v="67.100833699999995"/>
    <n v="61.3467676"/>
    <n v="54.6952073"/>
    <n v="56.576537600000002"/>
    <n v="85.072218800000002"/>
    <n v="87.616475899999998"/>
    <n v="87.865778899999995"/>
    <n v="88.882482499999995"/>
    <n v="87.791261500000005"/>
    <n v="89.133187500000005"/>
    <n v="92.338952599999999"/>
    <n v="90.672545499999998"/>
    <n v="87.5764286"/>
    <n v="85.9664267"/>
    <n v="81.572140300000001"/>
    <n v="85.940111700000003"/>
    <n v="96.171000000000006"/>
  </r>
  <r>
    <x v="1"/>
    <s v="PEST CONTROL"/>
    <s v="SC JOHNSON"/>
    <x v="1"/>
    <x v="4"/>
    <x v="3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940111700000003"/>
  </r>
  <r>
    <x v="1"/>
    <s v="PEST CONTROL"/>
    <s v="SC JOHNSON"/>
    <x v="2"/>
    <x v="0"/>
    <x v="2"/>
    <x v="0"/>
    <x v="0"/>
    <n v="2364.9789999999998"/>
    <n v="5732.1760000000004"/>
    <n v="9383.9519999999993"/>
    <n v="12377.828"/>
    <n v="22286.084999999999"/>
    <n v="24561.606"/>
    <n v="18732.598000000002"/>
    <n v="14018.85"/>
    <n v="6270.3149999999996"/>
    <n v="1825.47"/>
    <n v="1299.346"/>
    <n v="1397.883"/>
    <n v="2693.1120000000001"/>
    <n v="12075.460999999999"/>
    <n v="15793.223"/>
    <n v="16834.647000000001"/>
    <n v="23099.035"/>
    <n v="18046.923999999999"/>
    <n v="14286.555"/>
    <n v="9127.1020000000008"/>
    <n v="5163.2089999999998"/>
    <n v="2664.0610000000001"/>
    <n v="1423.2729999999999"/>
    <n v="1473.09"/>
    <n v="1521.914"/>
    <n v="3630.2779999999998"/>
    <n v="7645.0110000000004"/>
    <n v="11686.252"/>
    <n v="21366.263999999999"/>
    <n v="20717.134999999998"/>
    <n v="19037.218000000001"/>
    <n v="20608.050999999999"/>
    <n v="7293.942"/>
    <n v="3047.2130000000002"/>
    <n v="1332.694"/>
    <n v="1240.001"/>
    <n v="2222.6610000000001"/>
    <n v="2222.6610000000001"/>
  </r>
  <r>
    <x v="1"/>
    <s v="PEST CONTROL"/>
    <s v="SC JOHNSON"/>
    <x v="2"/>
    <x v="0"/>
    <x v="2"/>
    <x v="0"/>
    <x v="1"/>
    <n v="188793.24299999999"/>
    <n v="465700.70400000003"/>
    <n v="825804.44499999995"/>
    <n v="1099474.595"/>
    <n v="1923115.321"/>
    <n v="1986261.8130000001"/>
    <n v="1620428.389"/>
    <n v="1164952.1529999999"/>
    <n v="532605.87600000005"/>
    <n v="156155.45000000001"/>
    <n v="110390.705"/>
    <n v="120193.06"/>
    <n v="245781.734"/>
    <n v="1040738.209"/>
    <n v="1413813.7849999999"/>
    <n v="1516547.5930000001"/>
    <n v="2114302.4410000001"/>
    <n v="1709854.7150000001"/>
    <n v="1415312.4669999999"/>
    <n v="979704.87899999996"/>
    <n v="506184.21500000003"/>
    <n v="263499.79300000001"/>
    <n v="142686.443"/>
    <n v="151835.16200000001"/>
    <n v="159169.56299999999"/>
    <n v="370142.01500000001"/>
    <n v="769016.68799999997"/>
    <n v="1209264.595"/>
    <n v="2158134.7719999999"/>
    <n v="2090462.7180000001"/>
    <n v="1959326.746"/>
    <n v="2073067.284"/>
    <n v="734118.33400000003"/>
    <n v="315736.29100000003"/>
    <n v="136895.34099999999"/>
    <n v="129668.53599999999"/>
    <n v="230687.18799999999"/>
    <n v="230687.18799999999"/>
  </r>
  <r>
    <x v="1"/>
    <s v="PEST CONTROL"/>
    <s v="SC JOHNSON"/>
    <x v="2"/>
    <x v="0"/>
    <x v="2"/>
    <x v="0"/>
    <x v="2"/>
    <n v="4.3680000000000003"/>
    <n v="5.4109999999999996"/>
    <n v="5.3070000000000004"/>
    <n v="5.4560000000000004"/>
    <n v="6.2960000000000003"/>
    <n v="7.75"/>
    <n v="7.077"/>
    <n v="8.4860000000000007"/>
    <n v="7.32"/>
    <n v="5.0670000000000002"/>
    <n v="4.6260000000000003"/>
    <n v="4.5339999999999998"/>
    <n v="5.59"/>
    <n v="13.946"/>
    <n v="10.045999999999999"/>
    <n v="6.8449999999999998"/>
    <n v="8.3659999999999997"/>
    <n v="6.9340000000000002"/>
    <n v="5.3769999999999998"/>
    <n v="4.9560000000000004"/>
    <n v="4.5549999999999997"/>
    <n v="4.1920000000000002"/>
    <n v="3.7"/>
    <n v="4.1210000000000004"/>
    <n v="3.9340000000000002"/>
    <n v="4.6500000000000004"/>
    <n v="6.24"/>
    <n v="5.4039999999999999"/>
    <n v="7.0090000000000003"/>
    <n v="7.7850000000000001"/>
    <n v="6.4269999999999996"/>
    <n v="6.8760000000000003"/>
    <n v="5.8419999999999996"/>
    <n v="5.0449999999999999"/>
    <n v="3.863"/>
    <n v="4.66"/>
    <n v="6.2060000000000004"/>
    <n v="1.141"/>
  </r>
  <r>
    <x v="1"/>
    <s v="PEST CONTROL"/>
    <s v="SC JOHNSON"/>
    <x v="2"/>
    <x v="0"/>
    <x v="2"/>
    <x v="0"/>
    <x v="3"/>
    <n v="71.731999999999999"/>
    <n v="92.754000000000005"/>
    <n v="96.111000000000004"/>
    <n v="96.471000000000004"/>
    <n v="96.644000000000005"/>
    <n v="96.674999999999997"/>
    <n v="97.406999999999996"/>
    <n v="97.332999999999998"/>
    <n v="94.033000000000001"/>
    <n v="87.844999999999999"/>
    <n v="84.6"/>
    <n v="82.234999999999999"/>
    <n v="93.537999999999997"/>
    <n v="96.546000000000006"/>
    <n v="97.759"/>
    <n v="98.885000000000005"/>
    <n v="98.51"/>
    <n v="98.6"/>
    <n v="93.349000000000004"/>
    <n v="80.397999999999996"/>
    <n v="77.403000000000006"/>
    <n v="71.619"/>
    <n v="70.326999999999998"/>
    <n v="74.721000000000004"/>
    <n v="70.459000000000003"/>
    <n v="75.600999999999999"/>
    <n v="74.165000000000006"/>
    <n v="77.891999999999996"/>
    <n v="78.14"/>
    <n v="74.287000000000006"/>
    <n v="75.564999999999998"/>
    <n v="76.686000000000007"/>
    <n v="74.986000000000004"/>
    <n v="75.36"/>
    <n v="73.819000000000003"/>
    <n v="72.843000000000004"/>
    <n v="73.138999999999996"/>
    <n v="0"/>
  </r>
  <r>
    <x v="1"/>
    <s v="PEST CONTROL"/>
    <s v="SC JOHNSON"/>
    <x v="2"/>
    <x v="0"/>
    <x v="2"/>
    <x v="0"/>
    <x v="4"/>
    <n v="58.283072500000003"/>
    <n v="83.177936000000003"/>
    <n v="85.680925400000007"/>
    <n v="87.169966200000005"/>
    <n v="86.752280400000004"/>
    <n v="85.4018978"/>
    <n v="88.637097600000004"/>
    <n v="88.288869399999996"/>
    <n v="82.993948399999994"/>
    <n v="73.606606799999994"/>
    <n v="69.606582200000005"/>
    <n v="67.327540600000006"/>
    <n v="81.982658400000005"/>
    <n v="87.995740999999995"/>
    <n v="88.596195899999998"/>
    <n v="89.626190399999999"/>
    <n v="89.351204800000005"/>
    <n v="90.638219699999993"/>
    <n v="84.7916369"/>
    <n v="70.370348699999994"/>
    <n v="65.975502500000005"/>
    <n v="59.3543795"/>
    <n v="54.225468300000003"/>
    <n v="59.506045899999997"/>
    <n v="58.5737977"/>
    <n v="60.994157399999999"/>
    <n v="60.982416800000003"/>
    <n v="63.171941199999999"/>
    <n v="63.898544299999998"/>
    <n v="61.5172138"/>
    <n v="61.174762000000001"/>
    <n v="61.026753800000002"/>
    <n v="59.179600899999997"/>
    <n v="58.551790400000002"/>
    <n v="55.703522399999997"/>
    <n v="53.204694199999999"/>
    <n v="55.900897399999998"/>
    <n v="73.138999999999996"/>
  </r>
  <r>
    <x v="1"/>
    <s v="PEST CONTROL"/>
    <s v="SC JOHNSON"/>
    <x v="2"/>
    <x v="0"/>
    <x v="2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00897399999998"/>
  </r>
  <r>
    <x v="1"/>
    <s v="PEST CONTROL"/>
    <s v="SC JOHNSON"/>
    <x v="2"/>
    <x v="0"/>
    <x v="0"/>
    <x v="0"/>
    <x v="0"/>
    <n v="3747.7469999999998"/>
    <n v="8174.9030000000002"/>
    <n v="19478.319"/>
    <n v="17848.936000000002"/>
    <n v="32918.798999999999"/>
    <n v="24653.081999999999"/>
    <n v="22452.505000000001"/>
    <n v="14343.555"/>
    <n v="7061.5029999999997"/>
    <n v="2327.777"/>
    <n v="1747.961"/>
    <n v="1873.1020000000001"/>
    <n v="3190.2939999999999"/>
    <n v="6569.1390000000001"/>
    <n v="12528.732"/>
    <n v="16931.306"/>
    <n v="18941.004000000001"/>
    <n v="16963.108"/>
    <n v="17018.678"/>
    <n v="13263.371999999999"/>
    <n v="8938.7620000000006"/>
    <n v="4446.9780000000001"/>
    <n v="2362.145"/>
    <n v="2359.558"/>
    <n v="2580.0520000000001"/>
    <n v="7536.39"/>
    <n v="10518.385"/>
    <n v="16698.056"/>
    <n v="23362.850999999999"/>
    <n v="20213.208999999999"/>
    <n v="22292.280999999999"/>
    <n v="23287.146000000001"/>
    <n v="11085.704"/>
    <n v="5164.1499999999996"/>
    <n v="2235.739"/>
    <n v="1819.7560000000001"/>
    <n v="2644.6419999999998"/>
    <n v="3310.03"/>
  </r>
  <r>
    <x v="1"/>
    <s v="PEST CONTROL"/>
    <s v="SC JOHNSON"/>
    <x v="2"/>
    <x v="0"/>
    <x v="0"/>
    <x v="0"/>
    <x v="1"/>
    <n v="434629.99800000002"/>
    <n v="973626.71200000006"/>
    <n v="2189236.6910000001"/>
    <n v="2135614.5350000001"/>
    <n v="3791395.216"/>
    <n v="2904370.5010000002"/>
    <n v="2800306.622"/>
    <n v="1754904.416"/>
    <n v="868450.03200000001"/>
    <n v="297380.62199999997"/>
    <n v="221692.72099999999"/>
    <n v="246403.80300000001"/>
    <n v="431155.11"/>
    <n v="968330.245"/>
    <n v="2015842.2890000001"/>
    <n v="2869459.2239999999"/>
    <n v="3373113.4160000002"/>
    <n v="2981089.1910000001"/>
    <n v="3002762.8309999998"/>
    <n v="2248578.2179999999"/>
    <n v="1459802.7209999999"/>
    <n v="747096.09499999997"/>
    <n v="394235.44"/>
    <n v="403167.76699999999"/>
    <n v="462020.75300000003"/>
    <n v="1439670.3740000001"/>
    <n v="2146140.3659999999"/>
    <n v="3414616.7859999998"/>
    <n v="4774160.9850000003"/>
    <n v="4127000.7940000002"/>
    <n v="4452338.2180000003"/>
    <n v="4633727.7560000001"/>
    <n v="2124000.7439999999"/>
    <n v="914025.42"/>
    <n v="395483.06400000001"/>
    <n v="331914.69400000002"/>
    <n v="547336.34400000004"/>
    <n v="547336.34400000004"/>
  </r>
  <r>
    <x v="1"/>
    <s v="PEST CONTROL"/>
    <s v="SC JOHNSON"/>
    <x v="2"/>
    <x v="0"/>
    <x v="0"/>
    <x v="0"/>
    <x v="2"/>
    <n v="8.2799999999999994"/>
    <n v="9.2490000000000006"/>
    <n v="13.211"/>
    <n v="9.4350000000000005"/>
    <n v="11.154999999999999"/>
    <n v="9.3350000000000009"/>
    <n v="10.173"/>
    <n v="10.42"/>
    <n v="9.8819999999999997"/>
    <n v="7.7329999999999997"/>
    <n v="7.4649999999999999"/>
    <n v="7.2889999999999997"/>
    <n v="7.9530000000000003"/>
    <n v="9.1069999999999993"/>
    <n v="9.5609999999999999"/>
    <n v="8.2569999999999997"/>
    <n v="8.23"/>
    <n v="7.8170000000000002"/>
    <n v="7.6829999999999998"/>
    <n v="8.6359999999999992"/>
    <n v="9.4380000000000006"/>
    <n v="8.3719999999999999"/>
    <n v="7.3540000000000001"/>
    <n v="7.9109999999999996"/>
    <n v="7.9989999999999997"/>
    <n v="11.582000000000001"/>
    <n v="10.298"/>
    <n v="9.2650000000000006"/>
    <n v="9.1959999999999997"/>
    <n v="9.1150000000000002"/>
    <n v="9.0310000000000006"/>
    <n v="9.3230000000000004"/>
    <n v="10.654999999999999"/>
    <n v="10.259"/>
    <n v="7.7759999999999998"/>
    <n v="8.2059999999999995"/>
    <n v="8.8610000000000007"/>
    <n v="1.6990000000000001"/>
  </r>
  <r>
    <x v="1"/>
    <s v="PEST CONTROL"/>
    <s v="SC JOHNSON"/>
    <x v="2"/>
    <x v="0"/>
    <x v="0"/>
    <x v="0"/>
    <x v="3"/>
    <n v="95.673000000000002"/>
    <n v="99.308999999999997"/>
    <n v="99.781000000000006"/>
    <n v="99.856999999999999"/>
    <n v="99.882999999999996"/>
    <n v="99.497"/>
    <n v="99.870999999999995"/>
    <n v="99.751999999999995"/>
    <n v="96.994"/>
    <n v="92.616"/>
    <n v="90.825999999999993"/>
    <n v="92.956999999999994"/>
    <n v="96.129000000000005"/>
    <n v="98.804000000000002"/>
    <n v="99.054000000000002"/>
    <n v="99.206000000000003"/>
    <n v="99.05"/>
    <n v="99.676000000000002"/>
    <n v="99.596000000000004"/>
    <n v="99.162000000000006"/>
    <n v="99.373000000000005"/>
    <n v="94.340999999999994"/>
    <n v="95.358999999999995"/>
    <n v="97.116"/>
    <n v="97.31"/>
    <n v="99.757000000000005"/>
    <n v="99.903000000000006"/>
    <n v="100"/>
    <n v="99.652000000000001"/>
    <n v="99.542000000000002"/>
    <n v="99.55"/>
    <n v="99.558999999999997"/>
    <n v="96.98"/>
    <n v="94.677000000000007"/>
    <n v="92.305000000000007"/>
    <n v="90.944000000000003"/>
    <n v="92.518000000000001"/>
    <n v="0"/>
  </r>
  <r>
    <x v="1"/>
    <s v="PEST CONTROL"/>
    <s v="SC JOHNSON"/>
    <x v="2"/>
    <x v="0"/>
    <x v="0"/>
    <x v="0"/>
    <x v="4"/>
    <n v="91.017533099999994"/>
    <n v="95.961014500000005"/>
    <n v="96.584116100000003"/>
    <n v="97.2842129"/>
    <n v="97.3263946"/>
    <n v="96.717926899999995"/>
    <n v="97.334354399999995"/>
    <n v="96.707797299999996"/>
    <n v="93.013547799999998"/>
    <n v="83.555591100000001"/>
    <n v="78.666637899999998"/>
    <n v="85.288756399999997"/>
    <n v="89.299011100000001"/>
    <n v="91.949395699999997"/>
    <n v="92.245437699999997"/>
    <n v="92.666644599999998"/>
    <n v="92.301228600000002"/>
    <n v="94.460657499999996"/>
    <n v="94.454934699999995"/>
    <n v="93.567289099999996"/>
    <n v="95.235890499999996"/>
    <n v="88.532447300000001"/>
    <n v="86.107244899999998"/>
    <n v="89.0875609"/>
    <n v="90.777417299999996"/>
    <n v="96.490150900000003"/>
    <n v="96.320324299999996"/>
    <n v="96.989358100000004"/>
    <n v="94.375895799999995"/>
    <n v="94.349422099999998"/>
    <n v="94.532716500000006"/>
    <n v="94.3284764"/>
    <n v="92.660555599999995"/>
    <n v="90.714633899999995"/>
    <n v="87.903219000000007"/>
    <n v="83.947884700000003"/>
    <n v="88.517384800000002"/>
    <n v="92.518000000000001"/>
  </r>
  <r>
    <x v="1"/>
    <s v="PEST CONTROL"/>
    <s v="SC JOHNSON"/>
    <x v="2"/>
    <x v="0"/>
    <x v="0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.517384800000002"/>
  </r>
  <r>
    <x v="1"/>
    <s v="PEST CONTROL"/>
    <s v="SC JOHNSON"/>
    <x v="2"/>
    <x v="0"/>
    <x v="3"/>
    <x v="0"/>
    <x v="0"/>
    <n v="9518.6080000000002"/>
    <n v="21157.633999999998"/>
    <n v="37035.250999999997"/>
    <n v="47224.785000000003"/>
    <n v="72986.008000000002"/>
    <n v="64635.843000000001"/>
    <n v="57287.023999999998"/>
    <n v="34620.196000000004"/>
    <n v="17380.132000000001"/>
    <n v="6508.5709999999999"/>
    <n v="4573.3469999999998"/>
    <n v="5014.2129999999997"/>
    <n v="8409.83"/>
    <n v="15803.986000000001"/>
    <n v="32612.654999999999"/>
    <n v="50136.802000000003"/>
    <n v="57560.394"/>
    <n v="51015.775999999998"/>
    <n v="54160.275999999998"/>
    <n v="38644.137000000002"/>
    <n v="26061.413"/>
    <n v="13280.328"/>
    <n v="6691.51"/>
    <n v="6594.5410000000002"/>
    <n v="7037.1319999999996"/>
    <n v="16328.504000000001"/>
    <n v="27224.414000000001"/>
    <n v="49840.728999999999"/>
    <n v="62114.957999999999"/>
    <n v="52488.828000000001"/>
    <n v="57107.029000000002"/>
    <n v="56399.858"/>
    <n v="26962.832999999999"/>
    <n v="10732.714"/>
    <n v="5852.56"/>
    <n v="4529.6899999999996"/>
    <n v="6156.2489999999998"/>
    <n v="6932.97"/>
  </r>
  <r>
    <x v="1"/>
    <s v="PEST CONTROL"/>
    <s v="SC JOHNSON"/>
    <x v="2"/>
    <x v="0"/>
    <x v="3"/>
    <x v="0"/>
    <x v="1"/>
    <n v="2044997.1540000001"/>
    <n v="4724709.0460000001"/>
    <n v="8446770.6689999998"/>
    <n v="10651909.791999999"/>
    <n v="16373041.234999999"/>
    <n v="14190550.817"/>
    <n v="12724196.204"/>
    <n v="7681898.5449999999"/>
    <n v="3906681.0660000001"/>
    <n v="1456349.926"/>
    <n v="1014422.92"/>
    <n v="1171384.8689999999"/>
    <n v="2004256.862"/>
    <n v="3768524.8089999999"/>
    <n v="7942689.4519999996"/>
    <n v="12051633.25"/>
    <n v="14300943.244000001"/>
    <n v="12649481.437999999"/>
    <n v="13339095.342"/>
    <n v="9784107.1659999993"/>
    <n v="6530428.682"/>
    <n v="3397547.1310000001"/>
    <n v="1674089.6740000001"/>
    <n v="1690933.8259999999"/>
    <n v="1900476.882"/>
    <n v="4435453.9649999999"/>
    <n v="7469028.9979999997"/>
    <n v="14073244.937999999"/>
    <n v="17993563.688000001"/>
    <n v="15231653.908"/>
    <n v="16077604.970000001"/>
    <n v="16162129.608999999"/>
    <n v="7828409.3660000004"/>
    <n v="2924622.2949999999"/>
    <n v="1562027.361"/>
    <n v="1230001.912"/>
    <n v="1853740.787"/>
    <n v="1853740.787"/>
  </r>
  <r>
    <x v="1"/>
    <s v="PEST CONTROL"/>
    <s v="SC JOHNSON"/>
    <x v="2"/>
    <x v="0"/>
    <x v="3"/>
    <x v="0"/>
    <x v="2"/>
    <n v="22.875"/>
    <n v="26.17"/>
    <n v="27.263999999999999"/>
    <n v="27.282"/>
    <n v="27.042000000000002"/>
    <n v="26.812000000000001"/>
    <n v="28.324000000000002"/>
    <n v="27.456"/>
    <n v="26.268999999999998"/>
    <n v="23.082000000000001"/>
    <n v="20.689"/>
    <n v="20.803999999999998"/>
    <n v="22.678000000000001"/>
    <n v="23.734000000000002"/>
    <n v="26.991"/>
    <n v="26.652999999999999"/>
    <n v="27.306000000000001"/>
    <n v="25.582000000000001"/>
    <n v="26.454999999999998"/>
    <n v="27.298999999999999"/>
    <n v="29.600999999999999"/>
    <n v="26.867999999999999"/>
    <n v="22.152000000000001"/>
    <n v="23.780999999999999"/>
    <n v="23.486999999999998"/>
    <n v="27.140999999999998"/>
    <n v="28.919"/>
    <n v="30.125"/>
    <n v="26.690999999999999"/>
    <n v="25.623000000000001"/>
    <n v="25.152000000000001"/>
    <n v="24.600999999999999"/>
    <n v="28.143000000000001"/>
    <n v="22.866"/>
    <n v="21.751999999999999"/>
    <n v="21.960999999999999"/>
    <n v="22.372"/>
    <n v="3.5590000000000002"/>
  </r>
  <r>
    <x v="1"/>
    <s v="PEST CONTROL"/>
    <s v="SC JOHNSON"/>
    <x v="2"/>
    <x v="0"/>
    <x v="3"/>
    <x v="0"/>
    <x v="3"/>
    <n v="99.468999999999994"/>
    <n v="99.731999999999999"/>
    <n v="99.85"/>
    <n v="99.897000000000006"/>
    <n v="99.915999999999997"/>
    <n v="99.840999999999994"/>
    <n v="99.801000000000002"/>
    <n v="99.725999999999999"/>
    <n v="99.429000000000002"/>
    <n v="98.885000000000005"/>
    <n v="98.013999999999996"/>
    <n v="99.86"/>
    <n v="97.816000000000003"/>
    <n v="98.712999999999994"/>
    <n v="99.260999999999996"/>
    <n v="99.998000000000005"/>
    <n v="100"/>
    <n v="99.924999999999997"/>
    <n v="99.923000000000002"/>
    <n v="99.838999999999999"/>
    <n v="99.861999999999995"/>
    <n v="99.599000000000004"/>
    <n v="99.34"/>
    <n v="99.769000000000005"/>
    <n v="99.787000000000006"/>
    <n v="100"/>
    <n v="100"/>
    <n v="99.988"/>
    <n v="100"/>
    <n v="100"/>
    <n v="100"/>
    <n v="99.998000000000005"/>
    <n v="99.602000000000004"/>
    <n v="99.888999999999996"/>
    <n v="99.667000000000002"/>
    <n v="97.856999999999999"/>
    <n v="99.430999999999997"/>
    <n v="0"/>
  </r>
  <r>
    <x v="1"/>
    <s v="PEST CONTROL"/>
    <s v="SC JOHNSON"/>
    <x v="2"/>
    <x v="0"/>
    <x v="3"/>
    <x v="0"/>
    <x v="4"/>
    <n v="96.884657599999997"/>
    <n v="97.2037792"/>
    <n v="97.205185900000004"/>
    <n v="97.597560900000005"/>
    <n v="95.886713400000005"/>
    <n v="95.897331800000003"/>
    <n v="95.898959500000004"/>
    <n v="95.884669500000001"/>
    <n v="95.296766300000002"/>
    <n v="97.333214400000003"/>
    <n v="95.794743400000002"/>
    <n v="98.460458399999993"/>
    <n v="96.307669599999997"/>
    <n v="96.110168400000006"/>
    <n v="95.714696799999999"/>
    <n v="98.680795900000007"/>
    <n v="98.832944800000007"/>
    <n v="96.501467899999994"/>
    <n v="96.789698999999999"/>
    <n v="96.491248600000006"/>
    <n v="97.069682900000004"/>
    <n v="96.207723400000006"/>
    <n v="95.883478100000005"/>
    <n v="96.265322900000001"/>
    <n v="98.115797799999996"/>
    <n v="99.345776200000003"/>
    <n v="98.867792100000003"/>
    <n v="98.759750400000001"/>
    <n v="98.9725933"/>
    <n v="97.035767000000007"/>
    <n v="97.037964700000003"/>
    <n v="97.024779100000003"/>
    <n v="96.190924800000005"/>
    <n v="96.471538600000002"/>
    <n v="95.632230100000001"/>
    <n v="93.475166200000004"/>
    <n v="95.620147299999999"/>
    <n v="99.430999999999997"/>
  </r>
  <r>
    <x v="1"/>
    <s v="PEST CONTROL"/>
    <s v="SC JOHNSON"/>
    <x v="2"/>
    <x v="0"/>
    <x v="3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620147299999999"/>
  </r>
  <r>
    <x v="1"/>
    <s v="PEST CONTROL"/>
    <s v="SC JOHNSON"/>
    <x v="2"/>
    <x v="0"/>
    <x v="3"/>
    <x v="6"/>
    <x v="0"/>
    <n v="12"/>
    <n v="15.372"/>
    <n v="37.573"/>
    <n v="89.57"/>
    <n v="56.515000000000001"/>
    <n v="28"/>
    <n v="289.86799999999999"/>
    <n v="220.24299999999999"/>
    <n v="126.96899999999999"/>
    <n v="110.41500000000001"/>
    <n v="99.373000000000005"/>
    <n v="89.436000000000007"/>
    <n v="0"/>
    <n v="1"/>
    <n v="5"/>
    <n v="3"/>
    <n v="11.143000000000001"/>
    <n v="4.1429999999999998"/>
    <n v="5.2859999999999996"/>
    <n v="0.42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EST CONTROL"/>
    <s v="SC JOHNSON"/>
    <x v="2"/>
    <x v="0"/>
    <x v="3"/>
    <x v="6"/>
    <x v="1"/>
    <n v="634.14700000000005"/>
    <n v="1091.078"/>
    <n v="2546.8020000000001"/>
    <n v="4897.451"/>
    <n v="3666.442"/>
    <n v="1996"/>
    <n v="33368.694000000003"/>
    <n v="25471.203000000001"/>
    <n v="14537.981"/>
    <n v="12808.105"/>
    <n v="11527.295"/>
    <n v="10374.565000000001"/>
    <n v="0"/>
    <n v="74"/>
    <n v="360.8"/>
    <n v="201.6"/>
    <n v="824.57500000000005"/>
    <n v="304.57499999999999"/>
    <n v="349.37200000000001"/>
    <n v="30.16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EST CONTROL"/>
    <s v="SC JOHNSON"/>
    <x v="2"/>
    <x v="0"/>
    <x v="3"/>
    <x v="6"/>
    <x v="2"/>
    <n v="1E-3"/>
    <n v="1E-3"/>
    <n v="1E-3"/>
    <n v="2E-3"/>
    <n v="1E-3"/>
    <n v="0"/>
    <n v="4.0000000000000001E-3"/>
    <n v="5.0000000000000001E-3"/>
    <n v="6.0000000000000001E-3"/>
    <n v="1.2E-2"/>
    <n v="1.4E-2"/>
    <n v="1.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EST CONTROL"/>
    <s v="SC JOHNSON"/>
    <x v="2"/>
    <x v="0"/>
    <x v="3"/>
    <x v="6"/>
    <x v="3"/>
    <n v="5.375"/>
    <n v="6.6710000000000003"/>
    <n v="6.03"/>
    <n v="4.6769999999999996"/>
    <n v="5.835"/>
    <n v="3.1179999999999999"/>
    <n v="2.97"/>
    <n v="2.1040000000000001"/>
    <n v="4.45"/>
    <n v="4.5229999999999997"/>
    <n v="5.1630000000000003"/>
    <n v="3.8530000000000002"/>
    <n v="0"/>
    <n v="1.4350000000000001"/>
    <n v="2.19"/>
    <n v="0.61599999999999999"/>
    <n v="1.6160000000000001"/>
    <n v="1.4970000000000001"/>
    <n v="1.266"/>
    <n v="1.25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EST CONTROL"/>
    <s v="SC JOHNSON"/>
    <x v="2"/>
    <x v="0"/>
    <x v="3"/>
    <x v="6"/>
    <x v="4"/>
    <n v="2.1807397000000002"/>
    <n v="3.4520898999999998"/>
    <n v="2.8050617"/>
    <n v="2.5067840000000001"/>
    <n v="3.1190521000000002"/>
    <n v="1.2307389"/>
    <n v="3.8445331999999999"/>
    <n v="3.2406606999999998"/>
    <n v="3.6806315999999999"/>
    <n v="3.0769419999999998"/>
    <n v="3.0769419999999998"/>
    <n v="3.0790831999999999"/>
    <n v="0"/>
    <n v="0.30684159999999999"/>
    <n v="0.61218620000000001"/>
    <n v="0.60141509999999998"/>
    <n v="0.29176380000000002"/>
    <n v="0.58308870000000002"/>
    <n v="0.29184549999999998"/>
    <n v="0.292395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EST CONTROL"/>
    <s v="SC JOHNSON"/>
    <x v="2"/>
    <x v="0"/>
    <x v="3"/>
    <x v="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EST CONTROL"/>
    <s v="SC JOHNSON"/>
    <x v="2"/>
    <x v="5"/>
    <x v="3"/>
    <x v="0"/>
    <x v="0"/>
    <n v="2302.8110000000001"/>
    <n v="4067.3150000000001"/>
    <n v="5222.692"/>
    <n v="3856.799"/>
    <n v="3201.5360000000001"/>
    <n v="3158.4279999999999"/>
    <n v="3669.056"/>
    <n v="2560.6750000000002"/>
    <n v="1707.1790000000001"/>
    <n v="1175.9190000000001"/>
    <n v="1077.6400000000001"/>
    <n v="1045.452"/>
    <n v="1505.0050000000001"/>
    <n v="2248.12"/>
    <n v="3791.09"/>
    <n v="3526.5639999999999"/>
    <n v="2601.1799999999998"/>
    <n v="2650.694"/>
    <n v="2962.2640000000001"/>
    <n v="2647.4740000000002"/>
    <n v="1757.9559999999999"/>
    <n v="1173.471"/>
    <n v="1195.903"/>
    <n v="1019.582"/>
    <n v="1220.742"/>
    <n v="1886.829"/>
    <n v="2972.7"/>
    <n v="3360.7150000000001"/>
    <n v="2678.328"/>
    <n v="2682.6170000000002"/>
    <n v="3216.9090000000001"/>
    <n v="2547.3580000000002"/>
    <n v="1635.3789999999999"/>
    <n v="1224.2280000000001"/>
    <n v="1086.373"/>
    <n v="787.17399999999998"/>
    <n v="1070.789"/>
    <n v="1070.789"/>
  </r>
  <r>
    <x v="1"/>
    <s v="PEST CONTROL"/>
    <s v="SC JOHNSON"/>
    <x v="2"/>
    <x v="5"/>
    <x v="3"/>
    <x v="0"/>
    <x v="1"/>
    <n v="535543.77899999998"/>
    <n v="951138.19900000002"/>
    <n v="1311047.4450000001"/>
    <n v="960662.03099999996"/>
    <n v="794883.94"/>
    <n v="777210.93200000003"/>
    <n v="882795.34499999997"/>
    <n v="620068.74699999997"/>
    <n v="404431.33100000001"/>
    <n v="270364.44900000002"/>
    <n v="242143.71799999999"/>
    <n v="242748.86300000001"/>
    <n v="387229.022"/>
    <n v="595012.53099999996"/>
    <n v="1035458.247"/>
    <n v="956253.47600000002"/>
    <n v="731594.76800000004"/>
    <n v="777087.04399999999"/>
    <n v="879190.70400000003"/>
    <n v="786706.86499999999"/>
    <n v="520932.2"/>
    <n v="342701.44699999999"/>
    <n v="343120.05800000002"/>
    <n v="303559.81099999999"/>
    <n v="377698.12099999998"/>
    <n v="600531.34100000001"/>
    <n v="960721.58100000001"/>
    <n v="1088221.4410000001"/>
    <n v="841064.11800000002"/>
    <n v="864588.90300000005"/>
    <n v="1031806.94"/>
    <n v="821738.53099999996"/>
    <n v="514975.17499999999"/>
    <n v="381708.03600000002"/>
    <n v="335293.30800000002"/>
    <n v="250537.99"/>
    <n v="355217.47899999999"/>
    <n v="355217.47899999999"/>
  </r>
  <r>
    <x v="1"/>
    <s v="PEST CONTROL"/>
    <s v="SC JOHNSON"/>
    <x v="2"/>
    <x v="5"/>
    <x v="3"/>
    <x v="0"/>
    <x v="2"/>
    <n v="5.4720000000000004"/>
    <n v="4.9610000000000003"/>
    <n v="3.823"/>
    <n v="2.1989999999999998"/>
    <n v="1.1679999999999999"/>
    <n v="1.288"/>
    <n v="1.792"/>
    <n v="1.9990000000000001"/>
    <n v="2.556"/>
    <n v="4.165"/>
    <n v="4.9000000000000004"/>
    <n v="4.3099999999999996"/>
    <n v="3.8450000000000002"/>
    <n v="3.1760000000000002"/>
    <n v="2.927"/>
    <n v="1.736"/>
    <n v="1.139"/>
    <n v="1.228"/>
    <n v="1.341"/>
    <n v="1.7270000000000001"/>
    <n v="1.8620000000000001"/>
    <n v="2.2160000000000002"/>
    <n v="3.74"/>
    <n v="3.4249999999999998"/>
    <n v="3.8050000000000002"/>
    <n v="2.9140000000000001"/>
    <n v="2.9249999999999998"/>
    <n v="1.8759999999999999"/>
    <n v="1.0609999999999999"/>
    <n v="1.2110000000000001"/>
    <n v="1.3069999999999999"/>
    <n v="1.022"/>
    <n v="1.575"/>
    <n v="2.4319999999999999"/>
    <n v="3.778"/>
    <n v="3.5550000000000002"/>
    <n v="3.5910000000000002"/>
    <n v="0.55000000000000004"/>
  </r>
  <r>
    <x v="1"/>
    <s v="PEST CONTROL"/>
    <s v="SC JOHNSON"/>
    <x v="2"/>
    <x v="5"/>
    <x v="3"/>
    <x v="0"/>
    <x v="3"/>
    <n v="94.959000000000003"/>
    <n v="96.581999999999994"/>
    <n v="98.947000000000003"/>
    <n v="98.593999999999994"/>
    <n v="96.837000000000003"/>
    <n v="97.003"/>
    <n v="97.578000000000003"/>
    <n v="93.456999999999994"/>
    <n v="86.914000000000001"/>
    <n v="80.847999999999999"/>
    <n v="82.945999999999998"/>
    <n v="83.091999999999999"/>
    <n v="89.337000000000003"/>
    <n v="87.492000000000004"/>
    <n v="93.724999999999994"/>
    <n v="95.013000000000005"/>
    <n v="97.064999999999998"/>
    <n v="96.052999999999997"/>
    <n v="95.927999999999997"/>
    <n v="95.725999999999999"/>
    <n v="92.213999999999999"/>
    <n v="82.831999999999994"/>
    <n v="82.436000000000007"/>
    <n v="81.228999999999999"/>
    <n v="84.650999999999996"/>
    <n v="90.552000000000007"/>
    <n v="95.459000000000003"/>
    <n v="95.292000000000002"/>
    <n v="95.661000000000001"/>
    <n v="95.009"/>
    <n v="95.447999999999993"/>
    <n v="96.105000000000004"/>
    <n v="86.453999999999994"/>
    <n v="84.524000000000001"/>
    <n v="85.921999999999997"/>
    <n v="80.349000000000004"/>
    <n v="84.87"/>
    <n v="0"/>
  </r>
  <r>
    <x v="1"/>
    <s v="PEST CONTROL"/>
    <s v="SC JOHNSON"/>
    <x v="2"/>
    <x v="5"/>
    <x v="3"/>
    <x v="0"/>
    <x v="4"/>
    <n v="83.938852100000005"/>
    <n v="88.090274399999998"/>
    <n v="94.375902499999995"/>
    <n v="93.266778200000005"/>
    <n v="90.471328200000002"/>
    <n v="90.803611000000004"/>
    <n v="92.891919400000006"/>
    <n v="84.791116299999999"/>
    <n v="77.987982700000003"/>
    <n v="69.470273700000007"/>
    <n v="70.461664400000004"/>
    <n v="69.004101300000002"/>
    <n v="76.8887809"/>
    <n v="75.209649600000006"/>
    <n v="81.4642269"/>
    <n v="80.908678100000003"/>
    <n v="84.7147863"/>
    <n v="83.560106200000007"/>
    <n v="84.798933000000005"/>
    <n v="85.477570299999996"/>
    <n v="80.274863699999997"/>
    <n v="69.668205"/>
    <n v="70.781548900000004"/>
    <n v="64.804690800000003"/>
    <n v="69.917658099999997"/>
    <n v="78.929768800000005"/>
    <n v="84.660280999999998"/>
    <n v="84.945119199999993"/>
    <n v="87.113212399999995"/>
    <n v="85.151324000000002"/>
    <n v="86.557963400000006"/>
    <n v="86.565344999999994"/>
    <n v="74.236415199999996"/>
    <n v="68.904023699999996"/>
    <n v="68.590608500000002"/>
    <n v="62.132469999999998"/>
    <n v="68.808483499999994"/>
    <n v="84.87"/>
  </r>
  <r>
    <x v="1"/>
    <s v="PEST CONTROL"/>
    <s v="SC JOHNSON"/>
    <x v="2"/>
    <x v="5"/>
    <x v="3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808483499999994"/>
  </r>
  <r>
    <x v="1"/>
    <s v="PEST CONTROL"/>
    <s v="SC JOHNSON"/>
    <x v="2"/>
    <x v="5"/>
    <x v="3"/>
    <x v="7"/>
    <x v="0"/>
    <n v="799.12400000000002"/>
    <n v="1313.9010000000001"/>
    <n v="1898.8869999999999"/>
    <n v="1359.7449999999999"/>
    <n v="1128.8820000000001"/>
    <n v="937.70100000000002"/>
    <n v="1104.595"/>
    <n v="924.41200000000003"/>
    <n v="634.21100000000001"/>
    <n v="511.52800000000002"/>
    <n v="345.27499999999998"/>
    <n v="394.11"/>
    <n v="457.17500000000001"/>
    <n v="939.23699999999997"/>
    <n v="1371.598"/>
    <n v="1337.4480000000001"/>
    <n v="786.04499999999996"/>
    <n v="752.851"/>
    <n v="875.07600000000002"/>
    <n v="805.35799999999995"/>
    <n v="652.274"/>
    <n v="530.08000000000004"/>
    <n v="430.78300000000002"/>
    <n v="433.38900000000001"/>
    <n v="409.221"/>
    <n v="604.86"/>
    <n v="753.86099999999999"/>
    <n v="482.072"/>
    <n v="190.02799999999999"/>
    <n v="100.26"/>
    <n v="78.972999999999999"/>
    <n v="80.694000000000003"/>
    <n v="47.17"/>
    <n v="27.811"/>
    <n v="14.414999999999999"/>
    <n v="8.1430000000000007"/>
    <n v="6.5709999999999997"/>
    <n v="13.143000000000001"/>
  </r>
  <r>
    <x v="1"/>
    <s v="PEST CONTROL"/>
    <s v="SC JOHNSON"/>
    <x v="2"/>
    <x v="5"/>
    <x v="3"/>
    <x v="7"/>
    <x v="1"/>
    <n v="153085.06200000001"/>
    <n v="243069.87"/>
    <n v="377940.23700000002"/>
    <n v="264068.54800000001"/>
    <n v="227898.359"/>
    <n v="189348.80799999999"/>
    <n v="229458.516"/>
    <n v="194239.43299999999"/>
    <n v="131800.26199999999"/>
    <n v="107737.07"/>
    <n v="71861.183000000005"/>
    <n v="89234.337"/>
    <n v="106785.749"/>
    <n v="213010.49400000001"/>
    <n v="310956.43300000002"/>
    <n v="310725.09700000001"/>
    <n v="189417.80900000001"/>
    <n v="190498.856"/>
    <n v="224049.83199999999"/>
    <n v="202287.57"/>
    <n v="163274.06099999999"/>
    <n v="133098.03"/>
    <n v="104970.88800000001"/>
    <n v="111841.18799999999"/>
    <n v="109748.023"/>
    <n v="162607.15"/>
    <n v="199948.77799999999"/>
    <n v="126650.838"/>
    <n v="50397.286999999997"/>
    <n v="26352.534"/>
    <n v="19052.075000000001"/>
    <n v="19056.309000000001"/>
    <n v="11391.655000000001"/>
    <n v="6713.2860000000001"/>
    <n v="3553.8519999999999"/>
    <n v="1963.5530000000001"/>
    <n v="1651.6949999999999"/>
    <n v="1651.6949999999999"/>
  </r>
  <r>
    <x v="1"/>
    <s v="PEST CONTROL"/>
    <s v="SC JOHNSON"/>
    <x v="2"/>
    <x v="5"/>
    <x v="3"/>
    <x v="7"/>
    <x v="2"/>
    <n v="0.01"/>
    <n v="8.0000000000000002E-3"/>
    <n v="7.0000000000000001E-3"/>
    <n v="4.0000000000000001E-3"/>
    <n v="2E-3"/>
    <n v="2E-3"/>
    <n v="3.0000000000000001E-3"/>
    <n v="4.0000000000000001E-3"/>
    <n v="5.0000000000000001E-3"/>
    <n v="8.9999999999999993E-3"/>
    <n v="8.0000000000000002E-3"/>
    <n v="8.9999999999999993E-3"/>
    <n v="6.0000000000000001E-3"/>
    <n v="7.0000000000000001E-3"/>
    <n v="6.0000000000000001E-3"/>
    <n v="4.0000000000000001E-3"/>
    <n v="2E-3"/>
    <n v="2E-3"/>
    <n v="2E-3"/>
    <n v="3.0000000000000001E-3"/>
    <n v="4.0000000000000001E-3"/>
    <n v="6.0000000000000001E-3"/>
    <n v="7.0000000000000001E-3"/>
    <n v="8.0000000000000002E-3"/>
    <n v="7.0000000000000001E-3"/>
    <n v="5.0000000000000001E-3"/>
    <n v="4.0000000000000001E-3"/>
    <n v="1E-3"/>
    <n v="0"/>
    <n v="0"/>
    <n v="0"/>
    <n v="0"/>
    <n v="0"/>
    <n v="0"/>
    <n v="0"/>
    <n v="0"/>
    <n v="0"/>
    <n v="7.0000000000000001E-3"/>
  </r>
  <r>
    <x v="1"/>
    <s v="PEST CONTROL"/>
    <s v="SC JOHNSON"/>
    <x v="2"/>
    <x v="5"/>
    <x v="3"/>
    <x v="7"/>
    <x v="3"/>
    <n v="38.944000000000003"/>
    <n v="47.710999999999999"/>
    <n v="48.694000000000003"/>
    <n v="43.668999999999997"/>
    <n v="48.600999999999999"/>
    <n v="44.32"/>
    <n v="43.8"/>
    <n v="43.795999999999999"/>
    <n v="41.405000000000001"/>
    <n v="32.298000000000002"/>
    <n v="30.513999999999999"/>
    <n v="34.762999999999998"/>
    <n v="36.749000000000002"/>
    <n v="42.728000000000002"/>
    <n v="47.779000000000003"/>
    <n v="46.265000000000001"/>
    <n v="44.152999999999999"/>
    <n v="40.401000000000003"/>
    <n v="41.405999999999999"/>
    <n v="40.854999999999997"/>
    <n v="40.148000000000003"/>
    <n v="34.072000000000003"/>
    <n v="32.673000000000002"/>
    <n v="32.838000000000001"/>
    <n v="34.088999999999999"/>
    <n v="39.750999999999998"/>
    <n v="36.179000000000002"/>
    <n v="31.481999999999999"/>
    <n v="25.393999999999998"/>
    <n v="16.398"/>
    <n v="9.76"/>
    <n v="12.733000000000001"/>
    <n v="5.5549999999999997"/>
    <n v="2.7959999999999998"/>
    <n v="1.758"/>
    <n v="0.79300000000000004"/>
    <n v="1.1339999999999999"/>
    <n v="0"/>
  </r>
  <r>
    <x v="1"/>
    <s v="PEST CONTROL"/>
    <s v="SC JOHNSON"/>
    <x v="2"/>
    <x v="5"/>
    <x v="3"/>
    <x v="7"/>
    <x v="4"/>
    <n v="24.454503500000001"/>
    <n v="28.2371692"/>
    <n v="27.998757900000001"/>
    <n v="25.055932599999998"/>
    <n v="26.5497318"/>
    <n v="24.1369443"/>
    <n v="25.084195300000001"/>
    <n v="25.154317200000001"/>
    <n v="23.169882600000001"/>
    <n v="21.777672500000001"/>
    <n v="20.820435799999998"/>
    <n v="20.081164600000001"/>
    <n v="19.8631992"/>
    <n v="24.785747799999999"/>
    <n v="27.208002499999999"/>
    <n v="25.639830499999999"/>
    <n v="25.6725885"/>
    <n v="21.590607599999998"/>
    <n v="22.861428799999999"/>
    <n v="22.7419723"/>
    <n v="24.745062399999998"/>
    <n v="20.646903999999999"/>
    <n v="20.5128725"/>
    <n v="18.8963167"/>
    <n v="20.252361400000002"/>
    <n v="23.764513699999998"/>
    <n v="21.0364231"/>
    <n v="17.643191399999999"/>
    <n v="12.446391999999999"/>
    <n v="10.575311900000001"/>
    <n v="8.5154002999999996"/>
    <n v="9.3900615999999992"/>
    <n v="5.3882235999999999"/>
    <n v="3.6212203999999999"/>
    <n v="3.9110187000000001"/>
    <n v="1.7360207000000001"/>
    <n v="1.4534587999999999"/>
    <n v="1.1339999999999999"/>
  </r>
  <r>
    <x v="1"/>
    <s v="PEST CONTROL"/>
    <s v="SC JOHNSON"/>
    <x v="2"/>
    <x v="5"/>
    <x v="3"/>
    <x v="7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534587999999999"/>
  </r>
  <r>
    <x v="1"/>
    <s v="PEST CONTROL"/>
    <s v="SC JOHNSON"/>
    <x v="3"/>
    <x v="0"/>
    <x v="0"/>
    <x v="9"/>
    <x v="0"/>
    <n v="233.69399999999999"/>
    <n v="870.62199999999996"/>
    <n v="1472.0650000000001"/>
    <n v="1776.7729999999999"/>
    <n v="2687.2130000000002"/>
    <n v="1713.039"/>
    <n v="1450.7090000000001"/>
    <n v="892.89"/>
    <n v="391.142"/>
    <n v="126.661"/>
    <n v="86.334999999999994"/>
    <n v="125.295"/>
    <n v="199.8"/>
    <n v="587.13400000000001"/>
    <n v="1573.636"/>
    <n v="2393.1410000000001"/>
    <n v="2910.6770000000001"/>
    <n v="2334.252"/>
    <n v="1962.749"/>
    <n v="1152.0509999999999"/>
    <n v="751.12400000000002"/>
    <n v="391.72800000000001"/>
    <n v="261.15499999999997"/>
    <n v="208.37899999999999"/>
    <n v="194.27600000000001"/>
    <n v="663.97900000000004"/>
    <n v="1462.395"/>
    <n v="2934.1860000000001"/>
    <n v="3770.2249999999999"/>
    <n v="2569.77"/>
    <n v="2926.0880000000002"/>
    <n v="3197.5079999999998"/>
    <n v="1104.498"/>
    <n v="489.52"/>
    <n v="222.721"/>
    <n v="167.68799999999999"/>
    <n v="358.25900000000001"/>
    <n v="358.25900000000001"/>
  </r>
  <r>
    <x v="1"/>
    <s v="PEST CONTROL"/>
    <s v="SC JOHNSON"/>
    <x v="3"/>
    <x v="0"/>
    <x v="0"/>
    <x v="9"/>
    <x v="1"/>
    <n v="59610.409"/>
    <n v="211052.261"/>
    <n v="401976.99699999997"/>
    <n v="513537.29300000001"/>
    <n v="750393.67099999997"/>
    <n v="436180.61900000001"/>
    <n v="370769.87"/>
    <n v="211813.42600000001"/>
    <n v="91598.737999999998"/>
    <n v="30643.151000000002"/>
    <n v="21113.557000000001"/>
    <n v="29555.983"/>
    <n v="51947.449000000001"/>
    <n v="147312.08900000001"/>
    <n v="413010.36900000001"/>
    <n v="633944.27099999995"/>
    <n v="805476.29799999995"/>
    <n v="650910.25100000005"/>
    <n v="542215.98100000003"/>
    <n v="318513.28399999999"/>
    <n v="208557.85699999999"/>
    <n v="110366.97199999999"/>
    <n v="70131.346000000005"/>
    <n v="63394.872000000003"/>
    <n v="59764.197"/>
    <n v="191401.296"/>
    <n v="439620.76400000002"/>
    <n v="933158.005"/>
    <n v="1226408.7150000001"/>
    <n v="797019.96"/>
    <n v="898486.45"/>
    <n v="1041703.902"/>
    <n v="336064.24200000003"/>
    <n v="136540.17800000001"/>
    <n v="59661.775000000001"/>
    <n v="51682.076000000001"/>
    <n v="115758.851"/>
    <n v="115758.851"/>
  </r>
  <r>
    <x v="1"/>
    <s v="PEST CONTROL"/>
    <s v="SC JOHNSON"/>
    <x v="3"/>
    <x v="0"/>
    <x v="0"/>
    <x v="9"/>
    <x v="2"/>
    <n v="6.5000000000000002E-2"/>
    <n v="0.123"/>
    <n v="0.125"/>
    <n v="0.11700000000000001"/>
    <n v="0.114"/>
    <n v="8.1000000000000003E-2"/>
    <n v="8.2000000000000003E-2"/>
    <n v="8.1000000000000003E-2"/>
    <n v="6.8000000000000005E-2"/>
    <n v="5.2999999999999999E-2"/>
    <n v="4.5999999999999999E-2"/>
    <n v="6.0999999999999999E-2"/>
    <n v="6.2E-2"/>
    <n v="0.10199999999999999"/>
    <n v="0.15"/>
    <n v="0.14599999999999999"/>
    <n v="0.158"/>
    <n v="0.13400000000000001"/>
    <n v="0.111"/>
    <n v="9.4E-2"/>
    <n v="9.9000000000000005E-2"/>
    <n v="9.1999999999999998E-2"/>
    <n v="0.10199999999999999"/>
    <n v="8.6999999999999994E-2"/>
    <n v="7.4999999999999997E-2"/>
    <n v="0.128"/>
    <n v="0.17899999999999999"/>
    <n v="0.20399999999999999"/>
    <n v="0.186"/>
    <n v="0.14499999999999999"/>
    <n v="0.14799999999999999"/>
    <n v="0.16"/>
    <n v="0.13300000000000001"/>
    <n v="0.122"/>
    <n v="9.7000000000000003E-2"/>
    <n v="9.5000000000000001E-2"/>
    <n v="0.15"/>
    <n v="0.184"/>
  </r>
  <r>
    <x v="1"/>
    <s v="PEST CONTROL"/>
    <s v="SC JOHNSON"/>
    <x v="3"/>
    <x v="0"/>
    <x v="0"/>
    <x v="9"/>
    <x v="3"/>
    <n v="38.997999999999998"/>
    <n v="51.19"/>
    <n v="62.695"/>
    <n v="65.075999999999993"/>
    <n v="65.884"/>
    <n v="60.012"/>
    <n v="58.747"/>
    <n v="52.878999999999998"/>
    <n v="46.411999999999999"/>
    <n v="33.244"/>
    <n v="28.225999999999999"/>
    <n v="33.030999999999999"/>
    <n v="36.433999999999997"/>
    <n v="48.421999999999997"/>
    <n v="67.777000000000001"/>
    <n v="66.501999999999995"/>
    <n v="68.418999999999997"/>
    <n v="67.427999999999997"/>
    <n v="66.587000000000003"/>
    <n v="65.087999999999994"/>
    <n v="62.484000000000002"/>
    <n v="48.603999999999999"/>
    <n v="36.911000000000001"/>
    <n v="42.469000000000001"/>
    <n v="39.896000000000001"/>
    <n v="67.731999999999999"/>
    <n v="76.566999999999993"/>
    <n v="79.697999999999993"/>
    <n v="80.900999999999996"/>
    <n v="80.094999999999999"/>
    <n v="80.328999999999994"/>
    <n v="84.68"/>
    <n v="71.082999999999998"/>
    <n v="58.514000000000003"/>
    <n v="41.393999999999998"/>
    <n v="38.585000000000001"/>
    <n v="51.067"/>
    <n v="0"/>
  </r>
  <r>
    <x v="1"/>
    <s v="PEST CONTROL"/>
    <s v="SC JOHNSON"/>
    <x v="3"/>
    <x v="0"/>
    <x v="0"/>
    <x v="9"/>
    <x v="4"/>
    <n v="23.769751299999999"/>
    <n v="33.082709100000002"/>
    <n v="41.231581400000003"/>
    <n v="43.7910094"/>
    <n v="46.351748600000001"/>
    <n v="40.580231900000001"/>
    <n v="42.870851399999999"/>
    <n v="36.453112300000001"/>
    <n v="28.693897199999999"/>
    <n v="18.871808399999999"/>
    <n v="13.299158800000001"/>
    <n v="20.046986799999999"/>
    <n v="21.093976000000001"/>
    <n v="29.627095300000001"/>
    <n v="45.029354300000001"/>
    <n v="45.909023900000001"/>
    <n v="49.930414300000002"/>
    <n v="48.623181899999999"/>
    <n v="47.700694900000002"/>
    <n v="46.994754399999998"/>
    <n v="43.167672699999997"/>
    <n v="29.715987699999999"/>
    <n v="24.0495047"/>
    <n v="27.227519399999998"/>
    <n v="26.091282700000001"/>
    <n v="51.416390100000001"/>
    <n v="61.876294999999999"/>
    <n v="65.704813900000005"/>
    <n v="65.907780500000001"/>
    <n v="64.263304599999998"/>
    <n v="63.427041799999998"/>
    <n v="65.004964700000002"/>
    <n v="54.736748200000001"/>
    <n v="39.628407099999997"/>
    <n v="26.2407009"/>
    <n v="23.463766400000001"/>
    <n v="34.370230800000002"/>
    <n v="51.067"/>
  </r>
  <r>
    <x v="1"/>
    <s v="PEST CONTROL"/>
    <s v="SC JOHNSON"/>
    <x v="3"/>
    <x v="0"/>
    <x v="0"/>
    <x v="9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370230800000002"/>
  </r>
  <r>
    <x v="1"/>
    <s v="PEST CONTROL"/>
    <s v="SC JOHNSON"/>
    <x v="3"/>
    <x v="0"/>
    <x v="0"/>
    <x v="10"/>
    <x v="0"/>
    <n v="1998.356"/>
    <n v="7530.4840000000004"/>
    <n v="13056.644"/>
    <n v="19564.544999999998"/>
    <n v="34636.065000000002"/>
    <n v="26238.199000000001"/>
    <n v="29731.871999999999"/>
    <n v="16449.544000000002"/>
    <n v="7339.9629999999997"/>
    <n v="1904.0360000000001"/>
    <n v="1087.3710000000001"/>
    <n v="1334.4090000000001"/>
    <n v="2817.511"/>
    <n v="7248.2489999999998"/>
    <n v="15411.732"/>
    <n v="23083.815999999999"/>
    <n v="26771.213"/>
    <n v="23218.027999999998"/>
    <n v="20607.862000000001"/>
    <n v="12042.752"/>
    <n v="8085.6880000000001"/>
    <n v="4089.8159999999998"/>
    <n v="1865.8789999999999"/>
    <n v="1956.4059999999999"/>
    <n v="2139.4180000000001"/>
    <n v="5922.6289999999999"/>
    <n v="10947.297"/>
    <n v="19547.814999999999"/>
    <n v="24090.014999999999"/>
    <n v="19286.079000000002"/>
    <n v="19480.446"/>
    <n v="18099.727999999999"/>
    <n v="6747.4719999999998"/>
    <n v="3022.3760000000002"/>
    <n v="1375.694"/>
    <n v="1163.7380000000001"/>
    <n v="1990.739"/>
    <n v="35083.978000000003"/>
  </r>
  <r>
    <x v="1"/>
    <s v="PEST CONTROL"/>
    <s v="SC JOHNSON"/>
    <x v="3"/>
    <x v="0"/>
    <x v="0"/>
    <x v="10"/>
    <x v="1"/>
    <n v="289067.304"/>
    <n v="983751.52899999998"/>
    <n v="1796927.1880000001"/>
    <n v="2412495.8640000001"/>
    <n v="3947826.568"/>
    <n v="2980847.5129999998"/>
    <n v="3471780.5890000002"/>
    <n v="2004072.79"/>
    <n v="906623.65"/>
    <n v="264995.01899999997"/>
    <n v="161702.85"/>
    <n v="187560.92300000001"/>
    <n v="378048.14500000002"/>
    <n v="901921.10400000005"/>
    <n v="2038626.0260000001"/>
    <n v="3112731.3659999999"/>
    <n v="3778625.162"/>
    <n v="3412248.4449999998"/>
    <n v="3062729.1910000001"/>
    <n v="1883391.3470000001"/>
    <n v="1231726.774"/>
    <n v="631367.93799999997"/>
    <n v="303366.95799999998"/>
    <n v="319305.62"/>
    <n v="347758.12"/>
    <n v="955420.73100000003"/>
    <n v="1794585.5260000001"/>
    <n v="3222899.4959999998"/>
    <n v="4047795.946"/>
    <n v="3264153.105"/>
    <n v="3315902.591"/>
    <n v="3129925.108"/>
    <n v="1160284.99"/>
    <n v="523946.70699999999"/>
    <n v="248012.52"/>
    <n v="208659.71900000001"/>
    <n v="342856.565"/>
    <n v="342856.565"/>
  </r>
  <r>
    <x v="1"/>
    <s v="PEST CONTROL"/>
    <s v="SC JOHNSON"/>
    <x v="3"/>
    <x v="0"/>
    <x v="0"/>
    <x v="10"/>
    <x v="2"/>
    <n v="0.24399999999999999"/>
    <n v="0.434"/>
    <n v="0.45600000000000002"/>
    <n v="0.502"/>
    <n v="0.55200000000000005"/>
    <n v="0.46200000000000002"/>
    <n v="0.66"/>
    <n v="0.59399999999999997"/>
    <n v="0.52400000000000002"/>
    <n v="0.33900000000000002"/>
    <n v="0.25600000000000001"/>
    <n v="0.28000000000000003"/>
    <n v="0.35599999999999998"/>
    <n v="0.48699999999999999"/>
    <n v="0.57799999999999996"/>
    <n v="0.55200000000000005"/>
    <n v="0.56299999999999994"/>
    <n v="0.53200000000000003"/>
    <n v="0.46200000000000002"/>
    <n v="0.40699999999999997"/>
    <n v="0.45300000000000001"/>
    <n v="0.41199999999999998"/>
    <n v="0.31900000000000001"/>
    <n v="0.35399999999999998"/>
    <n v="0.34300000000000003"/>
    <n v="0.46400000000000002"/>
    <n v="0.56000000000000005"/>
    <n v="0.56599999999999995"/>
    <n v="0.48299999999999998"/>
    <n v="0.44800000000000001"/>
    <n v="0.40600000000000003"/>
    <n v="0.371"/>
    <n v="0.32800000000000001"/>
    <n v="0.307"/>
    <n v="0.26200000000000001"/>
    <n v="0.28100000000000003"/>
    <n v="0.32700000000000001"/>
    <n v="18.010000000000002"/>
  </r>
  <r>
    <x v="1"/>
    <s v="PEST CONTROL"/>
    <s v="SC JOHNSON"/>
    <x v="3"/>
    <x v="0"/>
    <x v="0"/>
    <x v="10"/>
    <x v="3"/>
    <n v="90.513000000000005"/>
    <n v="98.320999999999998"/>
    <n v="98.85"/>
    <n v="98.831999999999994"/>
    <n v="99.528000000000006"/>
    <n v="99.412000000000006"/>
    <n v="99.521000000000001"/>
    <n v="99.581999999999994"/>
    <n v="98.852999999999994"/>
    <n v="93.549000000000007"/>
    <n v="86.463999999999999"/>
    <n v="93.484999999999999"/>
    <n v="96.581999999999994"/>
    <n v="98.504000000000005"/>
    <n v="98.938000000000002"/>
    <n v="98.593999999999994"/>
    <n v="98.965999999999994"/>
    <n v="98.593999999999994"/>
    <n v="97.738"/>
    <n v="98.644999999999996"/>
    <n v="97.426000000000002"/>
    <n v="94.67"/>
    <n v="88.849000000000004"/>
    <n v="92.028000000000006"/>
    <n v="93.974999999999994"/>
    <n v="98.161000000000001"/>
    <n v="98.959000000000003"/>
    <n v="99.424999999999997"/>
    <n v="99.281000000000006"/>
    <n v="98.843000000000004"/>
    <n v="97.974000000000004"/>
    <n v="97.962000000000003"/>
    <n v="95.003"/>
    <n v="93.701999999999998"/>
    <n v="89.11"/>
    <n v="85.858999999999995"/>
    <n v="91.442999999999998"/>
    <n v="0"/>
  </r>
  <r>
    <x v="1"/>
    <s v="PEST CONTROL"/>
    <s v="SC JOHNSON"/>
    <x v="3"/>
    <x v="0"/>
    <x v="0"/>
    <x v="10"/>
    <x v="4"/>
    <n v="81.983040099999997"/>
    <n v="92.272799300000003"/>
    <n v="94.099836999999994"/>
    <n v="94.516409999999993"/>
    <n v="94.395824399999995"/>
    <n v="94.410291400000006"/>
    <n v="96.411666499999995"/>
    <n v="96.707797299999996"/>
    <n v="95.501347999999993"/>
    <n v="85.606680699999998"/>
    <n v="74.666613299999995"/>
    <n v="85.939982499999999"/>
    <n v="90.222093700000002"/>
    <n v="94.064455199999998"/>
    <n v="94.071895100000006"/>
    <n v="91.764521900000005"/>
    <n v="92.865791599999994"/>
    <n v="94.460657499999996"/>
    <n v="92.509200399999997"/>
    <n v="93.079864999999998"/>
    <n v="91.778702499999994"/>
    <n v="88.402634800000001"/>
    <n v="80.106660300000001"/>
    <n v="83.413724700000003"/>
    <n v="87.273199199999993"/>
    <n v="92.711016400000005"/>
    <n v="94.692775400000002"/>
    <n v="93.158847800000004"/>
    <n v="92.451773399999993"/>
    <n v="92.320838600000002"/>
    <n v="91.215803399999999"/>
    <n v="91.4556185"/>
    <n v="87.614304300000001"/>
    <n v="84.224292800000001"/>
    <n v="72.594653600000001"/>
    <n v="69.005665199999996"/>
    <n v="79.031240600000004"/>
    <n v="91.442999999999998"/>
  </r>
  <r>
    <x v="1"/>
    <s v="PEST CONTROL"/>
    <s v="SC JOHNSON"/>
    <x v="3"/>
    <x v="0"/>
    <x v="0"/>
    <x v="1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031240600000004"/>
  </r>
  <r>
    <x v="1"/>
    <s v="PEST CONTROL"/>
    <s v="SC JOHNSON"/>
    <x v="3"/>
    <x v="0"/>
    <x v="3"/>
    <x v="11"/>
    <x v="0"/>
    <n v="207.08799999999999"/>
    <n v="203.49299999999999"/>
    <n v="186.678"/>
    <n v="181.07400000000001"/>
    <n v="180.453"/>
    <n v="195.97300000000001"/>
    <n v="192.71799999999999"/>
    <n v="182.62799999999999"/>
    <n v="197.512"/>
    <n v="197.512"/>
    <n v="197.512"/>
    <n v="166.34100000000001"/>
    <n v="166.34100000000001"/>
    <n v="166.34100000000001"/>
    <n v="166.72399999999999"/>
    <n v="188.024"/>
    <n v="193.47800000000001"/>
    <n v="187.83600000000001"/>
    <n v="228.94200000000001"/>
    <n v="192.36500000000001"/>
    <n v="200.77099999999999"/>
    <n v="176.61699999999999"/>
    <n v="188.39699999999999"/>
    <n v="188.94399999999999"/>
    <n v="189.15199999999999"/>
    <n v="202.44900000000001"/>
    <n v="208.988"/>
    <n v="243.55600000000001"/>
    <n v="253.886"/>
    <n v="239.608"/>
    <n v="240.16"/>
    <n v="204.23099999999999"/>
    <n v="185.46199999999999"/>
    <n v="179.49100000000001"/>
    <n v="149.13"/>
    <n v="101.408"/>
    <n v="1.696"/>
    <n v="1.696"/>
  </r>
  <r>
    <x v="1"/>
    <s v="PEST CONTROL"/>
    <s v="SC JOHNSON"/>
    <x v="3"/>
    <x v="0"/>
    <x v="3"/>
    <x v="11"/>
    <x v="1"/>
    <n v="91782.892000000007"/>
    <n v="93468.811000000002"/>
    <n v="85555.820999999996"/>
    <n v="83227.835999999996"/>
    <n v="82667.960000000006"/>
    <n v="91074.085999999996"/>
    <n v="87944.732000000004"/>
    <n v="84023.74"/>
    <n v="90053.183999999994"/>
    <n v="90053.183999999994"/>
    <n v="90053.183999999994"/>
    <n v="75841.225999999995"/>
    <n v="75841.225999999995"/>
    <n v="75841.225999999995"/>
    <n v="76015.660999999993"/>
    <n v="85979.474000000002"/>
    <n v="88213.34"/>
    <n v="85009.686000000002"/>
    <n v="104473.084"/>
    <n v="87706.16"/>
    <n v="92038.475000000006"/>
    <n v="80526.421000000002"/>
    <n v="85897.532999999996"/>
    <n v="86146.595000000001"/>
    <n v="86241.356"/>
    <n v="92304.123000000007"/>
    <n v="95285.546000000002"/>
    <n v="110549.08"/>
    <n v="115576.985"/>
    <n v="109127.57"/>
    <n v="109362.037"/>
    <n v="93001.475999999995"/>
    <n v="84454.64"/>
    <n v="81735.127999999997"/>
    <n v="67909.630999999994"/>
    <n v="46178.324000000001"/>
    <n v="720.61800000000005"/>
    <n v="720.61800000000005"/>
  </r>
  <r>
    <x v="1"/>
    <s v="PEST CONTROL"/>
    <s v="SC JOHNSON"/>
    <x v="3"/>
    <x v="0"/>
    <x v="3"/>
    <x v="11"/>
    <x v="2"/>
    <n v="0.37"/>
    <n v="0.186"/>
    <n v="0.10199999999999999"/>
    <n v="7.6999999999999999E-2"/>
    <n v="4.9000000000000002E-2"/>
    <n v="0.06"/>
    <n v="7.0999999999999994E-2"/>
    <n v="0.107"/>
    <n v="0.223"/>
    <n v="0.53"/>
    <n v="0.68200000000000005"/>
    <n v="0.52300000000000002"/>
    <n v="0.33500000000000002"/>
    <n v="0.186"/>
    <n v="0.10299999999999999"/>
    <n v="7.3999999999999996E-2"/>
    <n v="6.8000000000000005E-2"/>
    <n v="7.0000000000000007E-2"/>
    <n v="8.4000000000000005E-2"/>
    <n v="0.10100000000000001"/>
    <n v="0.17100000000000001"/>
    <n v="0.26900000000000002"/>
    <n v="0.47399999999999998"/>
    <n v="0.51200000000000001"/>
    <n v="0.47399999999999998"/>
    <n v="0.251"/>
    <n v="0.16500000000000001"/>
    <n v="0.109"/>
    <n v="8.1000000000000003E-2"/>
    <n v="8.6999999999999994E-2"/>
    <n v="7.9000000000000001E-2"/>
    <n v="6.6000000000000003E-2"/>
    <n v="0.14399999999999999"/>
    <n v="0.28799999999999998"/>
    <n v="0.41899999999999998"/>
    <n v="0.37"/>
    <n v="5.0000000000000001E-3"/>
    <n v="1E-3"/>
  </r>
  <r>
    <x v="1"/>
    <s v="PEST CONTROL"/>
    <s v="SC JOHNSON"/>
    <x v="3"/>
    <x v="0"/>
    <x v="3"/>
    <x v="11"/>
    <x v="3"/>
    <n v="12.052"/>
    <n v="7.6619999999999999"/>
    <n v="4.3810000000000002"/>
    <n v="3.319"/>
    <n v="3.024"/>
    <n v="2.7130000000000001"/>
    <n v="3.0489999999999999"/>
    <n v="4.2119999999999997"/>
    <n v="6.2050000000000001"/>
    <n v="13.454000000000001"/>
    <n v="16.841999999999999"/>
    <n v="12.661"/>
    <n v="8.2249999999999996"/>
    <n v="4.8330000000000002"/>
    <n v="2.625"/>
    <n v="2.0939999999999999"/>
    <n v="1.8919999999999999"/>
    <n v="1.772"/>
    <n v="2.0750000000000002"/>
    <n v="2.4609999999999999"/>
    <n v="4.1959999999999997"/>
    <n v="6.5"/>
    <n v="10.965"/>
    <n v="11.648"/>
    <n v="10.62"/>
    <n v="5.4809999999999999"/>
    <n v="3.4689999999999999"/>
    <n v="2.081"/>
    <n v="1.7629999999999999"/>
    <n v="2.1840000000000002"/>
    <n v="1.9390000000000001"/>
    <n v="1.4890000000000001"/>
    <n v="3.859"/>
    <n v="7.4130000000000003"/>
    <n v="11.279"/>
    <n v="11.755000000000001"/>
    <n v="0.439"/>
    <n v="0"/>
  </r>
  <r>
    <x v="1"/>
    <s v="PEST CONTROL"/>
    <s v="SC JOHNSON"/>
    <x v="3"/>
    <x v="0"/>
    <x v="3"/>
    <x v="11"/>
    <x v="4"/>
    <n v="9.5709549999999997"/>
    <n v="8.5440079000000004"/>
    <n v="7.2457107000000001"/>
    <n v="6.3581441999999999"/>
    <n v="5.6214504999999999"/>
    <n v="5.6238615999999997"/>
    <n v="6.5443182000000002"/>
    <n v="6.5671217999999998"/>
    <n v="6.0322484999999997"/>
    <n v="6.0514219000000002"/>
    <n v="6.0514219000000002"/>
    <n v="4.8239995999999996"/>
    <n v="4.8206451000000001"/>
    <n v="4.8072881000000001"/>
    <n v="4.7955604000000003"/>
    <n v="5.1120286000000004"/>
    <n v="4.6682208000000003"/>
    <n v="4.6647093999999996"/>
    <n v="3.5021464999999998"/>
    <n v="2.9239595"/>
    <n v="3.2233488000000001"/>
    <n v="2.9171358000000001"/>
    <n v="2.8936609"/>
    <n v="2.8728284999999998"/>
    <n v="2.8841301000000001"/>
    <n v="2.8556252999999998"/>
    <n v="2.8305197999999998"/>
    <n v="2.7858257000000002"/>
    <n v="2.7456084000000001"/>
    <n v="2.4084566999999999"/>
    <n v="2.4066709999999998"/>
    <n v="2.4173844"/>
    <n v="2.4155451000000001"/>
    <n v="2.4142397999999998"/>
    <n v="2.4211999999999998"/>
    <n v="2.5076819000000001"/>
    <n v="0.58138350000000005"/>
    <n v="0.439"/>
  </r>
  <r>
    <x v="1"/>
    <s v="PEST CONTROL"/>
    <s v="SC JOHNSON"/>
    <x v="3"/>
    <x v="0"/>
    <x v="3"/>
    <x v="1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8138350000000005"/>
  </r>
  <r>
    <x v="1"/>
    <s v="PEST CONTROL"/>
    <s v="SC JOHNSON"/>
    <x v="3"/>
    <x v="0"/>
    <x v="3"/>
    <x v="8"/>
    <x v="0"/>
    <n v="496.65600000000001"/>
    <n v="1877.1310000000001"/>
    <n v="5201.3"/>
    <n v="8278.9240000000009"/>
    <n v="18591.311000000002"/>
    <n v="19350.628000000001"/>
    <n v="15088.505999999999"/>
    <n v="10798.441000000001"/>
    <n v="3564.9969999999998"/>
    <n v="607.67600000000004"/>
    <n v="1482.4770000000001"/>
    <n v="1183.7439999999999"/>
    <n v="1383.4369999999999"/>
    <n v="1512.498"/>
    <n v="9716.3179999999993"/>
    <n v="10844.053"/>
    <n v="14585.002"/>
    <n v="17939.18"/>
    <n v="11866.444"/>
    <n v="4076.8229999999999"/>
    <n v="2215.643"/>
    <n v="731.45"/>
    <n v="394.93599999999998"/>
    <n v="266.70699999999999"/>
    <n v="361.69900000000001"/>
    <n v="1199.9749999999999"/>
    <n v="3271.8919999999998"/>
    <n v="9749.6970000000001"/>
    <n v="18819.43"/>
    <n v="14913.323"/>
    <n v="13541.199000000001"/>
    <n v="17634.043000000001"/>
    <n v="4493.6869999999999"/>
    <n v="4076.0349999999999"/>
    <n v="680.29399999999998"/>
    <n v="531.70399999999995"/>
    <n v="1034.0930000000001"/>
    <n v="12336.03"/>
  </r>
  <r>
    <x v="1"/>
    <s v="PEST CONTROL"/>
    <s v="SC JOHNSON"/>
    <x v="3"/>
    <x v="0"/>
    <x v="3"/>
    <x v="8"/>
    <x v="1"/>
    <n v="52459.851999999999"/>
    <n v="201797.84299999999"/>
    <n v="601688.18000000005"/>
    <n v="946347.01199999999"/>
    <n v="1886619.5619999999"/>
    <n v="1485800.2439999999"/>
    <n v="1148851.8"/>
    <n v="544392.85"/>
    <n v="187549.728"/>
    <n v="43938.69"/>
    <n v="52371.904000000002"/>
    <n v="43756.548000000003"/>
    <n v="72762.858999999997"/>
    <n v="118859.069"/>
    <n v="610306.11600000004"/>
    <n v="1120662.182"/>
    <n v="1515200.2560000001"/>
    <n v="1552892.0889999999"/>
    <n v="1129584.747"/>
    <n v="502540.33600000001"/>
    <n v="262720.38"/>
    <n v="84484.269"/>
    <n v="55240.135000000002"/>
    <n v="34726.065000000002"/>
    <n v="46815.582000000002"/>
    <n v="165549.057"/>
    <n v="454766.136"/>
    <n v="1448732.8940000001"/>
    <n v="2756882.7880000002"/>
    <n v="2181010.1379999998"/>
    <n v="2069352.28"/>
    <n v="2801146.6090000002"/>
    <n v="701919.90500000003"/>
    <n v="508247.70899999997"/>
    <n v="101139.939"/>
    <n v="82242.562999999995"/>
    <n v="173932.69"/>
    <n v="173932.69"/>
  </r>
  <r>
    <x v="1"/>
    <s v="PEST CONTROL"/>
    <s v="SC JOHNSON"/>
    <x v="3"/>
    <x v="0"/>
    <x v="3"/>
    <x v="8"/>
    <x v="2"/>
    <n v="3.4000000000000002E-2"/>
    <n v="6.9000000000000006E-2"/>
    <n v="0.11700000000000001"/>
    <n v="0.14499999999999999"/>
    <n v="0.188"/>
    <n v="0.17"/>
    <n v="0.158"/>
    <n v="0.13700000000000001"/>
    <n v="8.8999999999999996E-2"/>
    <n v="4.3999999999999997E-2"/>
    <n v="8.5000000000000006E-2"/>
    <n v="6.3E-2"/>
    <n v="5.8000000000000003E-2"/>
    <n v="4.7E-2"/>
    <n v="0.14000000000000001"/>
    <n v="0.14099999999999999"/>
    <n v="0.16700000000000001"/>
    <n v="0.186"/>
    <n v="0.129"/>
    <n v="7.6999999999999999E-2"/>
    <n v="6.7000000000000004E-2"/>
    <n v="3.7999999999999999E-2"/>
    <n v="3.9E-2"/>
    <n v="2.5999999999999999E-2"/>
    <n v="3.2000000000000001E-2"/>
    <n v="5.5E-2"/>
    <n v="9.6000000000000002E-2"/>
    <n v="0.16900000000000001"/>
    <n v="0.22800000000000001"/>
    <n v="0.20899999999999999"/>
    <n v="0.17399999999999999"/>
    <n v="0.22800000000000001"/>
    <n v="0.14099999999999999"/>
    <n v="0.26900000000000002"/>
    <n v="7.8E-2"/>
    <n v="0.08"/>
    <n v="0.115"/>
    <n v="6.3330000000000002"/>
  </r>
  <r>
    <x v="1"/>
    <s v="PEST CONTROL"/>
    <s v="SC JOHNSON"/>
    <x v="3"/>
    <x v="0"/>
    <x v="3"/>
    <x v="8"/>
    <x v="3"/>
    <n v="65.688999999999993"/>
    <n v="89.953000000000003"/>
    <n v="98.38"/>
    <n v="97.975999999999999"/>
    <n v="98.168999999999997"/>
    <n v="98.721000000000004"/>
    <n v="98.28"/>
    <n v="97.49"/>
    <n v="95.497"/>
    <n v="68.784000000000006"/>
    <n v="66.597999999999999"/>
    <n v="74.388000000000005"/>
    <n v="80.527000000000001"/>
    <n v="88.555999999999997"/>
    <n v="96.632000000000005"/>
    <n v="96.403999999999996"/>
    <n v="97.614999999999995"/>
    <n v="97.918000000000006"/>
    <n v="91.51"/>
    <n v="83.593999999999994"/>
    <n v="81.221999999999994"/>
    <n v="68.313000000000002"/>
    <n v="59.488999999999997"/>
    <n v="54.151000000000003"/>
    <n v="60.198999999999998"/>
    <n v="87.04"/>
    <n v="90.911000000000001"/>
    <n v="93.471999999999994"/>
    <n v="98.91"/>
    <n v="98.287000000000006"/>
    <n v="98.373000000000005"/>
    <n v="97.988"/>
    <n v="93.706999999999994"/>
    <n v="79.715999999999994"/>
    <n v="64.3"/>
    <n v="60.707000000000001"/>
    <n v="78.478999999999999"/>
    <n v="0"/>
  </r>
  <r>
    <x v="1"/>
    <s v="PEST CONTROL"/>
    <s v="SC JOHNSON"/>
    <x v="3"/>
    <x v="0"/>
    <x v="3"/>
    <x v="8"/>
    <x v="4"/>
    <n v="52.866115000000001"/>
    <n v="79.080229799999998"/>
    <n v="89.752348400000002"/>
    <n v="89.809296399999994"/>
    <n v="89.254370399999999"/>
    <n v="88.512898100000001"/>
    <n v="90.1749109"/>
    <n v="88.5632454"/>
    <n v="83.549110400000004"/>
    <n v="51.692318100000001"/>
    <n v="46.085514400000001"/>
    <n v="59.870616900000002"/>
    <n v="65.093939000000006"/>
    <n v="77.2553628"/>
    <n v="86.453544300000004"/>
    <n v="84.131361100000007"/>
    <n v="87.905806999999996"/>
    <n v="88.629770800000003"/>
    <n v="86.371688599999999"/>
    <n v="76.819433799999999"/>
    <n v="73.258512600000003"/>
    <n v="56.051598300000002"/>
    <n v="44.773903799999999"/>
    <n v="36.332661999999999"/>
    <n v="43.8904031"/>
    <n v="75.323685100000006"/>
    <n v="81.704086099999998"/>
    <n v="84.578783200000004"/>
    <n v="93.069535299999998"/>
    <n v="93.165340700000002"/>
    <n v="93.400328799999997"/>
    <n v="91.083820500000002"/>
    <n v="88.173388599999996"/>
    <n v="66.731291499999998"/>
    <n v="48.3466168"/>
    <n v="39.806375799999998"/>
    <n v="63.866433000000001"/>
    <n v="78.478999999999999"/>
  </r>
  <r>
    <x v="1"/>
    <s v="PEST CONTROL"/>
    <s v="SC JOHNSON"/>
    <x v="3"/>
    <x v="0"/>
    <x v="3"/>
    <x v="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866433000000001"/>
  </r>
  <r>
    <x v="1"/>
    <s v="PEST CONTROL"/>
    <s v="SC JOHNSON"/>
    <x v="3"/>
    <x v="0"/>
    <x v="3"/>
    <x v="9"/>
    <x v="0"/>
    <n v="1066.242"/>
    <n v="3771.7449999999999"/>
    <n v="7533.2190000000001"/>
    <n v="9436.4120000000003"/>
    <n v="13212.102000000001"/>
    <n v="9463.61"/>
    <n v="7333.3789999999999"/>
    <n v="3831.1439999999998"/>
    <n v="1809.7729999999999"/>
    <n v="542.91600000000005"/>
    <n v="447.77600000000001"/>
    <n v="575.21799999999996"/>
    <n v="1121.252"/>
    <n v="3031.087"/>
    <n v="10176.365"/>
    <n v="14650.103999999999"/>
    <n v="15219.903"/>
    <n v="11376.43"/>
    <n v="9619.3690000000006"/>
    <n v="5113.5529999999999"/>
    <n v="3335.3359999999998"/>
    <n v="1710.806"/>
    <n v="890.14300000000003"/>
    <n v="929.005"/>
    <n v="988.00300000000004"/>
    <n v="2993.7089999999998"/>
    <n v="6867.6019999999999"/>
    <n v="16366.938"/>
    <n v="17464.599999999999"/>
    <n v="11156.875"/>
    <n v="11080.112999999999"/>
    <n v="11017.691000000001"/>
    <n v="4055.8989999999999"/>
    <n v="1666.104"/>
    <n v="860.65700000000004"/>
    <n v="755.47199999999998"/>
    <n v="1345.5930000000001"/>
    <n v="1345.5930000000001"/>
  </r>
  <r>
    <x v="1"/>
    <s v="PEST CONTROL"/>
    <s v="SC JOHNSON"/>
    <x v="3"/>
    <x v="0"/>
    <x v="3"/>
    <x v="9"/>
    <x v="1"/>
    <n v="300182.33100000001"/>
    <n v="1085487.5789999999"/>
    <n v="2124667.9219999998"/>
    <n v="2715199.0460000001"/>
    <n v="3748538.8509999998"/>
    <n v="2673070.4139999999"/>
    <n v="2039017.746"/>
    <n v="1076906.7080000001"/>
    <n v="503770.51400000002"/>
    <n v="157834.62299999999"/>
    <n v="131888.95000000001"/>
    <n v="163202.587"/>
    <n v="310810.00199999998"/>
    <n v="829697.49800000002"/>
    <n v="2827792.0320000001"/>
    <n v="4095755.8930000002"/>
    <n v="4378497.5060000001"/>
    <n v="3363553.2420000001"/>
    <n v="2827461.335"/>
    <n v="1509306.11"/>
    <n v="944457.24300000002"/>
    <n v="505585.59"/>
    <n v="266366.29399999999"/>
    <n v="288461.158"/>
    <n v="309110.63900000002"/>
    <n v="944316.22"/>
    <n v="2152594.9709999999"/>
    <n v="5082420.3859999999"/>
    <n v="5511054.3710000003"/>
    <n v="3552498.1469999999"/>
    <n v="3596552.2749999999"/>
    <n v="3605975.1740000001"/>
    <n v="1334081.5719999999"/>
    <n v="544292.26599999995"/>
    <n v="273079.86800000002"/>
    <n v="250035.53899999999"/>
    <n v="464248.28399999999"/>
    <n v="464248.28399999999"/>
  </r>
  <r>
    <x v="1"/>
    <s v="PEST CONTROL"/>
    <s v="SC JOHNSON"/>
    <x v="3"/>
    <x v="0"/>
    <x v="3"/>
    <x v="9"/>
    <x v="2"/>
    <n v="0.29499999999999998"/>
    <n v="0.53400000000000003"/>
    <n v="0.63900000000000001"/>
    <n v="0.624"/>
    <n v="0.55900000000000005"/>
    <n v="0.44800000000000001"/>
    <n v="0.41499999999999998"/>
    <n v="0.34799999999999998"/>
    <n v="0.316"/>
    <n v="0.22500000000000001"/>
    <n v="0.23899999999999999"/>
    <n v="0.28000000000000003"/>
    <n v="0.34899999999999998"/>
    <n v="0.52500000000000002"/>
    <n v="0.97099999999999997"/>
    <n v="0.89300000000000002"/>
    <n v="0.82699999999999996"/>
    <n v="0.65500000000000003"/>
    <n v="0.54300000000000004"/>
    <n v="0.41599999999999998"/>
    <n v="0.44"/>
    <n v="0.40300000000000002"/>
    <n v="0.34599999999999997"/>
    <n v="0.38900000000000001"/>
    <n v="0.38300000000000001"/>
    <n v="0.57499999999999996"/>
    <n v="0.84"/>
    <n v="1.135"/>
    <n v="0.85899999999999999"/>
    <n v="0.629"/>
    <n v="0.56100000000000005"/>
    <n v="0.55100000000000005"/>
    <n v="0.48699999999999999"/>
    <n v="0.41399999999999998"/>
    <n v="0.374"/>
    <n v="0.42599999999999999"/>
    <n v="0.56399999999999995"/>
    <n v="0.69099999999999995"/>
  </r>
  <r>
    <x v="1"/>
    <s v="PEST CONTROL"/>
    <s v="SC JOHNSON"/>
    <x v="3"/>
    <x v="0"/>
    <x v="3"/>
    <x v="9"/>
    <x v="3"/>
    <n v="88.227999999999994"/>
    <n v="97.004000000000005"/>
    <n v="99.453000000000003"/>
    <n v="98.448999999999998"/>
    <n v="96.218999999999994"/>
    <n v="93.414000000000001"/>
    <n v="93.343999999999994"/>
    <n v="92.478999999999999"/>
    <n v="91.564999999999998"/>
    <n v="75.388000000000005"/>
    <n v="71.712000000000003"/>
    <n v="78.143000000000001"/>
    <n v="89.6"/>
    <n v="97.128"/>
    <n v="99.206999999999994"/>
    <n v="99.17"/>
    <n v="98.852999999999994"/>
    <n v="97.986000000000004"/>
    <n v="94.518000000000001"/>
    <n v="91.168999999999997"/>
    <n v="89.787000000000006"/>
    <n v="85.248999999999995"/>
    <n v="75.298000000000002"/>
    <n v="78.814999999999998"/>
    <n v="80.86"/>
    <n v="95.792000000000002"/>
    <n v="97.581000000000003"/>
    <n v="98.975999999999999"/>
    <n v="99.174999999999997"/>
    <n v="98.489000000000004"/>
    <n v="96.176000000000002"/>
    <n v="95.956000000000003"/>
    <n v="91.200999999999993"/>
    <n v="83.013999999999996"/>
    <n v="76.524000000000001"/>
    <n v="74.105999999999995"/>
    <n v="85.150999999999996"/>
    <n v="0"/>
  </r>
  <r>
    <x v="1"/>
    <s v="PEST CONTROL"/>
    <s v="SC JOHNSON"/>
    <x v="3"/>
    <x v="0"/>
    <x v="3"/>
    <x v="9"/>
    <x v="4"/>
    <n v="73.121759999999995"/>
    <n v="88.078468200000003"/>
    <n v="92.702429899999998"/>
    <n v="91.445599700000002"/>
    <n v="88.633089499999997"/>
    <n v="85.213902399999995"/>
    <n v="85.219768900000005"/>
    <n v="83.007827000000006"/>
    <n v="80.165383000000006"/>
    <n v="55.2818787"/>
    <n v="47.965833600000003"/>
    <n v="57.8510463"/>
    <n v="74.871537700000005"/>
    <n v="86.733087699999999"/>
    <n v="91.021065300000004"/>
    <n v="91.279480599999999"/>
    <n v="92.705905000000001"/>
    <n v="90.379036799999994"/>
    <n v="84.020580899999999"/>
    <n v="80.539295100000004"/>
    <n v="78.445759800000005"/>
    <n v="70.377944099999993"/>
    <n v="58.644088400000001"/>
    <n v="60.407539499999999"/>
    <n v="62.6464778"/>
    <n v="85.516554099999993"/>
    <n v="88.748683799999995"/>
    <n v="91.085357700000003"/>
    <n v="91.834011500000003"/>
    <n v="91.904006300000006"/>
    <n v="89.410869599999998"/>
    <n v="87.337111699999994"/>
    <n v="81.677865999999995"/>
    <n v="67.798994399999998"/>
    <n v="56.1686543"/>
    <n v="47.810009899999997"/>
    <n v="64.670777000000001"/>
    <n v="85.150999999999996"/>
  </r>
  <r>
    <x v="1"/>
    <s v="PEST CONTROL"/>
    <s v="SC JOHNSON"/>
    <x v="3"/>
    <x v="0"/>
    <x v="3"/>
    <x v="9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670777000000001"/>
  </r>
  <r>
    <x v="1"/>
    <s v="PEST CONTROL"/>
    <s v="SC JOHNSON"/>
    <x v="3"/>
    <x v="0"/>
    <x v="3"/>
    <x v="10"/>
    <x v="0"/>
    <n v="3389.6779999999999"/>
    <n v="11574.929"/>
    <n v="28802.366000000002"/>
    <n v="39808.483"/>
    <n v="55642.421999999999"/>
    <n v="37337.107000000004"/>
    <n v="19790.653999999999"/>
    <n v="9123.866"/>
    <n v="4188.1869999999999"/>
    <n v="1429.213"/>
    <n v="1076.6869999999999"/>
    <n v="1013.204"/>
    <n v="2004.7070000000001"/>
    <n v="4217.3940000000002"/>
    <n v="16308.72"/>
    <n v="26565.947"/>
    <n v="33010.523000000001"/>
    <n v="25643.722000000002"/>
    <n v="20788.794000000002"/>
    <n v="10555.2"/>
    <n v="6525.2150000000001"/>
    <n v="3508.5430000000001"/>
    <n v="2135.1030000000001"/>
    <n v="2030.5139999999999"/>
    <n v="2183.2570000000001"/>
    <n v="5638.9129999999996"/>
    <n v="12791.643"/>
    <n v="27197.227999999999"/>
    <n v="34191.536999999997"/>
    <n v="22986.266"/>
    <n v="22913.724999999999"/>
    <n v="21428.988000000001"/>
    <n v="8483.0380000000005"/>
    <n v="3843.4319999999998"/>
    <n v="2008.422"/>
    <n v="1815.6880000000001"/>
    <n v="2181.9229999999998"/>
    <n v="28593.254000000001"/>
  </r>
  <r>
    <x v="1"/>
    <s v="PEST CONTROL"/>
    <s v="SC JOHNSON"/>
    <x v="3"/>
    <x v="0"/>
    <x v="3"/>
    <x v="10"/>
    <x v="1"/>
    <n v="559990.92500000005"/>
    <n v="1751636.807"/>
    <n v="4301083.926"/>
    <n v="5986180.449"/>
    <n v="8733751.1520000007"/>
    <n v="6031286.2220000001"/>
    <n v="3713389.3840000001"/>
    <n v="1888677.6969999999"/>
    <n v="875743.46299999999"/>
    <n v="268849.49800000002"/>
    <n v="181984.28200000001"/>
    <n v="208920.36300000001"/>
    <n v="441143.01400000002"/>
    <n v="889565.647"/>
    <n v="3318190.8110000002"/>
    <n v="5725753.0089999996"/>
    <n v="7711788.2070000004"/>
    <n v="6047932.5559999999"/>
    <n v="4865546.5"/>
    <n v="2386008.898"/>
    <n v="1501552.2549999999"/>
    <n v="734090.38500000001"/>
    <n v="411499.97600000002"/>
    <n v="416442.64299999998"/>
    <n v="468539.152"/>
    <n v="1292474.7620000001"/>
    <n v="2846857.2570000002"/>
    <n v="6236283.1979999999"/>
    <n v="7813496.4009999996"/>
    <n v="5147832.2740000002"/>
    <n v="5132046.7379999999"/>
    <n v="4877764.2189999996"/>
    <n v="1877551.2350000001"/>
    <n v="799881.90800000005"/>
    <n v="399557.43099999998"/>
    <n v="343515.74599999998"/>
    <n v="523624.99400000001"/>
    <n v="523624.99400000001"/>
  </r>
  <r>
    <x v="1"/>
    <s v="PEST CONTROL"/>
    <s v="SC JOHNSON"/>
    <x v="3"/>
    <x v="0"/>
    <x v="3"/>
    <x v="10"/>
    <x v="2"/>
    <n v="0.38100000000000001"/>
    <n v="0.63900000000000001"/>
    <n v="0.97799999999999998"/>
    <n v="1.0669999999999999"/>
    <n v="0.93400000000000005"/>
    <n v="0.72699999999999998"/>
    <n v="0.48599999999999999"/>
    <n v="0.35799999999999998"/>
    <n v="0.33200000000000002"/>
    <n v="0.27300000000000002"/>
    <n v="0.25900000000000001"/>
    <n v="0.23"/>
    <n v="0.26200000000000001"/>
    <n v="0.27300000000000002"/>
    <n v="0.53600000000000003"/>
    <n v="0.57199999999999995"/>
    <n v="0.66800000000000004"/>
    <n v="0.56399999999999995"/>
    <n v="0.46300000000000002"/>
    <n v="0.33200000000000002"/>
    <n v="0.35799999999999998"/>
    <n v="0.33500000000000002"/>
    <n v="0.33400000000000002"/>
    <n v="0.36199999999999999"/>
    <n v="0.34599999999999997"/>
    <n v="0.38200000000000001"/>
    <n v="0.50700000000000001"/>
    <n v="0.59299999999999997"/>
    <n v="0.52500000000000002"/>
    <n v="0.42699999999999999"/>
    <n v="0.38200000000000001"/>
    <n v="0.34"/>
    <n v="0.35099999999999998"/>
    <n v="0.34599999999999997"/>
    <n v="0.34499999999999997"/>
    <n v="0.379"/>
    <n v="0.27700000000000002"/>
    <n v="14.678000000000001"/>
  </r>
  <r>
    <x v="1"/>
    <s v="PEST CONTROL"/>
    <s v="SC JOHNSON"/>
    <x v="3"/>
    <x v="0"/>
    <x v="3"/>
    <x v="10"/>
    <x v="3"/>
    <n v="96.655000000000001"/>
    <n v="99.62"/>
    <n v="99.85"/>
    <n v="99.897000000000006"/>
    <n v="99.915999999999997"/>
    <n v="99.840999999999994"/>
    <n v="99.284000000000006"/>
    <n v="97.587000000000003"/>
    <n v="94.802000000000007"/>
    <n v="78.933000000000007"/>
    <n v="76.700999999999993"/>
    <n v="83.703999999999994"/>
    <n v="90.561000000000007"/>
    <n v="98.057000000000002"/>
    <n v="99.626999999999995"/>
    <n v="99.400999999999996"/>
    <n v="99.784999999999997"/>
    <n v="99.814999999999998"/>
    <n v="99.725999999999999"/>
    <n v="99.378"/>
    <n v="97.542000000000002"/>
    <n v="93.617000000000004"/>
    <n v="89.016000000000005"/>
    <n v="88.566000000000003"/>
    <n v="90.8"/>
    <n v="97.057000000000002"/>
    <n v="98.638000000000005"/>
    <n v="99.647999999999996"/>
    <n v="99.656000000000006"/>
    <n v="99.111000000000004"/>
    <n v="99.236999999999995"/>
    <n v="99.358000000000004"/>
    <n v="98.207999999999998"/>
    <n v="92.924999999999997"/>
    <n v="87.814999999999998"/>
    <n v="81.125"/>
    <n v="89.753"/>
    <n v="0"/>
  </r>
  <r>
    <x v="1"/>
    <s v="PEST CONTROL"/>
    <s v="SC JOHNSON"/>
    <x v="3"/>
    <x v="0"/>
    <x v="3"/>
    <x v="10"/>
    <x v="4"/>
    <n v="90.723444799999996"/>
    <n v="96.582396900000006"/>
    <n v="97.205185900000004"/>
    <n v="97.597560900000005"/>
    <n v="95.886713400000005"/>
    <n v="95.897331800000003"/>
    <n v="95.249694700000006"/>
    <n v="93.072701899999998"/>
    <n v="87.188028099999997"/>
    <n v="59.760675499999998"/>
    <n v="53.094172899999997"/>
    <n v="65.172490199999999"/>
    <n v="76.957088999999996"/>
    <n v="89.494662500000004"/>
    <n v="93.469809999999995"/>
    <n v="93.588012599999999"/>
    <n v="95.040015400000001"/>
    <n v="94.752201900000003"/>
    <n v="94.746780200000003"/>
    <n v="93.859684999999999"/>
    <n v="91.426478299999999"/>
    <n v="82.7597272"/>
    <n v="74.675258900000003"/>
    <n v="72.943988500000003"/>
    <n v="77.236426600000001"/>
    <n v="90.564728500000001"/>
    <n v="93.489804500000005"/>
    <n v="94.428348600000007"/>
    <n v="94.305059099999994"/>
    <n v="92.5987267"/>
    <n v="93.3386833"/>
    <n v="93.686964500000002"/>
    <n v="91.9342477"/>
    <n v="80.464073299999995"/>
    <n v="69.056578500000001"/>
    <n v="59.117580699999998"/>
    <n v="74.118259199999997"/>
    <n v="89.753"/>
  </r>
  <r>
    <x v="1"/>
    <s v="PEST CONTROL"/>
    <s v="SC JOHNSON"/>
    <x v="3"/>
    <x v="0"/>
    <x v="3"/>
    <x v="1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118259199999997"/>
  </r>
  <r>
    <x v="1"/>
    <s v="PEST CONTROL"/>
    <s v="SC JOHNSON"/>
    <x v="4"/>
    <x v="6"/>
    <x v="3"/>
    <x v="0"/>
    <x v="0"/>
    <n v="1271.538"/>
    <n v="2382.3919999999998"/>
    <n v="3334.08"/>
    <n v="4343.875"/>
    <n v="6465.0709999999999"/>
    <n v="4951.3130000000001"/>
    <n v="4471.0820000000003"/>
    <n v="2474.6640000000002"/>
    <n v="1572.6880000000001"/>
    <n v="681.10299999999995"/>
    <n v="509.07799999999997"/>
    <n v="508.97199999999998"/>
    <n v="943.16099999999994"/>
    <n v="2271.3310000000001"/>
    <n v="3494.11"/>
    <n v="5357.8919999999998"/>
    <n v="6277.3630000000003"/>
    <n v="4440.1589999999997"/>
    <n v="4759.6710000000003"/>
    <n v="4155.4520000000002"/>
    <n v="2620.8989999999999"/>
    <n v="1442.193"/>
    <n v="876.68"/>
    <n v="852.13800000000003"/>
    <n v="1081.751"/>
    <n v="2243.7559999999999"/>
    <n v="3145.6959999999999"/>
    <n v="5381.2809999999999"/>
    <n v="7009.9059999999999"/>
    <n v="5234.9660000000003"/>
    <n v="5480.7439999999997"/>
    <n v="5428.4930000000004"/>
    <n v="2592.04"/>
    <n v="1012.768"/>
    <n v="615.39499999999998"/>
    <n v="656.88099999999997"/>
    <n v="1079.088"/>
    <n v="1079.088"/>
  </r>
  <r>
    <x v="1"/>
    <s v="PEST CONTROL"/>
    <s v="SC JOHNSON"/>
    <x v="4"/>
    <x v="6"/>
    <x v="3"/>
    <x v="0"/>
    <x v="1"/>
    <n v="238654.27600000001"/>
    <n v="432204.609"/>
    <n v="627973.42500000005"/>
    <n v="822948.77500000002"/>
    <n v="1199039.1470000001"/>
    <n v="914495.38600000006"/>
    <n v="799364.495"/>
    <n v="461453.36"/>
    <n v="293251.68699999998"/>
    <n v="126128.25"/>
    <n v="94308.751000000004"/>
    <n v="103961.92600000001"/>
    <n v="197072.22399999999"/>
    <n v="410469.69"/>
    <n v="632198.66200000001"/>
    <n v="950102.16"/>
    <n v="1077120.5090000001"/>
    <n v="790109.22499999998"/>
    <n v="845002.299"/>
    <n v="675418.49600000004"/>
    <n v="460182.76799999998"/>
    <n v="254985.06599999999"/>
    <n v="155583.22500000001"/>
    <n v="154296.269"/>
    <n v="199328.209"/>
    <n v="397561.14199999999"/>
    <n v="588926.03599999996"/>
    <n v="1032685.829"/>
    <n v="1304580.4350000001"/>
    <n v="991740.09499999997"/>
    <n v="985828.81299999997"/>
    <n v="975162.6"/>
    <n v="483539.40100000001"/>
    <n v="188819.788"/>
    <n v="114771.899"/>
    <n v="123509.102"/>
    <n v="205724.908"/>
    <n v="205724.908"/>
  </r>
  <r>
    <x v="1"/>
    <s v="PEST CONTROL"/>
    <s v="SC JOHNSON"/>
    <x v="4"/>
    <x v="6"/>
    <x v="3"/>
    <x v="0"/>
    <x v="2"/>
    <n v="2.831"/>
    <n v="2.7189999999999999"/>
    <n v="2.2749999999999999"/>
    <n v="2.3319999999999999"/>
    <n v="2.242"/>
    <n v="1.931"/>
    <n v="2.0750000000000002"/>
    <n v="1.863"/>
    <n v="2.274"/>
    <n v="2.3809999999999998"/>
    <n v="2.2130000000000001"/>
    <n v="2.0390000000000001"/>
    <n v="2.4009999999999998"/>
    <n v="3.18"/>
    <n v="2.69"/>
    <n v="2.6309999999999998"/>
    <n v="2.7290000000000001"/>
    <n v="2.0489999999999999"/>
    <n v="2.1509999999999998"/>
    <n v="2.706"/>
    <n v="2.7669999999999999"/>
    <n v="2.7160000000000002"/>
    <n v="2.7290000000000001"/>
    <n v="2.8570000000000002"/>
    <n v="3.3540000000000001"/>
    <n v="3.448"/>
    <n v="3.08"/>
    <n v="2.9860000000000002"/>
    <n v="2.7589999999999999"/>
    <n v="2.3610000000000002"/>
    <n v="2.2200000000000002"/>
    <n v="2.173"/>
    <n v="2.4910000000000001"/>
    <n v="2.012"/>
    <n v="2.1419999999999999"/>
    <n v="2.964"/>
    <n v="3.6160000000000001"/>
    <n v="0.55400000000000005"/>
  </r>
  <r>
    <x v="1"/>
    <s v="PEST CONTROL"/>
    <s v="SC JOHNSON"/>
    <x v="4"/>
    <x v="6"/>
    <x v="3"/>
    <x v="0"/>
    <x v="3"/>
    <n v="83.995000000000005"/>
    <n v="91.933000000000007"/>
    <n v="94.665000000000006"/>
    <n v="96.48"/>
    <n v="96.156000000000006"/>
    <n v="94.971999999999994"/>
    <n v="92.742000000000004"/>
    <n v="90.421000000000006"/>
    <n v="85.789000000000001"/>
    <n v="63.673999999999999"/>
    <n v="61.692999999999998"/>
    <n v="69.125"/>
    <n v="81.233999999999995"/>
    <n v="89.492000000000004"/>
    <n v="96.165999999999997"/>
    <n v="97.153999999999996"/>
    <n v="96.974000000000004"/>
    <n v="95.986999999999995"/>
    <n v="96.043999999999997"/>
    <n v="94.866"/>
    <n v="92.41"/>
    <n v="83.212000000000003"/>
    <n v="76.087000000000003"/>
    <n v="71.736000000000004"/>
    <n v="77.561999999999998"/>
    <n v="87.71"/>
    <n v="91.316999999999993"/>
    <n v="94.522000000000006"/>
    <n v="92.456000000000003"/>
    <n v="86.100999999999999"/>
    <n v="85.626000000000005"/>
    <n v="85.876999999999995"/>
    <n v="78.825999999999993"/>
    <n v="70.447999999999993"/>
    <n v="66.593000000000004"/>
    <n v="69.284000000000006"/>
    <n v="83.414000000000001"/>
    <n v="0"/>
  </r>
  <r>
    <x v="1"/>
    <s v="PEST CONTROL"/>
    <s v="SC JOHNSON"/>
    <x v="4"/>
    <x v="6"/>
    <x v="3"/>
    <x v="0"/>
    <x v="4"/>
    <n v="76.254236899999995"/>
    <n v="80.742738399999993"/>
    <n v="84.128250899999998"/>
    <n v="86.891399899999996"/>
    <n v="85.518356199999999"/>
    <n v="84.359154200000006"/>
    <n v="85.151489999999995"/>
    <n v="83.556578799999997"/>
    <n v="82.833534200000003"/>
    <n v="60.307755700000001"/>
    <n v="56.547117200000002"/>
    <n v="62.914290600000001"/>
    <n v="72.170597999999998"/>
    <n v="80.323472499999994"/>
    <n v="86.531598000000002"/>
    <n v="88.311196199999998"/>
    <n v="88.197570799999994"/>
    <n v="86.767094"/>
    <n v="87.215414100000004"/>
    <n v="84.795410599999997"/>
    <n v="84.654222599999997"/>
    <n v="73.813746699999996"/>
    <n v="70.706313699999995"/>
    <n v="65.031931499999999"/>
    <n v="73.052707499999997"/>
    <n v="82.237154000000004"/>
    <n v="83.653748199999995"/>
    <n v="83.035435699999994"/>
    <n v="82.547265600000003"/>
    <n v="77.014758599999993"/>
    <n v="75.490109000000004"/>
    <n v="72.703666100000007"/>
    <n v="66.797194000000005"/>
    <n v="56.787420400000002"/>
    <n v="56.578473199999998"/>
    <n v="57.258881199999998"/>
    <n v="65.223091400000001"/>
    <n v="83.414000000000001"/>
  </r>
  <r>
    <x v="1"/>
    <s v="PEST CONTROL"/>
    <s v="SC JOHNSON"/>
    <x v="4"/>
    <x v="6"/>
    <x v="3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223091400000001"/>
  </r>
  <r>
    <x v="2"/>
    <s v="PEST CONTROL"/>
    <s v="SC JOHNSON"/>
    <x v="0"/>
    <x v="0"/>
    <x v="0"/>
    <x v="0"/>
    <x v="0"/>
    <n v="10.137"/>
    <n v="8.9350000000000005"/>
    <n v="20.794"/>
    <n v="89.322000000000003"/>
    <n v="79.980999999999995"/>
    <n v="218.76499999999999"/>
    <n v="482.19"/>
    <n v="254.952"/>
    <n v="190.80799999999999"/>
    <n v="95.350999999999999"/>
    <n v="94.075999999999993"/>
    <n v="88.68"/>
    <n v="74.067999999999998"/>
    <n v="68.52"/>
    <n v="21.963000000000001"/>
    <n v="110.648"/>
    <n v="1.286"/>
    <n v="149.434"/>
    <n v="167.322"/>
    <n v="179.66900000000001"/>
    <n v="216.44300000000001"/>
    <n v="300.37"/>
    <n v="245.89699999999999"/>
    <n v="239.27799999999999"/>
    <n v="241.49"/>
    <n v="338.15800000000002"/>
    <n v="434.78899999999999"/>
    <n v="563.85599999999999"/>
    <n v="706.47799999999995"/>
    <n v="1144.393"/>
    <n v="294.76"/>
    <n v="451.28699999999998"/>
    <n v="710.88"/>
    <n v="268.42899999999997"/>
    <n v="182.125"/>
    <n v="24.219000000000001"/>
    <n v="80.728999999999999"/>
    <n v="80.728999999999999"/>
  </r>
  <r>
    <x v="2"/>
    <s v="PEST CONTROL"/>
    <s v="SC JOHNSON"/>
    <x v="0"/>
    <x v="0"/>
    <x v="0"/>
    <x v="0"/>
    <x v="1"/>
    <n v="1297.5509999999999"/>
    <n v="1143.636"/>
    <n v="2847.9459999999999"/>
    <n v="16333.216"/>
    <n v="16961.907999999999"/>
    <n v="41468.879000000001"/>
    <n v="87429.194000000003"/>
    <n v="44599.999000000003"/>
    <n v="33510.091999999997"/>
    <n v="16400.398000000001"/>
    <n v="16181.153"/>
    <n v="15798.062"/>
    <n v="13317.837"/>
    <n v="12192.744000000001"/>
    <n v="4645.4979999999996"/>
    <n v="19145.471000000001"/>
    <n v="248.14"/>
    <n v="20806.664000000001"/>
    <n v="29510.33"/>
    <n v="34314.661"/>
    <n v="36547.502"/>
    <n v="53324.15"/>
    <n v="41256.595999999998"/>
    <n v="39598.546000000002"/>
    <n v="39683.188999999998"/>
    <n v="55633.008999999998"/>
    <n v="71113.221999999994"/>
    <n v="89581.581000000006"/>
    <n v="121413.673"/>
    <n v="222317.84"/>
    <n v="68915.282000000007"/>
    <n v="94581.501999999993"/>
    <n v="163441.89199999999"/>
    <n v="68200.702000000005"/>
    <n v="45772.025999999998"/>
    <n v="5916.0680000000002"/>
    <n v="13810.499"/>
    <n v="13810.499"/>
  </r>
  <r>
    <x v="2"/>
    <s v="PEST CONTROL"/>
    <s v="SC JOHNSON"/>
    <x v="0"/>
    <x v="0"/>
    <x v="0"/>
    <x v="0"/>
    <x v="2"/>
    <n v="2.8000000000000001E-2"/>
    <n v="2.3E-2"/>
    <n v="4.1000000000000002E-2"/>
    <n v="0.13"/>
    <n v="0.10199999999999999"/>
    <n v="0.27900000000000003"/>
    <n v="0.64800000000000002"/>
    <n v="0.45200000000000001"/>
    <n v="0.37"/>
    <n v="0.23799999999999999"/>
    <n v="0.27100000000000002"/>
    <n v="0.27"/>
    <n v="0.22500000000000001"/>
    <n v="0.20100000000000001"/>
    <n v="5.5E-2"/>
    <n v="0.221"/>
    <n v="2E-3"/>
    <n v="0.30399999999999999"/>
    <n v="0.33"/>
    <n v="0.38400000000000001"/>
    <n v="0.52500000000000002"/>
    <n v="0.83399999999999996"/>
    <n v="0.82399999999999995"/>
    <n v="0.91900000000000004"/>
    <n v="0.82799999999999996"/>
    <n v="0.96699999999999997"/>
    <n v="1.071"/>
    <n v="1.054"/>
    <n v="1.1599999999999999"/>
    <n v="1.6819999999999999"/>
    <n v="0.36299999999999999"/>
    <n v="0.52500000000000002"/>
    <n v="0.98799999999999999"/>
    <n v="0.496"/>
    <n v="0.48399999999999999"/>
    <n v="0.10100000000000001"/>
    <n v="0.48599999999999999"/>
    <n v="0.13900000000000001"/>
  </r>
  <r>
    <x v="2"/>
    <s v="PEST CONTROL"/>
    <s v="SC JOHNSON"/>
    <x v="0"/>
    <x v="0"/>
    <x v="0"/>
    <x v="0"/>
    <x v="3"/>
    <n v="6.1920000000000002"/>
    <n v="4.702"/>
    <n v="3.508"/>
    <n v="4.3140000000000001"/>
    <n v="4.641"/>
    <n v="3.2829999999999999"/>
    <n v="14.077"/>
    <n v="14.164999999999999"/>
    <n v="15.686"/>
    <n v="19.997"/>
    <n v="19.227"/>
    <n v="24.184999999999999"/>
    <n v="27.097000000000001"/>
    <n v="26.850999999999999"/>
    <n v="26.809000000000001"/>
    <n v="18.318000000000001"/>
    <n v="4.0979999999999999"/>
    <n v="6.9"/>
    <n v="8.0890000000000004"/>
    <n v="9.1349999999999998"/>
    <n v="6.1749999999999998"/>
    <n v="7.1319999999999997"/>
    <n v="6.2489999999999997"/>
    <n v="3.2549999999999999"/>
    <n v="2.887"/>
    <n v="3.8559999999999999"/>
    <n v="4.3970000000000002"/>
    <n v="5.4989999999999997"/>
    <n v="7.4770000000000003"/>
    <n v="6.9029999999999996"/>
    <n v="2.7229999999999999"/>
    <n v="4.5990000000000002"/>
    <n v="16.666"/>
    <n v="14.547000000000001"/>
    <n v="18.116"/>
    <n v="18.626999999999999"/>
    <n v="24.062000000000001"/>
    <n v="964.90300000000002"/>
  </r>
  <r>
    <x v="2"/>
    <s v="PEST CONTROL"/>
    <s v="SC JOHNSON"/>
    <x v="0"/>
    <x v="0"/>
    <x v="0"/>
    <x v="0"/>
    <x v="4"/>
    <n v="0.49136819999999998"/>
    <n v="0.49129460000000003"/>
    <n v="0.49123899999999998"/>
    <n v="1.1330446000000001"/>
    <n v="1.1325373999999999"/>
    <n v="1.1525463"/>
    <n v="2.7372358999999999"/>
    <n v="1.9553160000000001"/>
    <n v="2.0270733000000001"/>
    <n v="1.7378027"/>
    <n v="1.7398585"/>
    <n v="1.7541640000000001"/>
    <n v="1.5730545"/>
    <n v="1.5499143"/>
    <n v="2.1998414999999998"/>
    <n v="2.6530916000000002"/>
    <n v="3.1461429000000001"/>
    <n v="4.7950356000000003"/>
    <n v="3.8354689"/>
    <n v="4.8109817000000001"/>
    <n v="4.3028822"/>
    <n v="4.3967229999999997"/>
    <n v="3.8781297000000001"/>
    <n v="4.1002675999999996"/>
    <n v="4.1194547000000004"/>
    <n v="4.2171196999999996"/>
    <n v="4.1918851999999998"/>
    <n v="4.4790576"/>
    <n v="5.0743751000000001"/>
    <n v="4.7056959000000003"/>
    <n v="1.8032520000000001"/>
    <n v="2.0392845999999998"/>
    <n v="3.1886868000000002"/>
    <n v="3.4017590000000002"/>
    <n v="3.3099821999999999"/>
    <n v="3.7022377"/>
    <n v="3.5110888999999998"/>
    <n v="24.062000000000001"/>
  </r>
  <r>
    <x v="2"/>
    <s v="PEST CONTROL"/>
    <s v="SC JOHNSON"/>
    <x v="0"/>
    <x v="0"/>
    <x v="0"/>
    <x v="0"/>
    <x v="5"/>
    <n v="9.4E-2"/>
    <n v="0.1"/>
    <n v="7.6999999999999999E-2"/>
    <n v="0.26500000000000001"/>
    <n v="0.26700000000000002"/>
    <n v="0.39700000000000002"/>
    <n v="0.68500000000000005"/>
    <n v="0.47199999999999998"/>
    <n v="0.16500000000000001"/>
    <n v="0.187"/>
    <n v="0.38200000000000001"/>
    <n v="0.374"/>
    <n v="0.34799999999999998"/>
    <n v="0.376"/>
    <n v="0.39100000000000001"/>
    <n v="0.24399999999999999"/>
    <n v="0.86499999999999999"/>
    <n v="0.82299999999999995"/>
    <n v="0.73499999999999999"/>
    <n v="1.867"/>
    <n v="1.738"/>
    <n v="1.2130000000000001"/>
    <n v="1.484"/>
    <n v="1.4830000000000001"/>
    <n v="1.2410000000000001"/>
    <n v="0.83899999999999997"/>
    <n v="0.622"/>
    <n v="0.66"/>
    <n v="1.0129999999999999"/>
    <n v="0.33800000000000002"/>
    <n v="0.54900000000000004"/>
    <n v="0.61899999999999999"/>
    <n v="2.1440000000000001"/>
    <n v="2.6059999999999999"/>
    <n v="2.7839999999999998"/>
    <n v="3.109"/>
    <n v="2.4049999999999998"/>
    <n v="3.5110888999999998"/>
  </r>
  <r>
    <x v="2"/>
    <s v="PEST CONTROL"/>
    <s v="SC JOHNSON"/>
    <x v="0"/>
    <x v="0"/>
    <x v="0"/>
    <x v="1"/>
    <x v="0"/>
    <n v="0"/>
    <n v="0"/>
    <n v="0"/>
    <n v="0"/>
    <n v="18.728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0"/>
    <x v="0"/>
    <x v="0"/>
    <x v="1"/>
    <x v="1"/>
    <n v="0"/>
    <n v="0"/>
    <n v="0"/>
    <n v="0"/>
    <n v="2041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0"/>
    <x v="0"/>
    <x v="0"/>
    <x v="1"/>
    <x v="2"/>
    <n v="0"/>
    <n v="0"/>
    <n v="0"/>
    <n v="0"/>
    <n v="8.9999999999999993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0"/>
    <x v="0"/>
    <x v="0"/>
    <x v="1"/>
    <x v="3"/>
    <n v="1.7969999999999999"/>
    <n v="1.556"/>
    <n v="0.40500000000000003"/>
    <n v="1.752"/>
    <n v="1.552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0"/>
    <x v="0"/>
    <x v="0"/>
    <x v="1"/>
    <x v="4"/>
    <n v="8.8944200000000001E-2"/>
    <n v="8.8930899999999993E-2"/>
    <n v="8.8920799999999994E-2"/>
    <n v="0.1116654"/>
    <n v="0.1116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0"/>
    <x v="0"/>
    <x v="0"/>
    <x v="1"/>
    <x v="5"/>
    <n v="3.3000000000000002E-2"/>
    <n v="3.5000000000000003E-2"/>
    <n v="2.9000000000000001E-2"/>
    <n v="3.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0"/>
    <x v="0"/>
    <x v="1"/>
    <x v="0"/>
    <x v="0"/>
    <n v="376.12200000000001"/>
    <n v="526.94000000000005"/>
    <n v="783.35299999999995"/>
    <n v="896.60699999999997"/>
    <n v="2109.21"/>
    <n v="2250.5540000000001"/>
    <n v="1658.5550000000001"/>
    <n v="1415.4659999999999"/>
    <n v="844.61800000000005"/>
    <n v="638.97500000000002"/>
    <n v="578.73099999999999"/>
    <n v="547.36199999999997"/>
    <n v="624.45000000000005"/>
    <n v="573.298"/>
    <n v="809.654"/>
    <n v="1216.1769999999999"/>
    <n v="1595.3989999999999"/>
    <n v="1799.8979999999999"/>
    <n v="1990.6579999999999"/>
    <n v="1772.5530000000001"/>
    <n v="1190.633"/>
    <n v="773.44"/>
    <n v="488.91399999999999"/>
    <n v="477.40800000000002"/>
    <n v="417.09300000000002"/>
    <n v="550.27099999999996"/>
    <n v="402.75299999999999"/>
    <n v="804.45899999999995"/>
    <n v="2379.6889999999999"/>
    <n v="3136.0650000000001"/>
    <n v="5691.2830000000004"/>
    <n v="6316.5940000000001"/>
    <n v="3532.7539999999999"/>
    <n v="1925.144"/>
    <n v="734.23800000000006"/>
    <n v="219.62799999999999"/>
    <n v="242.76599999999999"/>
    <n v="242.76599999999999"/>
  </r>
  <r>
    <x v="2"/>
    <s v="PEST CONTROL"/>
    <s v="SC JOHNSON"/>
    <x v="0"/>
    <x v="0"/>
    <x v="1"/>
    <x v="0"/>
    <x v="1"/>
    <n v="119337.40700000001"/>
    <n v="165552.989"/>
    <n v="238340.35399999999"/>
    <n v="262636.52399999998"/>
    <n v="575592.94799999997"/>
    <n v="624197.72"/>
    <n v="463470.07199999999"/>
    <n v="393119.32799999998"/>
    <n v="242805.97899999999"/>
    <n v="172415.74299999999"/>
    <n v="155994.79"/>
    <n v="148483.48699999999"/>
    <n v="156646.77100000001"/>
    <n v="144191.1"/>
    <n v="202852.91399999999"/>
    <n v="330593.092"/>
    <n v="425645.09399999998"/>
    <n v="486527.45799999998"/>
    <n v="531308.34199999995"/>
    <n v="441291.68"/>
    <n v="313385.24599999998"/>
    <n v="191978.86300000001"/>
    <n v="99206.607000000004"/>
    <n v="103021.361"/>
    <n v="78857.415999999997"/>
    <n v="115286.27899999999"/>
    <n v="116134.545"/>
    <n v="264005.93199999997"/>
    <n v="831042.85800000001"/>
    <n v="1021687.67"/>
    <n v="1917829.0619999999"/>
    <n v="2398857.66"/>
    <n v="1415907.767"/>
    <n v="728681.826"/>
    <n v="270397.04399999999"/>
    <n v="66446.248000000007"/>
    <n v="66011.468999999997"/>
    <n v="66011.468999999997"/>
  </r>
  <r>
    <x v="2"/>
    <s v="PEST CONTROL"/>
    <s v="SC JOHNSON"/>
    <x v="0"/>
    <x v="0"/>
    <x v="1"/>
    <x v="0"/>
    <x v="2"/>
    <n v="1.0409999999999999"/>
    <n v="1.3340000000000001"/>
    <n v="1.58"/>
    <n v="1.3009999999999999"/>
    <n v="2.714"/>
    <n v="2.899"/>
    <n v="2.2509999999999999"/>
    <n v="2.548"/>
    <n v="1.655"/>
    <n v="1.603"/>
    <n v="1.68"/>
    <n v="1.68"/>
    <n v="1.91"/>
    <n v="1.6910000000000001"/>
    <n v="2.0539999999999998"/>
    <n v="2.5089999999999999"/>
    <n v="3.2970000000000002"/>
    <n v="3.8"/>
    <n v="4.056"/>
    <n v="3.843"/>
    <n v="2.9710000000000001"/>
    <n v="2.2789999999999999"/>
    <n v="1.8169999999999999"/>
    <n v="2.0659999999999998"/>
    <n v="1.69"/>
    <n v="1.5649999999999999"/>
    <n v="0.97499999999999998"/>
    <n v="1.4570000000000001"/>
    <n v="3.73"/>
    <n v="4.4889999999999999"/>
    <n v="6.9240000000000004"/>
    <n v="7.3049999999999997"/>
    <n v="4.9180000000000001"/>
    <n v="3.5640000000000001"/>
    <n v="1.9630000000000001"/>
    <n v="0.91800000000000004"/>
    <n v="1.472"/>
    <n v="0.41899999999999998"/>
  </r>
  <r>
    <x v="2"/>
    <s v="PEST CONTROL"/>
    <s v="SC JOHNSON"/>
    <x v="0"/>
    <x v="0"/>
    <x v="1"/>
    <x v="0"/>
    <x v="3"/>
    <n v="55.287999999999997"/>
    <n v="47.902000000000001"/>
    <n v="51.524000000000001"/>
    <n v="56.064"/>
    <n v="63.088000000000001"/>
    <n v="60.036000000000001"/>
    <n v="69.495999999999995"/>
    <n v="65.459000000000003"/>
    <n v="65.128"/>
    <n v="58.795000000000002"/>
    <n v="66.052999999999997"/>
    <n v="69.727000000000004"/>
    <n v="40.923999999999999"/>
    <n v="45.433999999999997"/>
    <n v="51.302999999999997"/>
    <n v="44.387"/>
    <n v="45.79"/>
    <n v="49.497999999999998"/>
    <n v="54.637"/>
    <n v="50.015000000000001"/>
    <n v="47.3"/>
    <n v="39.472000000000001"/>
    <n v="35.496000000000002"/>
    <n v="35.851999999999997"/>
    <n v="30.753"/>
    <n v="35.756"/>
    <n v="27.405999999999999"/>
    <n v="38.866999999999997"/>
    <n v="46.67"/>
    <n v="40.362000000000002"/>
    <n v="56.320999999999998"/>
    <n v="57.621000000000002"/>
    <n v="46.454999999999998"/>
    <n v="35.21"/>
    <n v="28.094000000000001"/>
    <n v="27.12"/>
    <n v="21.193999999999999"/>
    <n v="948.43700000000001"/>
  </r>
  <r>
    <x v="2"/>
    <s v="PEST CONTROL"/>
    <s v="SC JOHNSON"/>
    <x v="0"/>
    <x v="0"/>
    <x v="1"/>
    <x v="0"/>
    <x v="4"/>
    <n v="12.779726999999999"/>
    <n v="13.268064000000001"/>
    <n v="14.561276100000001"/>
    <n v="14.3811733"/>
    <n v="16.313566300000002"/>
    <n v="14.806216900000001"/>
    <n v="15.771735400000001"/>
    <n v="16.554558799999999"/>
    <n v="15.363746600000001"/>
    <n v="13.1115061"/>
    <n v="13.6987159"/>
    <n v="13.7720351"/>
    <n v="13.1885601"/>
    <n v="12.857375899999999"/>
    <n v="13.972851"/>
    <n v="13.6986568"/>
    <n v="14.946759399999999"/>
    <n v="14.656378200000001"/>
    <n v="14.650674"/>
    <n v="13.701942799999999"/>
    <n v="13.344686599999999"/>
    <n v="12.525893"/>
    <n v="11.3957879"/>
    <n v="12.0752665"/>
    <n v="12.5792465"/>
    <n v="11.667634400000001"/>
    <n v="13.409091200000001"/>
    <n v="14.7056956"/>
    <n v="17.329945800000001"/>
    <n v="16.370488600000002"/>
    <n v="18.5016721"/>
    <n v="16.439889099999998"/>
    <n v="15.739491900000001"/>
    <n v="14.445040000000001"/>
    <n v="6.7436043999999997"/>
    <n v="6.7041428999999999"/>
    <n v="6.9137713999999999"/>
    <n v="21.193999999999999"/>
  </r>
  <r>
    <x v="2"/>
    <s v="PEST CONTROL"/>
    <s v="SC JOHNSON"/>
    <x v="0"/>
    <x v="0"/>
    <x v="1"/>
    <x v="0"/>
    <x v="5"/>
    <n v="5.57"/>
    <n v="5.5229999999999997"/>
    <n v="5.4009999999999998"/>
    <n v="4.7869999999999999"/>
    <n v="5.4550000000000001"/>
    <n v="4.6900000000000004"/>
    <n v="3.86"/>
    <n v="2.9159999999999999"/>
    <n v="2.2989999999999999"/>
    <n v="2.9079999999999999"/>
    <n v="3.0920000000000001"/>
    <n v="3.5830000000000002"/>
    <n v="3.371"/>
    <n v="4.3470000000000004"/>
    <n v="3.25"/>
    <n v="5.0890000000000004"/>
    <n v="4.9800000000000004"/>
    <n v="4.891"/>
    <n v="5.0890000000000004"/>
    <n v="4.9029999999999996"/>
    <n v="3.98"/>
    <n v="3.0760000000000001"/>
    <n v="3.5710000000000002"/>
    <n v="3.573"/>
    <n v="3.3969999999999998"/>
    <n v="3.0369999999999999"/>
    <n v="3.347"/>
    <n v="3.5"/>
    <n v="3.589"/>
    <n v="3.5329999999999999"/>
    <n v="4.2350000000000003"/>
    <n v="2.956"/>
    <n v="3.6190000000000002"/>
    <n v="1.859"/>
    <n v="1.661"/>
    <n v="1.6"/>
    <n v="2.363"/>
    <n v="6.9137713999999999"/>
  </r>
  <r>
    <x v="2"/>
    <s v="PEST CONTROL"/>
    <s v="SC JOHNSON"/>
    <x v="0"/>
    <x v="0"/>
    <x v="1"/>
    <x v="12"/>
    <x v="0"/>
    <n v="0"/>
    <n v="0"/>
    <n v="0"/>
    <n v="0"/>
    <n v="0"/>
    <n v="0"/>
    <n v="0"/>
    <n v="36.854999999999997"/>
    <n v="40.247999999999998"/>
    <n v="26.161000000000001"/>
    <n v="0"/>
    <n v="0"/>
    <n v="0"/>
    <n v="0"/>
    <n v="0"/>
    <n v="0"/>
    <n v="0"/>
    <n v="1"/>
    <n v="22.279"/>
    <n v="0"/>
    <n v="0"/>
    <n v="0"/>
    <n v="0"/>
    <n v="0"/>
    <n v="0"/>
    <n v="0"/>
    <n v="0"/>
    <n v="11.757999999999999"/>
    <n v="21.311"/>
    <n v="27.838000000000001"/>
    <n v="66.131"/>
    <n v="75.891000000000005"/>
    <n v="55.424999999999997"/>
    <n v="49.758000000000003"/>
    <n v="55.796999999999997"/>
    <n v="57.720999999999997"/>
    <n v="45"/>
    <n v="45"/>
  </r>
  <r>
    <x v="2"/>
    <s v="PEST CONTROL"/>
    <s v="SC JOHNSON"/>
    <x v="0"/>
    <x v="0"/>
    <x v="1"/>
    <x v="12"/>
    <x v="1"/>
    <n v="0"/>
    <n v="0"/>
    <n v="0"/>
    <n v="0"/>
    <n v="0"/>
    <n v="0"/>
    <n v="0"/>
    <n v="14705.066000000001"/>
    <n v="16058.865"/>
    <n v="10438.262000000001"/>
    <n v="0"/>
    <n v="0"/>
    <n v="0"/>
    <n v="0"/>
    <n v="0"/>
    <n v="0"/>
    <n v="0"/>
    <n v="423"/>
    <n v="7129.335"/>
    <n v="0"/>
    <n v="0"/>
    <n v="0"/>
    <n v="0"/>
    <n v="0"/>
    <n v="0"/>
    <n v="0"/>
    <n v="0"/>
    <n v="4515.0339999999997"/>
    <n v="8183.5780000000004"/>
    <n v="10689.823"/>
    <n v="25394.134999999998"/>
    <n v="29457.932000000001"/>
    <n v="21548.831999999999"/>
    <n v="19128.743999999999"/>
    <n v="21426.094000000001"/>
    <n v="22164.71"/>
    <n v="17280"/>
    <n v="17280"/>
  </r>
  <r>
    <x v="2"/>
    <s v="PEST CONTROL"/>
    <s v="SC JOHNSON"/>
    <x v="0"/>
    <x v="0"/>
    <x v="1"/>
    <x v="12"/>
    <x v="2"/>
    <n v="0"/>
    <n v="0"/>
    <n v="0"/>
    <n v="0"/>
    <n v="0"/>
    <n v="0"/>
    <n v="0"/>
    <n v="0.04"/>
    <n v="4.7E-2"/>
    <n v="0.04"/>
    <n v="0"/>
    <n v="0"/>
    <n v="0"/>
    <n v="0"/>
    <n v="0"/>
    <n v="0"/>
    <n v="0"/>
    <n v="1E-3"/>
    <n v="2.5999999999999999E-2"/>
    <n v="0"/>
    <n v="0"/>
    <n v="0"/>
    <n v="0"/>
    <n v="0"/>
    <n v="0"/>
    <n v="0"/>
    <n v="0"/>
    <n v="1.2999999999999999E-2"/>
    <n v="0.02"/>
    <n v="2.3E-2"/>
    <n v="4.8000000000000001E-2"/>
    <n v="5.1999999999999998E-2"/>
    <n v="4.4999999999999998E-2"/>
    <n v="5.3999999999999999E-2"/>
    <n v="8.6999999999999994E-2"/>
    <n v="0.14099999999999999"/>
    <n v="0.16400000000000001"/>
    <n v="7.8E-2"/>
  </r>
  <r>
    <x v="2"/>
    <s v="PEST CONTROL"/>
    <s v="SC JOHNSON"/>
    <x v="0"/>
    <x v="0"/>
    <x v="1"/>
    <x v="12"/>
    <x v="3"/>
    <n v="10.042999999999999"/>
    <n v="7.6319999999999997"/>
    <n v="6.6639999999999997"/>
    <n v="9.0350000000000001"/>
    <n v="7.508"/>
    <n v="7.6920000000000002"/>
    <n v="8.11"/>
    <n v="7.1589999999999998"/>
    <n v="9.859"/>
    <n v="3.6339999999999999"/>
    <n v="0"/>
    <n v="0"/>
    <n v="0"/>
    <n v="0"/>
    <n v="0"/>
    <n v="7.984"/>
    <n v="7.9880000000000004"/>
    <n v="6.5170000000000003"/>
    <n v="8.4930000000000003"/>
    <n v="0"/>
    <n v="0"/>
    <n v="0"/>
    <n v="0"/>
    <n v="0"/>
    <n v="0"/>
    <n v="0"/>
    <n v="0"/>
    <n v="2.069"/>
    <n v="2.165"/>
    <n v="2.4020000000000001"/>
    <n v="3.0009999999999999"/>
    <n v="2.6459999999999999"/>
    <n v="3.4540000000000002"/>
    <n v="4.0529999999999999"/>
    <n v="5.1420000000000003"/>
    <n v="7.52"/>
    <n v="8.7669999999999995"/>
    <n v="0"/>
  </r>
  <r>
    <x v="2"/>
    <s v="PEST CONTROL"/>
    <s v="SC JOHNSON"/>
    <x v="0"/>
    <x v="0"/>
    <x v="1"/>
    <x v="12"/>
    <x v="4"/>
    <n v="0.13341049999999999"/>
    <n v="0.1333905"/>
    <n v="0.13337540000000001"/>
    <n v="0.24257500000000001"/>
    <n v="0.2424664"/>
    <n v="0.2424663"/>
    <n v="0.24246619999999999"/>
    <n v="0.24246609999999999"/>
    <n v="0.2506157"/>
    <n v="0.25058859999999999"/>
    <n v="0"/>
    <n v="0"/>
    <n v="0"/>
    <n v="0"/>
    <n v="0"/>
    <n v="0.25191429999999998"/>
    <n v="0.25190610000000002"/>
    <n v="0.26362059999999998"/>
    <n v="0.25190410000000002"/>
    <n v="0"/>
    <n v="0"/>
    <n v="0"/>
    <n v="0"/>
    <n v="0"/>
    <n v="0"/>
    <n v="0"/>
    <n v="0"/>
    <n v="0.13328509999999999"/>
    <n v="0.1332518"/>
    <n v="0.1205874"/>
    <n v="0.1205273"/>
    <n v="0.13308229999999999"/>
    <n v="0.13308220000000001"/>
    <n v="0.13308229999999999"/>
    <n v="0.12052640000000001"/>
    <n v="0.11788559999999999"/>
    <n v="0.1178473"/>
    <n v="8.7669999999999995"/>
  </r>
  <r>
    <x v="2"/>
    <s v="PEST CONTROL"/>
    <s v="SC JOHNSON"/>
    <x v="0"/>
    <x v="0"/>
    <x v="1"/>
    <x v="12"/>
    <x v="5"/>
    <n v="0.27200000000000002"/>
    <n v="0.29099999999999998"/>
    <n v="0.23699999999999999"/>
    <n v="0.372"/>
    <n v="0.39800000000000002"/>
    <n v="0.41199999999999998"/>
    <n v="0.39300000000000002"/>
    <n v="7.8E-2"/>
    <n v="0"/>
    <n v="0"/>
    <n v="0"/>
    <n v="0"/>
    <n v="0"/>
    <n v="0"/>
    <n v="0"/>
    <n v="4.2000000000000003E-2"/>
    <n v="4.2000000000000003E-2"/>
    <n v="4.1000000000000002E-2"/>
    <n v="0"/>
    <n v="0"/>
    <n v="0"/>
    <n v="0"/>
    <n v="0"/>
    <n v="0"/>
    <n v="0"/>
    <n v="0"/>
    <n v="0"/>
    <n v="0.02"/>
    <n v="2.1000000000000001E-2"/>
    <n v="1.9E-2"/>
    <n v="2.1999999999999999E-2"/>
    <n v="2.1999999999999999E-2"/>
    <n v="2.4E-2"/>
    <n v="2.4E-2"/>
    <n v="2.5999999999999999E-2"/>
    <n v="0"/>
    <n v="0"/>
    <n v="0.1178473"/>
  </r>
  <r>
    <x v="2"/>
    <s v="PEST CONTROL"/>
    <s v="SC JOHNSON"/>
    <x v="0"/>
    <x v="0"/>
    <x v="1"/>
    <x v="2"/>
    <x v="0"/>
    <n v="0"/>
    <n v="0"/>
    <n v="0"/>
    <n v="0"/>
    <n v="1"/>
    <n v="46.738999999999997"/>
    <n v="258.75799999999998"/>
    <n v="161.767"/>
    <n v="106.337"/>
    <n v="92.984999999999999"/>
    <n v="79.057000000000002"/>
    <n v="27.963999999999999"/>
    <n v="0"/>
    <n v="0"/>
    <n v="0"/>
    <n v="68.084999999999994"/>
    <n v="148.79300000000001"/>
    <n v="148.78100000000001"/>
    <n v="285.72500000000002"/>
    <n v="105.06699999999999"/>
    <n v="234.601"/>
    <n v="0"/>
    <n v="1"/>
    <n v="36.606000000000002"/>
    <n v="30.69"/>
    <n v="37.741999999999997"/>
    <n v="33.337000000000003"/>
    <n v="132.51599999999999"/>
    <n v="167.19300000000001"/>
    <n v="42.524000000000001"/>
    <n v="108.994"/>
    <n v="16.419"/>
    <n v="167.21299999999999"/>
    <n v="73.733000000000004"/>
    <n v="4.0330000000000004"/>
    <n v="0"/>
    <n v="0"/>
    <n v="0"/>
  </r>
  <r>
    <x v="2"/>
    <s v="PEST CONTROL"/>
    <s v="SC JOHNSON"/>
    <x v="0"/>
    <x v="0"/>
    <x v="1"/>
    <x v="2"/>
    <x v="1"/>
    <n v="0"/>
    <n v="0"/>
    <n v="0"/>
    <n v="0"/>
    <n v="463"/>
    <n v="17666.003000000001"/>
    <n v="81558.81"/>
    <n v="47124.675999999999"/>
    <n v="28389.564999999999"/>
    <n v="24107.824000000001"/>
    <n v="21094.55"/>
    <n v="5732.6949999999997"/>
    <n v="0"/>
    <n v="0"/>
    <n v="0"/>
    <n v="23350.133999999998"/>
    <n v="53333.216999999997"/>
    <n v="53049.841999999997"/>
    <n v="99531.069000000003"/>
    <n v="30232.06"/>
    <n v="90764.294999999998"/>
    <n v="0"/>
    <n v="431"/>
    <n v="7504.2280000000001"/>
    <n v="7365.72"/>
    <n v="15172.44"/>
    <n v="6834.1540000000005"/>
    <n v="35610.957000000002"/>
    <n v="43395.987000000001"/>
    <n v="9155.1730000000007"/>
    <n v="31125.263999999999"/>
    <n v="5764.37"/>
    <n v="51752.993000000002"/>
    <n v="19439.845000000001"/>
    <n v="1309.42"/>
    <n v="0"/>
    <n v="0"/>
    <n v="0"/>
  </r>
  <r>
    <x v="2"/>
    <s v="PEST CONTROL"/>
    <s v="SC JOHNSON"/>
    <x v="0"/>
    <x v="0"/>
    <x v="1"/>
    <x v="2"/>
    <x v="2"/>
    <n v="0"/>
    <n v="0"/>
    <n v="0"/>
    <n v="0"/>
    <n v="2E-3"/>
    <n v="7.1999999999999995E-2"/>
    <n v="0.42099999999999999"/>
    <n v="0.34699999999999998"/>
    <n v="0.25"/>
    <n v="0.28100000000000003"/>
    <n v="0.27600000000000002"/>
    <n v="0.10299999999999999"/>
    <n v="0"/>
    <n v="0"/>
    <n v="0"/>
    <n v="0.16500000000000001"/>
    <n v="0.33900000000000002"/>
    <n v="0.34599999999999997"/>
    <n v="0.64400000000000002"/>
    <n v="0.251"/>
    <n v="0.66700000000000004"/>
    <n v="0"/>
    <n v="2E-3"/>
    <n v="0.16400000000000001"/>
    <n v="0.123"/>
    <n v="0.111"/>
    <n v="9.5000000000000001E-2"/>
    <n v="0.27500000000000002"/>
    <n v="0.3"/>
    <n v="7.0999999999999994E-2"/>
    <n v="0.14699999999999999"/>
    <n v="2.1999999999999999E-2"/>
    <n v="0.24"/>
    <n v="0.151"/>
    <n v="1.0999999999999999E-2"/>
    <n v="0"/>
    <n v="0"/>
    <n v="0"/>
  </r>
  <r>
    <x v="2"/>
    <s v="PEST CONTROL"/>
    <s v="SC JOHNSON"/>
    <x v="0"/>
    <x v="0"/>
    <x v="1"/>
    <x v="2"/>
    <x v="3"/>
    <n v="0"/>
    <n v="0"/>
    <n v="0"/>
    <n v="2.4E-2"/>
    <n v="9.5000000000000001E-2"/>
    <n v="0.879"/>
    <n v="1.9059999999999999"/>
    <n v="1.2110000000000001"/>
    <n v="0.67600000000000005"/>
    <n v="0.75700000000000001"/>
    <n v="1.2310000000000001"/>
    <n v="0.223"/>
    <n v="0.05"/>
    <n v="1.1339999999999999"/>
    <n v="0.64500000000000002"/>
    <n v="9.3699999999999992"/>
    <n v="10.683"/>
    <n v="8.8940000000000001"/>
    <n v="12.425000000000001"/>
    <n v="8.5570000000000004"/>
    <n v="11.802"/>
    <n v="5.52"/>
    <n v="4.8929999999999998"/>
    <n v="6.3979999999999997"/>
    <n v="5.0179999999999998"/>
    <n v="13.000999999999999"/>
    <n v="0.67500000000000004"/>
    <n v="7.641"/>
    <n v="7.444"/>
    <n v="5.2439999999999998"/>
    <n v="4.9930000000000003"/>
    <n v="1.413"/>
    <n v="2.2090000000000001"/>
    <n v="1.4750000000000001"/>
    <n v="0.372"/>
    <n v="0"/>
    <n v="0.30599999999999999"/>
    <n v="46.454999999999998"/>
  </r>
  <r>
    <x v="2"/>
    <s v="PEST CONTROL"/>
    <s v="SC JOHNSON"/>
    <x v="0"/>
    <x v="0"/>
    <x v="1"/>
    <x v="2"/>
    <x v="4"/>
    <n v="7.9547499999999993E-2"/>
    <n v="7.9535499999999995E-2"/>
    <n v="7.95265E-2"/>
    <n v="6.9307099999999996E-2"/>
    <n v="0.55805369999999999"/>
    <n v="0.84926710000000005"/>
    <n v="1.1263711000000001"/>
    <n v="1.0972515"/>
    <n v="1.3358401"/>
    <n v="1.3356954999999999"/>
    <n v="1.3261476000000001"/>
    <n v="1.8089219000000001"/>
    <n v="1.8087605"/>
    <n v="2.4363402000000001"/>
    <n v="2.2176089999999999"/>
    <n v="2.5121953000000001"/>
    <n v="2.5060905999999998"/>
    <n v="2.4943544000000002"/>
    <n v="2.6460127"/>
    <n v="2.2136277999999998"/>
    <n v="2.2249443000000002"/>
    <n v="1.5700817"/>
    <n v="1.6436512000000001"/>
    <n v="2.3108355999999999"/>
    <n v="2.2912387999999999"/>
    <n v="1.810341"/>
    <n v="1.7155237000000001"/>
    <n v="1.9431875999999999"/>
    <n v="1.9427026999999999"/>
    <n v="2.1228400999999999"/>
    <n v="2.1217831"/>
    <n v="1.6315131"/>
    <n v="1.6553666"/>
    <n v="1.6804777"/>
    <n v="0.97237209999999996"/>
    <n v="0.85401590000000005"/>
    <n v="0.85373790000000005"/>
    <n v="0.30599999999999999"/>
  </r>
  <r>
    <x v="2"/>
    <s v="PEST CONTROL"/>
    <s v="SC JOHNSON"/>
    <x v="0"/>
    <x v="0"/>
    <x v="1"/>
    <x v="2"/>
    <x v="5"/>
    <n v="1.4999999999999999E-2"/>
    <n v="1.6E-2"/>
    <n v="1.2999999999999999E-2"/>
    <n v="0.01"/>
    <n v="0.32300000000000001"/>
    <n v="0.32400000000000001"/>
    <n v="0.36499999999999999"/>
    <n v="0.433"/>
    <n v="0.53500000000000003"/>
    <n v="0.92100000000000004"/>
    <n v="0.89800000000000002"/>
    <n v="1.044"/>
    <n v="0.97399999999999998"/>
    <n v="1.4590000000000001"/>
    <n v="1.4039999999999999"/>
    <n v="1.4770000000000001"/>
    <n v="1.74"/>
    <n v="1.556"/>
    <n v="0.93"/>
    <n v="0.93600000000000005"/>
    <n v="0.91600000000000004"/>
    <n v="0.53500000000000003"/>
    <n v="0.56499999999999995"/>
    <n v="0.61499999999999999"/>
    <n v="0.56899999999999995"/>
    <n v="0.38600000000000001"/>
    <n v="0.32800000000000001"/>
    <n v="0.50700000000000001"/>
    <n v="0.28699999999999998"/>
    <n v="0.29099999999999998"/>
    <n v="0.20499999999999999"/>
    <n v="0.21199999999999999"/>
    <n v="0.216"/>
    <n v="0.109"/>
    <n v="0.11799999999999999"/>
    <n v="0.127"/>
    <n v="0.11600000000000001"/>
    <n v="0.85373790000000005"/>
  </r>
  <r>
    <x v="2"/>
    <s v="PEST CONTROL"/>
    <s v="SC JOHNSON"/>
    <x v="0"/>
    <x v="0"/>
    <x v="1"/>
    <x v="3"/>
    <x v="0"/>
    <n v="2140.7820000000002"/>
    <n v="2145.694"/>
    <n v="2993.4490000000001"/>
    <n v="2498.654"/>
    <n v="4002.7950000000001"/>
    <n v="3497.6460000000002"/>
    <n v="2589.9169999999999"/>
    <n v="1515.183"/>
    <n v="1274.2729999999999"/>
    <n v="864.41800000000001"/>
    <n v="758.63199999999995"/>
    <n v="617.83000000000004"/>
    <n v="652.43799999999999"/>
    <n v="591.90700000000004"/>
    <n v="894.49"/>
    <n v="1392.393"/>
    <n v="1842.875"/>
    <n v="2314.2460000000001"/>
    <n v="2273.23"/>
    <n v="1664.2260000000001"/>
    <n v="1288.453"/>
    <n v="1162.8130000000001"/>
    <n v="979.505"/>
    <n v="794.78399999999999"/>
    <n v="654.59"/>
    <n v="1119.2180000000001"/>
    <n v="1111.252"/>
    <n v="2323.8029999999999"/>
    <n v="4109.7979999999998"/>
    <n v="6359.0659999999998"/>
    <n v="7210.6170000000002"/>
    <n v="6276.3249999999998"/>
    <n v="4354.5439999999999"/>
    <n v="2852.4380000000001"/>
    <n v="2626.1460000000002"/>
    <n v="1561.8510000000001"/>
    <n v="815.89700000000005"/>
    <n v="815.89700000000005"/>
  </r>
  <r>
    <x v="2"/>
    <s v="PEST CONTROL"/>
    <s v="SC JOHNSON"/>
    <x v="0"/>
    <x v="0"/>
    <x v="1"/>
    <x v="3"/>
    <x v="1"/>
    <n v="206385.56599999999"/>
    <n v="225871.40400000001"/>
    <n v="343703.61300000001"/>
    <n v="302971.99599999998"/>
    <n v="519723.69799999997"/>
    <n v="410032.88"/>
    <n v="301289.63"/>
    <n v="187050.80600000001"/>
    <n v="164208.34"/>
    <n v="106675.31600000001"/>
    <n v="98921.827000000005"/>
    <n v="80983.206999999995"/>
    <n v="81443.929999999993"/>
    <n v="76180.566000000006"/>
    <n v="128402.008"/>
    <n v="191573.74100000001"/>
    <n v="270329.38099999999"/>
    <n v="310031.929"/>
    <n v="314212.66399999999"/>
    <n v="211733.641"/>
    <n v="162621.63200000001"/>
    <n v="140559.88099999999"/>
    <n v="120744.55"/>
    <n v="109916.474"/>
    <n v="98847.650999999998"/>
    <n v="210483.42499999999"/>
    <n v="227669.342"/>
    <n v="356151.685"/>
    <n v="629622.42700000003"/>
    <n v="836000.38699999999"/>
    <n v="934558.01699999999"/>
    <n v="1061888.8400000001"/>
    <n v="772533.56200000003"/>
    <n v="416323.88799999998"/>
    <n v="364610.18400000001"/>
    <n v="235411.79800000001"/>
    <n v="114566.515"/>
    <n v="114566.515"/>
  </r>
  <r>
    <x v="2"/>
    <s v="PEST CONTROL"/>
    <s v="SC JOHNSON"/>
    <x v="0"/>
    <x v="0"/>
    <x v="1"/>
    <x v="3"/>
    <x v="2"/>
    <n v="2.2050000000000001"/>
    <n v="2.0680000000000001"/>
    <n v="2.2589999999999999"/>
    <n v="1.502"/>
    <n v="2.4710000000000001"/>
    <n v="2.0489999999999999"/>
    <n v="1.5"/>
    <n v="1.2410000000000001"/>
    <n v="1.1379999999999999"/>
    <n v="1.042"/>
    <n v="1.145"/>
    <n v="0.98399999999999999"/>
    <n v="0.92"/>
    <n v="0.83799999999999997"/>
    <n v="1.127"/>
    <n v="1.2669999999999999"/>
    <n v="1.69"/>
    <n v="2.0779999999999998"/>
    <n v="2.0680000000000001"/>
    <n v="1.5349999999999999"/>
    <n v="1.3149999999999999"/>
    <n v="1.341"/>
    <n v="1.3919999999999999"/>
    <n v="1.5389999999999999"/>
    <n v="1.296"/>
    <n v="1.9670000000000001"/>
    <n v="1.712"/>
    <n v="2.3029999999999999"/>
    <n v="3.153"/>
    <n v="3.71"/>
    <n v="3.65"/>
    <n v="3.4220000000000002"/>
    <n v="3.0139999999999998"/>
    <n v="2.3450000000000002"/>
    <n v="3.165"/>
    <n v="3.101"/>
    <n v="2.1019999999999999"/>
    <n v="1.409"/>
  </r>
  <r>
    <x v="2"/>
    <s v="PEST CONTROL"/>
    <s v="SC JOHNSON"/>
    <x v="0"/>
    <x v="0"/>
    <x v="1"/>
    <x v="3"/>
    <x v="3"/>
    <n v="74.600999999999999"/>
    <n v="64.656000000000006"/>
    <n v="62.889000000000003"/>
    <n v="60.167999999999999"/>
    <n v="62.313000000000002"/>
    <n v="62.18"/>
    <n v="62.286000000000001"/>
    <n v="51.991999999999997"/>
    <n v="54.82"/>
    <n v="45.045000000000002"/>
    <n v="49.661000000000001"/>
    <n v="32.130000000000003"/>
    <n v="27.356999999999999"/>
    <n v="29.366"/>
    <n v="39.453000000000003"/>
    <n v="47.3"/>
    <n v="56.834000000000003"/>
    <n v="51.04"/>
    <n v="50.798999999999999"/>
    <n v="46.804000000000002"/>
    <n v="64.331999999999994"/>
    <n v="69.134"/>
    <n v="69.706000000000003"/>
    <n v="67.358999999999995"/>
    <n v="70.462999999999994"/>
    <n v="69.613"/>
    <n v="60.377000000000002"/>
    <n v="58.539000000000001"/>
    <n v="58.179000000000002"/>
    <n v="56.612000000000002"/>
    <n v="52.494999999999997"/>
    <n v="53.268000000000001"/>
    <n v="57.643999999999998"/>
    <n v="50.889000000000003"/>
    <n v="41.405999999999999"/>
    <n v="44.750999999999998"/>
    <n v="33.773000000000003"/>
    <n v="3196.643"/>
  </r>
  <r>
    <x v="2"/>
    <s v="PEST CONTROL"/>
    <s v="SC JOHNSON"/>
    <x v="0"/>
    <x v="0"/>
    <x v="1"/>
    <x v="3"/>
    <x v="4"/>
    <n v="18.805356700000001"/>
    <n v="16.064114700000001"/>
    <n v="16.434933699999998"/>
    <n v="19.8189767"/>
    <n v="20.354592100000001"/>
    <n v="18.530764999999999"/>
    <n v="20.7183697"/>
    <n v="19.0169408"/>
    <n v="19.3130658"/>
    <n v="18.053765800000001"/>
    <n v="18.167691600000001"/>
    <n v="18.6980921"/>
    <n v="18.5303006"/>
    <n v="18.0016125"/>
    <n v="18.104215100000001"/>
    <n v="19.620811499999999"/>
    <n v="20.182820499999998"/>
    <n v="17.8269135"/>
    <n v="18.655176399999998"/>
    <n v="18.3146819"/>
    <n v="20.7740832"/>
    <n v="21.439072800000002"/>
    <n v="21.020569800000001"/>
    <n v="20.4736203"/>
    <n v="21.444468199999999"/>
    <n v="21.338598600000001"/>
    <n v="22.012484000000001"/>
    <n v="22.116698100000001"/>
    <n v="22.7984677"/>
    <n v="25.161244799999999"/>
    <n v="25.333876400000001"/>
    <n v="22.2964749"/>
    <n v="18.713464399999999"/>
    <n v="17.889686600000001"/>
    <n v="15.5844942"/>
    <n v="14.019798"/>
    <n v="12.8491225"/>
    <n v="33.773000000000003"/>
  </r>
  <r>
    <x v="2"/>
    <s v="PEST CONTROL"/>
    <s v="SC JOHNSON"/>
    <x v="0"/>
    <x v="0"/>
    <x v="1"/>
    <x v="3"/>
    <x v="5"/>
    <n v="11.379"/>
    <n v="12.026"/>
    <n v="10.42"/>
    <n v="9.8640000000000008"/>
    <n v="11.068"/>
    <n v="10.177"/>
    <n v="9.0790000000000006"/>
    <n v="8.2910000000000004"/>
    <n v="9.3569999999999993"/>
    <n v="11.074999999999999"/>
    <n v="11.238"/>
    <n v="11.978"/>
    <n v="11.717000000000001"/>
    <n v="12.673999999999999"/>
    <n v="9.4290000000000003"/>
    <n v="10.318"/>
    <n v="8.6530000000000005"/>
    <n v="15.911"/>
    <n v="14.358000000000001"/>
    <n v="15.121"/>
    <n v="12.945"/>
    <n v="12.195"/>
    <n v="13.532"/>
    <n v="12.709"/>
    <n v="12.929"/>
    <n v="11.555"/>
    <n v="11.452999999999999"/>
    <n v="9.6760000000000002"/>
    <n v="11.236000000000001"/>
    <n v="9.1"/>
    <n v="10.571"/>
    <n v="10.734999999999999"/>
    <n v="9.6199999999999992"/>
    <n v="8.18"/>
    <n v="9.9179999999999993"/>
    <n v="8.6"/>
    <n v="7.7779999999999996"/>
    <n v="12.8491225"/>
  </r>
  <r>
    <x v="2"/>
    <s v="PEST CONTROL"/>
    <s v="SC JOHNSON"/>
    <x v="1"/>
    <x v="1"/>
    <x v="2"/>
    <x v="4"/>
    <x v="0"/>
    <n v="0"/>
    <n v="0"/>
    <n v="35.206000000000003"/>
    <n v="0"/>
    <n v="0"/>
    <n v="0"/>
    <n v="0"/>
    <n v="0"/>
    <n v="20.7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1"/>
    <x v="1"/>
    <x v="2"/>
    <x v="4"/>
    <x v="1"/>
    <n v="0"/>
    <n v="0"/>
    <n v="7463.7430000000004"/>
    <n v="0"/>
    <n v="0"/>
    <n v="0"/>
    <n v="0"/>
    <n v="0"/>
    <n v="4408.332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1"/>
    <x v="1"/>
    <x v="2"/>
    <x v="4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1"/>
    <x v="1"/>
    <x v="2"/>
    <x v="4"/>
    <x v="3"/>
    <n v="4.8819999999999997"/>
    <n v="2.9580000000000002"/>
    <n v="6.55"/>
    <n v="6.2089999999999996"/>
    <n v="6.4969999999999999"/>
    <n v="6.61"/>
    <n v="7.9450000000000003"/>
    <n v="3.8439999999999999"/>
    <n v="1.5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1"/>
    <x v="1"/>
    <x v="2"/>
    <x v="4"/>
    <x v="4"/>
    <n v="0.13341049999999999"/>
    <n v="0.1333905"/>
    <n v="0.13337540000000001"/>
    <n v="0.24257500000000001"/>
    <n v="0.2424664"/>
    <n v="0.2424663"/>
    <n v="0.24246619999999999"/>
    <n v="0.24246609999999999"/>
    <n v="0.25061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1"/>
    <x v="1"/>
    <x v="2"/>
    <x v="4"/>
    <x v="5"/>
    <n v="6.8000000000000005E-2"/>
    <n v="7.2999999999999995E-2"/>
    <n v="0"/>
    <n v="9.2999999999999999E-2"/>
    <n v="0.1"/>
    <n v="0.10299999999999999"/>
    <n v="9.8000000000000004E-2"/>
    <n v="3.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1"/>
    <x v="1"/>
    <x v="3"/>
    <x v="0"/>
    <x v="0"/>
    <n v="765.75"/>
    <n v="515.18899999999996"/>
    <n v="1126.308"/>
    <n v="2335.9760000000001"/>
    <n v="2155.9270000000001"/>
    <n v="1868.279"/>
    <n v="1640.8520000000001"/>
    <n v="1154.6500000000001"/>
    <n v="1104.8910000000001"/>
    <n v="714.79100000000005"/>
    <n v="576.29899999999998"/>
    <n v="497.91899999999998"/>
    <n v="153.85300000000001"/>
    <n v="229.14099999999999"/>
    <n v="482.79300000000001"/>
    <n v="703.53200000000004"/>
    <n v="762.80100000000004"/>
    <n v="666.81299999999999"/>
    <n v="1002.5069999999999"/>
    <n v="732.048"/>
    <n v="400.41399999999999"/>
    <n v="141.328"/>
    <n v="177.744"/>
    <n v="575.66099999999994"/>
    <n v="582.40099999999995"/>
    <n v="927.61699999999996"/>
    <n v="1005.096"/>
    <n v="660.58199999999999"/>
    <n v="498.29500000000002"/>
    <n v="512.76"/>
    <n v="923.15599999999995"/>
    <n v="679.24"/>
    <n v="484.16300000000001"/>
    <n v="511.89"/>
    <n v="150.17599999999999"/>
    <n v="46.633000000000003"/>
    <n v="49.682000000000002"/>
    <n v="49.682000000000002"/>
  </r>
  <r>
    <x v="2"/>
    <s v="PEST CONTROL"/>
    <s v="SC JOHNSON"/>
    <x v="1"/>
    <x v="1"/>
    <x v="3"/>
    <x v="0"/>
    <x v="1"/>
    <n v="155740.07699999999"/>
    <n v="112534.315"/>
    <n v="230480.19"/>
    <n v="464915.01500000001"/>
    <n v="444179.00400000002"/>
    <n v="397194.65299999999"/>
    <n v="363443.375"/>
    <n v="243823.80499999999"/>
    <n v="242037.777"/>
    <n v="145797.565"/>
    <n v="116211.106"/>
    <n v="100717.306"/>
    <n v="38882.898999999998"/>
    <n v="53978.44"/>
    <n v="114375.42"/>
    <n v="171835.54300000001"/>
    <n v="178071.921"/>
    <n v="169135.80100000001"/>
    <n v="241474.44399999999"/>
    <n v="187328.85699999999"/>
    <n v="98755.084000000003"/>
    <n v="34018.258000000002"/>
    <n v="43623.023999999998"/>
    <n v="107416.495"/>
    <n v="107313.92200000001"/>
    <n v="188535.416"/>
    <n v="203972.95499999999"/>
    <n v="117773.495"/>
    <n v="112530.92"/>
    <n v="95567.724000000002"/>
    <n v="170390.63"/>
    <n v="156409.046"/>
    <n v="105102.836"/>
    <n v="104719.74800000001"/>
    <n v="35784.050000000003"/>
    <n v="12040.335999999999"/>
    <n v="11858.896000000001"/>
    <n v="11858.896000000001"/>
  </r>
  <r>
    <x v="2"/>
    <s v="PEST CONTROL"/>
    <s v="SC JOHNSON"/>
    <x v="1"/>
    <x v="1"/>
    <x v="3"/>
    <x v="0"/>
    <x v="2"/>
    <n v="4.7460000000000004"/>
    <n v="2.8879999999999999"/>
    <n v="4.9279999999999999"/>
    <n v="7.4889999999999999"/>
    <n v="6.0670000000000002"/>
    <n v="5.3550000000000004"/>
    <n v="4.9980000000000002"/>
    <n v="4.6619999999999999"/>
    <n v="4.8769999999999998"/>
    <n v="4.0860000000000003"/>
    <n v="3.85"/>
    <n v="3.4910000000000001"/>
    <n v="1.026"/>
    <n v="1.4750000000000001"/>
    <n v="2.649"/>
    <n v="3.0990000000000002"/>
    <n v="3.1589999999999998"/>
    <n v="2.8079999999999998"/>
    <n v="4.1710000000000003"/>
    <n v="3.3050000000000002"/>
    <n v="2.0640000000000001"/>
    <n v="0.84299999999999997"/>
    <n v="1.264"/>
    <n v="4.649"/>
    <n v="4.1929999999999996"/>
    <n v="5.7370000000000001"/>
    <n v="5.2430000000000003"/>
    <n v="2.597"/>
    <n v="1.6850000000000001"/>
    <n v="1.5669999999999999"/>
    <n v="2.4079999999999999"/>
    <n v="1.69"/>
    <n v="1.43"/>
    <n v="2.008"/>
    <n v="0.84799999999999998"/>
    <n v="0.41"/>
    <n v="0.66300000000000003"/>
    <n v="8.5999999999999993E-2"/>
  </r>
  <r>
    <x v="2"/>
    <s v="PEST CONTROL"/>
    <s v="SC JOHNSON"/>
    <x v="1"/>
    <x v="1"/>
    <x v="3"/>
    <x v="0"/>
    <x v="3"/>
    <n v="57.210999999999999"/>
    <n v="50.802"/>
    <n v="49.305999999999997"/>
    <n v="44.253999999999998"/>
    <n v="38.405000000000001"/>
    <n v="36.472999999999999"/>
    <n v="38.247999999999998"/>
    <n v="33.482999999999997"/>
    <n v="31.062000000000001"/>
    <n v="32.116999999999997"/>
    <n v="34.341000000000001"/>
    <n v="35.155999999999999"/>
    <n v="24.344000000000001"/>
    <n v="29.376000000000001"/>
    <n v="34.027999999999999"/>
    <n v="33.338999999999999"/>
    <n v="29.449000000000002"/>
    <n v="29.745999999999999"/>
    <n v="34.792999999999999"/>
    <n v="34.329000000000001"/>
    <n v="34.003999999999998"/>
    <n v="29.068000000000001"/>
    <n v="30.33"/>
    <n v="31.314"/>
    <n v="26.545999999999999"/>
    <n v="30.811"/>
    <n v="28.276"/>
    <n v="21.713999999999999"/>
    <n v="20.571999999999999"/>
    <n v="23.398"/>
    <n v="28.381"/>
    <n v="32.698"/>
    <n v="28.951000000000001"/>
    <n v="19.631"/>
    <n v="23.952000000000002"/>
    <n v="19.516999999999999"/>
    <n v="30.547999999999998"/>
    <n v="326.63"/>
  </r>
  <r>
    <x v="2"/>
    <s v="PEST CONTROL"/>
    <s v="SC JOHNSON"/>
    <x v="1"/>
    <x v="1"/>
    <x v="3"/>
    <x v="0"/>
    <x v="4"/>
    <n v="7.8844322"/>
    <n v="6.4940183999999999"/>
    <n v="6.6486938000000002"/>
    <n v="7.8107411999999998"/>
    <n v="5.9580228000000002"/>
    <n v="8.4962850999999997"/>
    <n v="6.6717931000000004"/>
    <n v="8.3591809999999995"/>
    <n v="7.1303321999999998"/>
    <n v="6.1317746"/>
    <n v="4.5808641999999997"/>
    <n v="4.1124708999999999"/>
    <n v="2.9797647"/>
    <n v="3.0636062000000002"/>
    <n v="3.8874189000000001"/>
    <n v="5.3767543"/>
    <n v="4.2558536"/>
    <n v="2.8654853"/>
    <n v="5.3970402000000002"/>
    <n v="4.9739344000000001"/>
    <n v="5.2317165000000001"/>
    <n v="3.7115345"/>
    <n v="3.7230805"/>
    <n v="3.5560426000000001"/>
    <n v="3.4855432999999998"/>
    <n v="3.2635005000000001"/>
    <n v="3.2725107000000002"/>
    <n v="3.3224338000000002"/>
    <n v="3.3474919000000001"/>
    <n v="3.6052482000000001"/>
    <n v="5.6520910999999998"/>
    <n v="5.2989335000000004"/>
    <n v="3.5144242999999999"/>
    <n v="3.1497061"/>
    <n v="3.3380046000000001"/>
    <n v="2.513754"/>
    <n v="3.9490354999999999"/>
    <n v="30.547999999999998"/>
  </r>
  <r>
    <x v="2"/>
    <s v="PEST CONTROL"/>
    <s v="SC JOHNSON"/>
    <x v="1"/>
    <x v="1"/>
    <x v="3"/>
    <x v="0"/>
    <x v="5"/>
    <n v="3.54"/>
    <n v="3.5870000000000002"/>
    <n v="2.347"/>
    <n v="1.97"/>
    <n v="2.2469999999999999"/>
    <n v="1.458"/>
    <n v="1.1539999999999999"/>
    <n v="2.0990000000000002"/>
    <n v="2.0859999999999999"/>
    <n v="1.7749999999999999"/>
    <n v="0.97199999999999998"/>
    <n v="0.96899999999999997"/>
    <n v="2.0590000000000002"/>
    <n v="1.58"/>
    <n v="2.544"/>
    <n v="2.6920000000000002"/>
    <n v="2.012"/>
    <n v="1.9390000000000001"/>
    <n v="2.8159999999999998"/>
    <n v="2.6459999999999999"/>
    <n v="2.4049999999999998"/>
    <n v="2.3879999999999999"/>
    <n v="2.9390000000000001"/>
    <n v="3.028"/>
    <n v="2.8740000000000001"/>
    <n v="2.2109999999999999"/>
    <n v="1.649"/>
    <n v="2.23"/>
    <n v="1.913"/>
    <n v="1.391"/>
    <n v="1.17"/>
    <n v="1.2949999999999999"/>
    <n v="1.3979999999999999"/>
    <n v="0.95399999999999996"/>
    <n v="0.80900000000000005"/>
    <n v="0.58499999999999996"/>
    <n v="0.81399999999999995"/>
    <n v="3.9490354999999999"/>
  </r>
  <r>
    <x v="2"/>
    <s v="PEST CONTROL"/>
    <s v="SC JOHNSON"/>
    <x v="1"/>
    <x v="1"/>
    <x v="3"/>
    <x v="4"/>
    <x v="0"/>
    <n v="0"/>
    <n v="0"/>
    <n v="105.619"/>
    <n v="185.54400000000001"/>
    <n v="158.25700000000001"/>
    <n v="57.860999999999997"/>
    <n v="140.744"/>
    <n v="106.07599999999999"/>
    <n v="132.92500000000001"/>
    <n v="151.77199999999999"/>
    <n v="96.131"/>
    <n v="165.55699999999999"/>
    <n v="0"/>
    <n v="103.809"/>
    <n v="0"/>
    <n v="133.59"/>
    <n v="22.279"/>
    <n v="16.099"/>
    <n v="0"/>
    <n v="1"/>
    <n v="0"/>
    <n v="0"/>
    <n v="0"/>
    <n v="0"/>
    <n v="0"/>
    <n v="18.946999999999999"/>
    <n v="0"/>
    <n v="0"/>
    <n v="0"/>
    <n v="0"/>
    <n v="0.77100000000000002"/>
    <n v="0.22900000000000001"/>
    <n v="129.89599999999999"/>
    <n v="0"/>
    <n v="0"/>
    <n v="20.332999999999998"/>
    <n v="132.768"/>
    <n v="132.768"/>
  </r>
  <r>
    <x v="2"/>
    <s v="PEST CONTROL"/>
    <s v="SC JOHNSON"/>
    <x v="1"/>
    <x v="1"/>
    <x v="3"/>
    <x v="4"/>
    <x v="1"/>
    <n v="0"/>
    <n v="0"/>
    <n v="24714.846000000001"/>
    <n v="43417.328000000001"/>
    <n v="37032.067999999999"/>
    <n v="15333.27"/>
    <n v="37702.006999999998"/>
    <n v="29058.184000000001"/>
    <n v="35785.794999999998"/>
    <n v="53120.156999999999"/>
    <n v="33645.906999999999"/>
    <n v="57944.981"/>
    <n v="0"/>
    <n v="36333.165000000001"/>
    <n v="0"/>
    <n v="45323.758999999998"/>
    <n v="6238.1679999999997"/>
    <n v="4507.7539999999999"/>
    <n v="0"/>
    <n v="470"/>
    <n v="0"/>
    <n v="0"/>
    <n v="0"/>
    <n v="0"/>
    <n v="0"/>
    <n v="6157.93"/>
    <n v="0"/>
    <n v="0"/>
    <n v="0"/>
    <n v="0"/>
    <n v="353.31"/>
    <n v="104.69"/>
    <n v="51308.909"/>
    <n v="0"/>
    <n v="0"/>
    <n v="6079.49"/>
    <n v="52974.531999999999"/>
    <n v="52974.531999999999"/>
  </r>
  <r>
    <x v="2"/>
    <s v="PEST CONTROL"/>
    <s v="SC JOHNSON"/>
    <x v="1"/>
    <x v="1"/>
    <x v="3"/>
    <x v="4"/>
    <x v="2"/>
    <n v="0"/>
    <n v="0"/>
    <n v="1E-3"/>
    <n v="2E-3"/>
    <n v="1E-3"/>
    <n v="0"/>
    <n v="1E-3"/>
    <n v="1E-3"/>
    <n v="2E-3"/>
    <n v="2E-3"/>
    <n v="2E-3"/>
    <n v="3.0000000000000001E-3"/>
    <n v="0"/>
    <n v="2E-3"/>
    <n v="0"/>
    <n v="2E-3"/>
    <n v="0"/>
    <n v="0"/>
    <n v="0"/>
    <n v="0"/>
    <n v="0"/>
    <n v="0"/>
    <n v="0"/>
    <n v="0"/>
    <n v="0"/>
    <n v="0"/>
    <n v="0"/>
    <n v="0"/>
    <n v="0"/>
    <n v="0"/>
    <n v="0"/>
    <n v="0"/>
    <n v="1E-3"/>
    <n v="0"/>
    <n v="0"/>
    <n v="0"/>
    <n v="5.0000000000000001E-3"/>
    <n v="0.22900000000000001"/>
  </r>
  <r>
    <x v="2"/>
    <s v="PEST CONTROL"/>
    <s v="SC JOHNSON"/>
    <x v="1"/>
    <x v="1"/>
    <x v="3"/>
    <x v="4"/>
    <x v="3"/>
    <n v="4.8819999999999997"/>
    <n v="2.9580000000000002"/>
    <n v="6.55"/>
    <n v="6.2089999999999996"/>
    <n v="6.4969999999999999"/>
    <n v="6.61"/>
    <n v="12.618"/>
    <n v="17.553000000000001"/>
    <n v="19.82"/>
    <n v="18.925000000000001"/>
    <n v="22.431000000000001"/>
    <n v="23.024000000000001"/>
    <n v="17.521999999999998"/>
    <n v="19.742999999999999"/>
    <n v="18.997"/>
    <n v="19.024000000000001"/>
    <n v="8.1349999999999998"/>
    <n v="6.57"/>
    <n v="8.5950000000000006"/>
    <n v="6.9009999999999998"/>
    <n v="21.596"/>
    <n v="21.988"/>
    <n v="20.27"/>
    <n v="22.757000000000001"/>
    <n v="19.568000000000001"/>
    <n v="23.97"/>
    <n v="8.8840000000000003"/>
    <n v="7.1619999999999999"/>
    <n v="6.4669999999999996"/>
    <n v="6.9249999999999998"/>
    <n v="8.4380000000000006"/>
    <n v="10.632999999999999"/>
    <n v="8.8309999999999995"/>
    <n v="0.32300000000000001"/>
    <n v="11.231"/>
    <n v="13.510999999999999"/>
    <n v="21.99"/>
    <n v="0"/>
  </r>
  <r>
    <x v="2"/>
    <s v="PEST CONTROL"/>
    <s v="SC JOHNSON"/>
    <x v="1"/>
    <x v="1"/>
    <x v="3"/>
    <x v="4"/>
    <x v="4"/>
    <n v="0.13341049999999999"/>
    <n v="0.1333905"/>
    <n v="0.13337540000000001"/>
    <n v="0.24257500000000001"/>
    <n v="0.2424664"/>
    <n v="0.2424663"/>
    <n v="1.4650618"/>
    <n v="1.6784082"/>
    <n v="1.8483434000000001"/>
    <n v="1.4332617999999999"/>
    <n v="1.4237017999999999"/>
    <n v="1.4147931"/>
    <n v="1.4146668"/>
    <n v="1.5790412"/>
    <n v="1.5790497999999999"/>
    <n v="1.6639820999999999"/>
    <n v="0.45666469999999998"/>
    <n v="0.45666109999999999"/>
    <n v="0.45666119999999999"/>
    <n v="0.47861779999999998"/>
    <n v="1.5109432"/>
    <n v="1.5108356999999999"/>
    <n v="1.5107668999999999"/>
    <n v="1.6026910000000001"/>
    <n v="1.5830938999999999"/>
    <n v="1.4861374000000001"/>
    <n v="1.1756047000000001"/>
    <n v="1.090163"/>
    <n v="1.0200670000000001"/>
    <n v="1.0864545000000001"/>
    <n v="1.0984684"/>
    <n v="1.0984684"/>
    <n v="1.1620459999999999"/>
    <n v="0.3246329"/>
    <n v="1.1620379999999999"/>
    <n v="1.3427567"/>
    <n v="0.9506346"/>
    <n v="21.99"/>
  </r>
  <r>
    <x v="2"/>
    <s v="PEST CONTROL"/>
    <s v="SC JOHNSON"/>
    <x v="1"/>
    <x v="1"/>
    <x v="3"/>
    <x v="4"/>
    <x v="5"/>
    <n v="0.20399999999999999"/>
    <n v="0.218"/>
    <n v="0"/>
    <n v="0.27900000000000003"/>
    <n v="0.19900000000000001"/>
    <n v="0.10299999999999999"/>
    <n v="0.81"/>
    <n v="0.13100000000000001"/>
    <n v="7.0999999999999994E-2"/>
    <n v="0.27100000000000002"/>
    <n v="0.28699999999999998"/>
    <n v="0.27700000000000002"/>
    <n v="0.25900000000000001"/>
    <n v="8.2000000000000003E-2"/>
    <n v="0.26500000000000001"/>
    <n v="4.5999999999999999E-2"/>
    <n v="4.7E-2"/>
    <n v="4.4999999999999998E-2"/>
    <n v="8.1000000000000003E-2"/>
    <n v="9.1999999999999998E-2"/>
    <n v="0.32700000000000001"/>
    <n v="0.32200000000000001"/>
    <n v="0.32400000000000001"/>
    <n v="0.36199999999999999"/>
    <n v="0.374"/>
    <n v="0.29199999999999998"/>
    <n v="0.29499999999999998"/>
    <n v="0.27"/>
    <n v="0.252"/>
    <n v="0.27400000000000002"/>
    <n v="0.313"/>
    <n v="0.32600000000000001"/>
    <n v="6.7000000000000004E-2"/>
    <n v="6.6000000000000003E-2"/>
    <n v="0.39800000000000002"/>
    <n v="0.377"/>
    <n v="0"/>
    <n v="0.9506346"/>
  </r>
  <r>
    <x v="2"/>
    <s v="PEST CONTROL"/>
    <s v="SC JOHNSON"/>
    <x v="1"/>
    <x v="1"/>
    <x v="3"/>
    <x v="5"/>
    <x v="0"/>
    <n v="0"/>
    <n v="0"/>
    <n v="0"/>
    <n v="0"/>
    <n v="9.3640000000000008"/>
    <n v="43.655000000000001"/>
    <n v="0"/>
    <n v="0"/>
    <n v="40.247999999999998"/>
    <n v="114.223"/>
    <n v="0"/>
    <n v="0"/>
    <n v="0"/>
    <n v="0"/>
    <n v="0"/>
    <n v="41.588000000000001"/>
    <n v="51.844000000000001"/>
    <n v="34.765999999999998"/>
    <n v="0"/>
    <n v="1"/>
    <n v="0"/>
    <n v="0"/>
    <n v="55.82"/>
    <n v="76.635000000000005"/>
    <n v="0"/>
    <n v="0"/>
    <n v="0"/>
    <n v="0"/>
    <n v="0"/>
    <n v="0"/>
    <n v="112.807"/>
    <n v="223.874"/>
    <n v="224.6"/>
    <n v="13.622999999999999"/>
    <n v="0"/>
    <n v="10.166"/>
    <n v="287.78800000000001"/>
    <n v="1726.7280000000001"/>
  </r>
  <r>
    <x v="2"/>
    <s v="PEST CONTROL"/>
    <s v="SC JOHNSON"/>
    <x v="1"/>
    <x v="1"/>
    <x v="3"/>
    <x v="5"/>
    <x v="1"/>
    <n v="0"/>
    <n v="0"/>
    <n v="0"/>
    <n v="0"/>
    <n v="2799.875"/>
    <n v="13052.786"/>
    <n v="0"/>
    <n v="0"/>
    <n v="12879.29"/>
    <n v="38835.836000000003"/>
    <n v="0"/>
    <n v="0"/>
    <n v="0"/>
    <n v="0"/>
    <n v="0"/>
    <n v="12226.888000000001"/>
    <n v="15253.787"/>
    <n v="10221.218999999999"/>
    <n v="0"/>
    <n v="422"/>
    <n v="0"/>
    <n v="0"/>
    <n v="16690.22"/>
    <n v="21410.857"/>
    <n v="0"/>
    <n v="0"/>
    <n v="0"/>
    <n v="0"/>
    <n v="0"/>
    <n v="0"/>
    <n v="42866.697999999997"/>
    <n v="67100.284"/>
    <n v="67311.733999999997"/>
    <n v="4018.8919999999998"/>
    <n v="0"/>
    <n v="2999.0790000000002"/>
    <n v="87870.793999999994"/>
    <n v="87870.793999999994"/>
  </r>
  <r>
    <x v="2"/>
    <s v="PEST CONTROL"/>
    <s v="SC JOHNSON"/>
    <x v="1"/>
    <x v="1"/>
    <x v="3"/>
    <x v="5"/>
    <x v="2"/>
    <n v="0"/>
    <n v="0"/>
    <n v="0"/>
    <n v="0"/>
    <n v="0"/>
    <n v="2E-3"/>
    <n v="0"/>
    <n v="0"/>
    <n v="3.0000000000000001E-3"/>
    <n v="0.01"/>
    <n v="0"/>
    <n v="0"/>
    <n v="0"/>
    <n v="0"/>
    <n v="0"/>
    <n v="3.0000000000000001E-3"/>
    <n v="4.0000000000000001E-3"/>
    <n v="2E-3"/>
    <n v="0"/>
    <n v="0"/>
    <n v="0"/>
    <n v="0"/>
    <n v="7.0000000000000001E-3"/>
    <n v="0.01"/>
    <n v="0"/>
    <n v="0"/>
    <n v="0"/>
    <n v="0"/>
    <n v="0"/>
    <n v="0"/>
    <n v="5.0000000000000001E-3"/>
    <n v="8.9999999999999993E-3"/>
    <n v="1.0999999999999999E-2"/>
    <n v="1E-3"/>
    <n v="0"/>
    <n v="1E-3"/>
    <n v="6.3E-2"/>
    <n v="2.9830000000000001"/>
  </r>
  <r>
    <x v="2"/>
    <s v="PEST CONTROL"/>
    <s v="SC JOHNSON"/>
    <x v="1"/>
    <x v="1"/>
    <x v="3"/>
    <x v="5"/>
    <x v="3"/>
    <n v="0"/>
    <n v="0"/>
    <n v="0"/>
    <n v="0"/>
    <n v="1.5529999999999999"/>
    <n v="1.026"/>
    <n v="4.399"/>
    <n v="13.709"/>
    <n v="18.305"/>
    <n v="15.291"/>
    <n v="0"/>
    <n v="0.71399999999999997"/>
    <n v="0"/>
    <n v="6.6000000000000003E-2"/>
    <n v="9.5000000000000001E-2"/>
    <n v="2.0019999999999998"/>
    <n v="1.4770000000000001"/>
    <n v="1.9530000000000001"/>
    <n v="8.5950000000000006"/>
    <n v="9.4459999999999997"/>
    <n v="23.265000000000001"/>
    <n v="23.667000000000002"/>
    <n v="23.242000000000001"/>
    <n v="25.690999999999999"/>
    <n v="15.481999999999999"/>
    <n v="11.225"/>
    <n v="8.8840000000000003"/>
    <n v="7.1619999999999999"/>
    <n v="6.4669999999999996"/>
    <n v="6.9249999999999998"/>
    <n v="8.2680000000000007"/>
    <n v="10.422000000000001"/>
    <n v="8.8309999999999995"/>
    <n v="8.8420000000000005"/>
    <n v="11.231"/>
    <n v="13.510999999999999"/>
    <n v="25.254999999999999"/>
    <n v="0"/>
  </r>
  <r>
    <x v="2"/>
    <s v="PEST CONTROL"/>
    <s v="SC JOHNSON"/>
    <x v="1"/>
    <x v="1"/>
    <x v="3"/>
    <x v="5"/>
    <x v="4"/>
    <n v="0"/>
    <n v="0"/>
    <n v="0"/>
    <n v="0"/>
    <n v="0.1116154"/>
    <n v="0.1116153"/>
    <n v="0.93138209999999999"/>
    <n v="1.4359421000000001"/>
    <n v="1.5977277000000001"/>
    <n v="1.1826733"/>
    <n v="0.1875684"/>
    <n v="0.1790001"/>
    <n v="0.17898420000000001"/>
    <n v="0.17900250000000001"/>
    <n v="0.17900350000000001"/>
    <n v="0.44737640000000001"/>
    <n v="0.45666469999999998"/>
    <n v="0.45666109999999999"/>
    <n v="0.45666119999999999"/>
    <n v="0.58406599999999997"/>
    <n v="1.6163913000000001"/>
    <n v="1.6162764000000001"/>
    <n v="1.6162027000000001"/>
    <n v="1.7117686999999999"/>
    <n v="1.3794820999999999"/>
    <n v="1.2825253999999999"/>
    <n v="1.1756047000000001"/>
    <n v="1.090163"/>
    <n v="1.0200670000000001"/>
    <n v="1.0864545000000001"/>
    <n v="1.0859135"/>
    <n v="1.0859135"/>
    <n v="1.1620459999999999"/>
    <n v="1.1620469"/>
    <n v="1.1620379999999999"/>
    <n v="1.3427567"/>
    <n v="1.2517997999999999"/>
    <n v="25.254999999999999"/>
  </r>
  <r>
    <x v="2"/>
    <s v="PEST CONTROL"/>
    <s v="SC JOHNSON"/>
    <x v="1"/>
    <x v="1"/>
    <x v="3"/>
    <x v="5"/>
    <x v="5"/>
    <n v="0"/>
    <n v="0"/>
    <n v="0"/>
    <n v="0"/>
    <n v="8.3000000000000004E-2"/>
    <n v="0"/>
    <n v="0.55000000000000004"/>
    <n v="0.77400000000000002"/>
    <n v="0.72899999999999998"/>
    <n v="0.04"/>
    <n v="4.2000000000000003E-2"/>
    <n v="3.9E-2"/>
    <n v="3.6999999999999998E-2"/>
    <n v="0.04"/>
    <n v="3.5999999999999997E-2"/>
    <n v="4.5999999999999999E-2"/>
    <n v="6.5000000000000002E-2"/>
    <n v="2.3E-2"/>
    <n v="9.8000000000000004E-2"/>
    <n v="0.16900000000000001"/>
    <n v="0.39300000000000002"/>
    <n v="0.38700000000000001"/>
    <n v="0.40600000000000003"/>
    <n v="0.29799999999999999"/>
    <n v="0.308"/>
    <n v="0.26500000000000001"/>
    <n v="0.26700000000000002"/>
    <n v="0.247"/>
    <n v="0.43099999999999999"/>
    <n v="0.47099999999999997"/>
    <n v="0.28299999999999997"/>
    <n v="0.59"/>
    <n v="0.64900000000000002"/>
    <n v="0.64100000000000001"/>
    <n v="0.68899999999999995"/>
    <n v="0.754"/>
    <n v="0"/>
    <n v="1.2517997999999999"/>
  </r>
  <r>
    <x v="2"/>
    <s v="PEST CONTROL"/>
    <s v="SC JOHNSON"/>
    <x v="1"/>
    <x v="2"/>
    <x v="3"/>
    <x v="0"/>
    <x v="0"/>
    <n v="0"/>
    <n v="11.135999999999999"/>
    <n v="64.070999999999998"/>
    <n v="0"/>
    <n v="4.75"/>
    <n v="15.541"/>
    <n v="34.295000000000002"/>
    <n v="32.4"/>
    <n v="6.6120000000000001"/>
    <n v="0"/>
    <n v="0"/>
    <n v="9.9309999999999992"/>
    <n v="96.131"/>
    <n v="111.93600000000001"/>
    <n v="119.515"/>
    <n v="7.1870000000000003"/>
    <n v="1"/>
    <n v="66.972999999999999"/>
    <n v="95.897000000000006"/>
    <n v="46.661999999999999"/>
    <n v="14.233000000000001"/>
    <n v="7.2930000000000001"/>
    <n v="0"/>
    <n v="137.74600000000001"/>
    <n v="118.985"/>
    <n v="159.565"/>
    <n v="210.262"/>
    <n v="200.88900000000001"/>
    <n v="387.28300000000002"/>
    <n v="198.24299999999999"/>
    <n v="401.11"/>
    <n v="69.213999999999999"/>
    <n v="70.227000000000004"/>
    <n v="59.581000000000003"/>
    <n v="55.796999999999997"/>
    <n v="48.100999999999999"/>
    <n v="72"/>
    <n v="72"/>
  </r>
  <r>
    <x v="2"/>
    <s v="PEST CONTROL"/>
    <s v="SC JOHNSON"/>
    <x v="1"/>
    <x v="2"/>
    <x v="3"/>
    <x v="0"/>
    <x v="1"/>
    <n v="0"/>
    <n v="3218.1759999999999"/>
    <n v="16313.474"/>
    <n v="0"/>
    <n v="997.56"/>
    <n v="4467.826"/>
    <n v="8474.41"/>
    <n v="7778.06"/>
    <n v="1910.9449999999999"/>
    <n v="0"/>
    <n v="0"/>
    <n v="2105.3159999999998"/>
    <n v="29800.66"/>
    <n v="34529.546999999999"/>
    <n v="37049.758999999998"/>
    <n v="2077.04"/>
    <n v="295"/>
    <n v="21679.241000000002"/>
    <n v="29301.97"/>
    <n v="14389.352999999999"/>
    <n v="3003.16"/>
    <n v="1538.729"/>
    <n v="0"/>
    <n v="42701.105000000003"/>
    <n v="36883.078999999998"/>
    <n v="46614.178999999996"/>
    <n v="63614.241000000002"/>
    <n v="54882.449000000001"/>
    <n v="111685.94"/>
    <n v="53275.468999999997"/>
    <n v="117476.63"/>
    <n v="14980.035"/>
    <n v="14351.806"/>
    <n v="11856.707"/>
    <n v="11103.627"/>
    <n v="9572"/>
    <n v="14328"/>
    <n v="14328"/>
  </r>
  <r>
    <x v="2"/>
    <s v="PEST CONTROL"/>
    <s v="SC JOHNSON"/>
    <x v="1"/>
    <x v="2"/>
    <x v="3"/>
    <x v="0"/>
    <x v="2"/>
    <n v="0"/>
    <n v="6.7000000000000004E-2"/>
    <n v="0.29599999999999999"/>
    <n v="0"/>
    <n v="1.4E-2"/>
    <n v="4.7E-2"/>
    <n v="0.109"/>
    <n v="0.13600000000000001"/>
    <n v="0.03"/>
    <n v="0"/>
    <n v="0"/>
    <n v="7.1999999999999995E-2"/>
    <n v="0.68899999999999995"/>
    <n v="0.77700000000000002"/>
    <n v="0.70799999999999996"/>
    <n v="3.4000000000000002E-2"/>
    <n v="4.0000000000000001E-3"/>
    <n v="0.30399999999999999"/>
    <n v="0.42899999999999999"/>
    <n v="0.22700000000000001"/>
    <n v="7.9000000000000001E-2"/>
    <n v="4.7E-2"/>
    <n v="0"/>
    <n v="1.2050000000000001"/>
    <n v="0.92800000000000005"/>
    <n v="1.0349999999999999"/>
    <n v="1.1719999999999999"/>
    <n v="0.82499999999999996"/>
    <n v="1.39"/>
    <n v="0.64200000000000002"/>
    <n v="1.1200000000000001"/>
    <n v="0.17499999999999999"/>
    <n v="0.20799999999999999"/>
    <n v="0.23300000000000001"/>
    <n v="0.314"/>
    <n v="0.42299999999999999"/>
    <n v="0.94499999999999995"/>
    <n v="0.124"/>
  </r>
  <r>
    <x v="2"/>
    <s v="PEST CONTROL"/>
    <s v="SC JOHNSON"/>
    <x v="1"/>
    <x v="2"/>
    <x v="3"/>
    <x v="0"/>
    <x v="3"/>
    <n v="5.399"/>
    <n v="4.327"/>
    <n v="7.9059999999999997"/>
    <n v="1.4730000000000001"/>
    <n v="2.851"/>
    <n v="2.0179999999999998"/>
    <n v="1.6359999999999999"/>
    <n v="8.2119999999999997"/>
    <n v="10.391999999999999"/>
    <n v="6.4630000000000001"/>
    <n v="4.4550000000000001"/>
    <n v="3.96"/>
    <n v="18.05"/>
    <n v="20.048999999999999"/>
    <n v="19.431999999999999"/>
    <n v="19.521000000000001"/>
    <n v="17.995000000000001"/>
    <n v="19.382000000000001"/>
    <n v="22.167999999999999"/>
    <n v="21.050999999999998"/>
    <n v="15.349"/>
    <n v="16.971"/>
    <n v="15.404"/>
    <n v="22.757000000000001"/>
    <n v="19.568000000000001"/>
    <n v="24.149000000000001"/>
    <n v="9.24"/>
    <n v="9.4429999999999996"/>
    <n v="11.23"/>
    <n v="11.185"/>
    <n v="11.63"/>
    <n v="12.836"/>
    <n v="12.117000000000001"/>
    <n v="12.795"/>
    <n v="16.402000000000001"/>
    <n v="21.03"/>
    <n v="31.126999999999999"/>
    <n v="389.59199999999998"/>
  </r>
  <r>
    <x v="2"/>
    <s v="PEST CONTROL"/>
    <s v="SC JOHNSON"/>
    <x v="1"/>
    <x v="2"/>
    <x v="3"/>
    <x v="0"/>
    <x v="4"/>
    <n v="1.2418891999999999"/>
    <n v="1.2417033"/>
    <n v="1.2415626"/>
    <n v="1.2185812"/>
    <n v="1.2180356999999999"/>
    <n v="1.0627413999999999"/>
    <n v="1.0511950000000001"/>
    <n v="0.83593079999999997"/>
    <n v="0.51755059999999997"/>
    <n v="1.1323108"/>
    <n v="1.1344421"/>
    <n v="1.002699"/>
    <n v="1.9878262"/>
    <n v="2.2751749999999999"/>
    <n v="2.9756941000000001"/>
    <n v="2.9953200999999998"/>
    <n v="2.9342253999999999"/>
    <n v="2.8323863"/>
    <n v="1.8233055"/>
    <n v="1.7044535000000001"/>
    <n v="1.3410545"/>
    <n v="1.357361"/>
    <n v="1.3572991000000001"/>
    <n v="1.7020729000000001"/>
    <n v="1.6824759"/>
    <n v="1.5855193999999999"/>
    <n v="1.2749702999999999"/>
    <n v="1.3228061"/>
    <n v="1.4561639"/>
    <n v="1.5135346999999999"/>
    <n v="0.97722549999999997"/>
    <n v="0.97722549999999997"/>
    <n v="1.3779907"/>
    <n v="1.3779916999999999"/>
    <n v="1.3779812"/>
    <n v="1.5601902000000001"/>
    <n v="1.4540519000000001"/>
    <n v="31.126999999999999"/>
  </r>
  <r>
    <x v="2"/>
    <s v="PEST CONTROL"/>
    <s v="SC JOHNSON"/>
    <x v="1"/>
    <x v="2"/>
    <x v="3"/>
    <x v="0"/>
    <x v="5"/>
    <n v="0.40300000000000002"/>
    <n v="0.39900000000000002"/>
    <n v="0.13500000000000001"/>
    <n v="0.128"/>
    <n v="0.13"/>
    <n v="0.121"/>
    <n v="8.2000000000000003E-2"/>
    <n v="7.8E-2"/>
    <n v="6.3E-2"/>
    <n v="0.20100000000000001"/>
    <n v="0.215"/>
    <n v="0.152"/>
    <n v="0.52800000000000002"/>
    <n v="0.65900000000000003"/>
    <n v="0.625"/>
    <n v="0.70899999999999996"/>
    <n v="0.70699999999999996"/>
    <n v="0.59299999999999997"/>
    <n v="0.56999999999999995"/>
    <n v="0.57999999999999996"/>
    <n v="0.53"/>
    <n v="0.52300000000000002"/>
    <n v="0.52600000000000002"/>
    <n v="0.90200000000000002"/>
    <n v="0.92600000000000005"/>
    <n v="0.75800000000000001"/>
    <n v="0.76200000000000001"/>
    <n v="0.504"/>
    <n v="0.70799999999999996"/>
    <n v="0.47799999999999998"/>
    <n v="0.79800000000000004"/>
    <n v="0.83299999999999996"/>
    <n v="1"/>
    <n v="0.98699999999999999"/>
    <n v="1.0609999999999999"/>
    <n v="1.18"/>
    <n v="0.97099999999999997"/>
    <n v="1.4540519000000001"/>
  </r>
  <r>
    <x v="2"/>
    <s v="PEST CONTROL"/>
    <s v="SC JOHNSON"/>
    <x v="1"/>
    <x v="3"/>
    <x v="2"/>
    <x v="0"/>
    <x v="0"/>
    <n v="0"/>
    <n v="0"/>
    <n v="22.285"/>
    <n v="4"/>
    <n v="3.8570000000000002"/>
    <n v="26.062000000000001"/>
    <n v="3"/>
    <n v="21.887"/>
    <n v="24.024999999999999"/>
    <n v="0"/>
    <n v="0"/>
    <n v="43.063000000000002"/>
    <n v="160.51900000000001"/>
    <n v="209.43"/>
    <n v="306.96899999999999"/>
    <n v="223.233"/>
    <n v="216.52799999999999"/>
    <n v="234.995"/>
    <n v="200.55600000000001"/>
    <n v="193.31"/>
    <n v="204.791"/>
    <n v="139.428"/>
    <n v="0"/>
    <n v="142.33199999999999"/>
    <n v="123.652"/>
    <n v="48.615000000000002"/>
    <n v="86.325999999999993"/>
    <n v="137.29599999999999"/>
    <n v="39.65"/>
    <n v="190.95500000000001"/>
    <n v="267.09199999999998"/>
    <n v="332.93900000000002"/>
    <n v="36.061999999999998"/>
    <n v="49.155999999999999"/>
    <n v="38.695"/>
    <n v="41.866999999999997"/>
    <n v="36.72"/>
    <n v="36.72"/>
  </r>
  <r>
    <x v="2"/>
    <s v="PEST CONTROL"/>
    <s v="SC JOHNSON"/>
    <x v="1"/>
    <x v="3"/>
    <x v="2"/>
    <x v="0"/>
    <x v="1"/>
    <n v="0"/>
    <n v="0"/>
    <n v="3010.6410000000001"/>
    <n v="599.98500000000001"/>
    <n v="568.58000000000004"/>
    <n v="3578.364"/>
    <n v="450"/>
    <n v="3173.5630000000001"/>
    <n v="3483.625"/>
    <n v="0"/>
    <n v="0"/>
    <n v="5555.1890000000003"/>
    <n v="20706.991999999998"/>
    <n v="26842.227999999999"/>
    <n v="44388.298999999999"/>
    <n v="33989.521999999997"/>
    <n v="37887.451999999997"/>
    <n v="36951.781000000003"/>
    <n v="32622.298999999999"/>
    <n v="31463.383999999998"/>
    <n v="35838.487000000001"/>
    <n v="24398.842000000001"/>
    <n v="0"/>
    <n v="24908.173999999999"/>
    <n v="21621.580999999998"/>
    <n v="7292.277"/>
    <n v="12948.924000000001"/>
    <n v="20594.406999999999"/>
    <n v="4621.7160000000003"/>
    <n v="28830.39"/>
    <n v="44345.421999999999"/>
    <n v="58328.991999999998"/>
    <n v="3245.5619999999999"/>
    <n v="5582.7790000000005"/>
    <n v="3496.2860000000001"/>
    <n v="3768.0279999999998"/>
    <n v="4769.2389999999996"/>
    <n v="4769.2389999999996"/>
  </r>
  <r>
    <x v="2"/>
    <s v="PEST CONTROL"/>
    <s v="SC JOHNSON"/>
    <x v="1"/>
    <x v="3"/>
    <x v="2"/>
    <x v="0"/>
    <x v="2"/>
    <n v="0"/>
    <n v="0"/>
    <n v="7.9000000000000001E-2"/>
    <n v="1.0999999999999999E-2"/>
    <n v="8.9999999999999993E-3"/>
    <n v="6.0999999999999999E-2"/>
    <n v="7.0000000000000001E-3"/>
    <n v="7.0999999999999994E-2"/>
    <n v="8.5000000000000006E-2"/>
    <n v="0"/>
    <n v="0"/>
    <n v="0.23899999999999999"/>
    <n v="0.88500000000000001"/>
    <n v="1.1180000000000001"/>
    <n v="1.399"/>
    <n v="0.81100000000000005"/>
    <n v="0.74099999999999999"/>
    <n v="0.82099999999999995"/>
    <n v="0.69099999999999995"/>
    <n v="0.72399999999999998"/>
    <n v="0.873"/>
    <n v="0.68700000000000006"/>
    <n v="0"/>
    <n v="0.95799999999999996"/>
    <n v="0.74199999999999999"/>
    <n v="0.24199999999999999"/>
    <n v="0.37"/>
    <n v="0.44400000000000001"/>
    <n v="0.111"/>
    <n v="0.48299999999999998"/>
    <n v="0.57999999999999996"/>
    <n v="0.68400000000000005"/>
    <n v="8.7999999999999995E-2"/>
    <n v="0.16"/>
    <n v="0.18099999999999999"/>
    <n v="0.307"/>
    <n v="0.40200000000000002"/>
    <n v="6.3E-2"/>
  </r>
  <r>
    <x v="2"/>
    <s v="PEST CONTROL"/>
    <s v="SC JOHNSON"/>
    <x v="1"/>
    <x v="3"/>
    <x v="2"/>
    <x v="0"/>
    <x v="3"/>
    <n v="0.495"/>
    <n v="0"/>
    <n v="0.54300000000000004"/>
    <n v="0.67900000000000005"/>
    <n v="0.80900000000000005"/>
    <n v="0.64100000000000001"/>
    <n v="0.25900000000000001"/>
    <n v="0.16200000000000001"/>
    <n v="0.3"/>
    <n v="0"/>
    <n v="0"/>
    <n v="21.99"/>
    <n v="25.271999999999998"/>
    <n v="24.472000000000001"/>
    <n v="35.305"/>
    <n v="25.13"/>
    <n v="9.3070000000000004"/>
    <n v="11.798999999999999"/>
    <n v="11.233000000000001"/>
    <n v="13.234"/>
    <n v="14.972"/>
    <n v="16.670999999999999"/>
    <n v="15.14"/>
    <n v="17.451000000000001"/>
    <n v="15.321"/>
    <n v="12.186999999999999"/>
    <n v="9.7509999999999994"/>
    <n v="9.016"/>
    <n v="6.83"/>
    <n v="7.3579999999999997"/>
    <n v="8.5129999999999999"/>
    <n v="10.856"/>
    <n v="0.4"/>
    <n v="0.56999999999999995"/>
    <n v="0.66500000000000004"/>
    <n v="0.71099999999999997"/>
    <n v="0.98599999999999999"/>
    <n v="49.662999999999997"/>
  </r>
  <r>
    <x v="2"/>
    <s v="PEST CONTROL"/>
    <s v="SC JOHNSON"/>
    <x v="1"/>
    <x v="3"/>
    <x v="2"/>
    <x v="0"/>
    <x v="4"/>
    <n v="0.45533580000000001"/>
    <n v="0.45526759999999999"/>
    <n v="0.4668139"/>
    <n v="0.51114009999999999"/>
    <n v="0.52245739999999996"/>
    <n v="0.41103810000000002"/>
    <n v="1.1546000000000001E-2"/>
    <n v="0.39949180000000001"/>
    <n v="0.49190620000000002"/>
    <n v="0"/>
    <n v="0"/>
    <n v="1.1557415"/>
    <n v="0.96303589999999994"/>
    <n v="1.6286851"/>
    <n v="3.2043767999999999"/>
    <n v="3.6166228999999999"/>
    <n v="1.8434018000000001"/>
    <n v="1.6712724000000001"/>
    <n v="1.0444414"/>
    <n v="0.90363269999999996"/>
    <n v="1.0327241"/>
    <n v="1.0326506"/>
    <n v="1.0326036000000001"/>
    <n v="1.0976975"/>
    <n v="1.1098177"/>
    <n v="1.8500817000000001"/>
    <n v="1.7430673000000001"/>
    <n v="2.5227233"/>
    <n v="1.5873443"/>
    <n v="1.5932103"/>
    <n v="1.592417"/>
    <n v="1.9170498"/>
    <n v="1.1432135999999999"/>
    <n v="1.1557694000000001"/>
    <n v="1.1557606"/>
    <n v="1.1846981999999999"/>
    <n v="1.1843125999999999"/>
    <n v="0.98599999999999999"/>
  </r>
  <r>
    <x v="2"/>
    <s v="PEST CONTROL"/>
    <s v="SC JOHNSON"/>
    <x v="1"/>
    <x v="3"/>
    <x v="2"/>
    <x v="0"/>
    <x v="5"/>
    <n v="9.8000000000000004E-2"/>
    <n v="0.105"/>
    <n v="4.2999999999999997E-2"/>
    <n v="4.1000000000000002E-2"/>
    <n v="4.2999999999999997E-2"/>
    <n v="0"/>
    <n v="0"/>
    <n v="3.9E-2"/>
    <n v="0"/>
    <n v="0"/>
    <n v="0"/>
    <n v="0.35199999999999998"/>
    <n v="0.32700000000000001"/>
    <n v="0.44500000000000001"/>
    <n v="1.2270000000000001"/>
    <n v="1.0049999999999999"/>
    <n v="0.53"/>
    <n v="0.434"/>
    <n v="0.45800000000000002"/>
    <n v="0.53900000000000003"/>
    <n v="0.495"/>
    <n v="0.48799999999999999"/>
    <n v="0.73599999999999999"/>
    <n v="0.54900000000000004"/>
    <n v="0.56299999999999994"/>
    <n v="0.55700000000000005"/>
    <n v="0.56200000000000006"/>
    <n v="0.52200000000000002"/>
    <n v="0.48499999999999999"/>
    <n v="0.222"/>
    <n v="0.76"/>
    <n v="0.14899999999999999"/>
    <n v="0.161"/>
    <n v="0.126"/>
    <n v="0.13600000000000001"/>
    <n v="0.13600000000000001"/>
    <n v="0.124"/>
    <n v="1.1843125999999999"/>
  </r>
  <r>
    <x v="2"/>
    <s v="PEST CONTROL"/>
    <s v="SC JOHNSON"/>
    <x v="1"/>
    <x v="4"/>
    <x v="2"/>
    <x v="0"/>
    <x v="0"/>
    <n v="17.381"/>
    <n v="12.262"/>
    <n v="20.277999999999999"/>
    <n v="46.704000000000001"/>
    <n v="57.741999999999997"/>
    <n v="98.775000000000006"/>
    <n v="169.06200000000001"/>
    <n v="145.238"/>
    <n v="35.875"/>
    <n v="0"/>
    <n v="0"/>
    <n v="4.3049999999999997"/>
    <n v="4.3049999999999997"/>
    <n v="0"/>
    <n v="0"/>
    <n v="0"/>
    <n v="0"/>
    <n v="0"/>
    <n v="0"/>
    <n v="7.1870000000000003"/>
    <n v="0"/>
    <n v="0"/>
    <n v="0"/>
    <n v="0"/>
    <n v="0"/>
    <n v="0"/>
    <n v="130.97"/>
    <n v="468.53199999999998"/>
    <n v="269.952"/>
    <n v="289.613"/>
    <n v="215.762"/>
    <n v="562.91399999999999"/>
    <n v="441.452"/>
    <n v="262.37299999999999"/>
    <n v="0"/>
    <n v="0"/>
    <n v="10.156000000000001"/>
    <n v="10.156000000000001"/>
  </r>
  <r>
    <x v="2"/>
    <s v="PEST CONTROL"/>
    <s v="SC JOHNSON"/>
    <x v="1"/>
    <x v="4"/>
    <x v="2"/>
    <x v="0"/>
    <x v="1"/>
    <n v="1849.6079999999999"/>
    <n v="1357.7280000000001"/>
    <n v="2070.779"/>
    <n v="4789.9210000000003"/>
    <n v="5893.7060000000001"/>
    <n v="13802.837"/>
    <n v="21086.824000000001"/>
    <n v="19857.09"/>
    <n v="4304.9399999999996"/>
    <n v="0"/>
    <n v="0"/>
    <n v="516.59299999999996"/>
    <n v="516.59299999999996"/>
    <n v="0"/>
    <n v="0"/>
    <n v="0"/>
    <n v="0"/>
    <n v="0"/>
    <n v="0"/>
    <n v="790.58699999999999"/>
    <n v="0"/>
    <n v="0"/>
    <n v="0"/>
    <n v="0"/>
    <n v="0"/>
    <n v="0"/>
    <n v="18602.978999999999"/>
    <n v="67211.823000000004"/>
    <n v="40600.779000000002"/>
    <n v="41747.838000000003"/>
    <n v="30646.893"/>
    <n v="49354.764000000003"/>
    <n v="31983.274000000001"/>
    <n v="15742.356"/>
    <n v="0"/>
    <n v="0"/>
    <n v="1828.058"/>
    <n v="1828.058"/>
  </r>
  <r>
    <x v="2"/>
    <s v="PEST CONTROL"/>
    <s v="SC JOHNSON"/>
    <x v="1"/>
    <x v="4"/>
    <x v="2"/>
    <x v="0"/>
    <x v="2"/>
    <n v="8.7999999999999995E-2"/>
    <n v="5.6000000000000001E-2"/>
    <n v="7.1999999999999995E-2"/>
    <n v="0.123"/>
    <n v="0.13400000000000001"/>
    <n v="0.28199999999999997"/>
    <n v="0.47199999999999998"/>
    <n v="0.54900000000000004"/>
    <n v="0.127"/>
    <n v="0"/>
    <n v="0"/>
    <n v="2.4E-2"/>
    <n v="2.4E-2"/>
    <n v="0"/>
    <n v="0"/>
    <n v="0"/>
    <n v="0"/>
    <n v="0"/>
    <n v="0"/>
    <n v="2.7E-2"/>
    <n v="0"/>
    <n v="0"/>
    <n v="0"/>
    <n v="0"/>
    <n v="0"/>
    <n v="0"/>
    <n v="0.56100000000000005"/>
    <n v="1.514"/>
    <n v="0.753"/>
    <n v="0.73199999999999998"/>
    <n v="0.46800000000000003"/>
    <n v="1.1559999999999999"/>
    <n v="1.0820000000000001"/>
    <n v="0.85499999999999998"/>
    <n v="0"/>
    <n v="0"/>
    <n v="0.111"/>
    <n v="1.7999999999999999E-2"/>
  </r>
  <r>
    <x v="2"/>
    <s v="PEST CONTROL"/>
    <s v="SC JOHNSON"/>
    <x v="1"/>
    <x v="4"/>
    <x v="2"/>
    <x v="0"/>
    <x v="3"/>
    <n v="4.38"/>
    <n v="3.5680000000000001"/>
    <n v="0.85499999999999998"/>
    <n v="1.359"/>
    <n v="1.5169999999999999"/>
    <n v="4.8040000000000003"/>
    <n v="5.4249999999999998"/>
    <n v="5.4029999999999996"/>
    <n v="1.135"/>
    <n v="0.79300000000000004"/>
    <n v="7.5999999999999998E-2"/>
    <n v="0.111"/>
    <n v="8.5999999999999993E-2"/>
    <n v="8.5000000000000006E-2"/>
    <n v="0.745"/>
    <n v="0.61799999999999999"/>
    <n v="0.81"/>
    <n v="0.39400000000000002"/>
    <n v="0.32600000000000001"/>
    <n v="0.875"/>
    <n v="0"/>
    <n v="0"/>
    <n v="0"/>
    <n v="0"/>
    <n v="0.21299999999999999"/>
    <n v="7.6999999999999999E-2"/>
    <n v="19.859000000000002"/>
    <n v="18.085999999999999"/>
    <n v="13.948"/>
    <n v="12.18"/>
    <n v="8.2089999999999996"/>
    <n v="8.1989999999999998"/>
    <n v="8.8460000000000001"/>
    <n v="11.417"/>
    <n v="0.65200000000000002"/>
    <n v="0.79200000000000004"/>
    <n v="0.49199999999999999"/>
    <n v="20.99"/>
  </r>
  <r>
    <x v="2"/>
    <s v="PEST CONTROL"/>
    <s v="SC JOHNSON"/>
    <x v="1"/>
    <x v="4"/>
    <x v="2"/>
    <x v="0"/>
    <x v="4"/>
    <n v="0.2366586"/>
    <n v="0.23662320000000001"/>
    <n v="0.1229373"/>
    <n v="0.12706310000000001"/>
    <n v="0.12700620000000001"/>
    <n v="0.94207399999999997"/>
    <n v="1.0751299000000001"/>
    <n v="1.0751294"/>
    <n v="0.1422099"/>
    <n v="0.1421945"/>
    <n v="0.14217669999999999"/>
    <n v="0.1421376"/>
    <n v="0.1421249"/>
    <n v="8.15554E-2"/>
    <n v="8.1555900000000001E-2"/>
    <n v="8.2018599999999997E-2"/>
    <n v="8.2015900000000003E-2"/>
    <n v="6.5612199999999996E-2"/>
    <n v="6.5612199999999996E-2"/>
    <n v="6.5612199999999996E-2"/>
    <n v="0"/>
    <n v="0"/>
    <n v="0"/>
    <n v="0"/>
    <n v="0.28178419999999998"/>
    <n v="0.32203419999999999"/>
    <n v="1.3984382"/>
    <n v="1.3983303"/>
    <n v="1.3979813000000001"/>
    <n v="1.5222899000000001"/>
    <n v="1.5215319"/>
    <n v="1.5215319"/>
    <n v="1.5215311"/>
    <n v="1.1968993999999999"/>
    <n v="0.32463039999999999"/>
    <n v="0.2861477"/>
    <n v="0.28605459999999999"/>
    <n v="0.49199999999999999"/>
  </r>
  <r>
    <x v="2"/>
    <s v="PEST CONTROL"/>
    <s v="SC JOHNSON"/>
    <x v="1"/>
    <x v="4"/>
    <x v="2"/>
    <x v="0"/>
    <x v="5"/>
    <n v="8.6999999999999994E-2"/>
    <n v="8.5000000000000006E-2"/>
    <n v="0.127"/>
    <n v="9.9000000000000005E-2"/>
    <n v="0.14299999999999999"/>
    <n v="0.29299999999999998"/>
    <n v="0.29699999999999999"/>
    <n v="0.215"/>
    <n v="0.189"/>
    <n v="0.215"/>
    <n v="0.22800000000000001"/>
    <n v="0.192"/>
    <n v="0.17899999999999999"/>
    <n v="1.6E-2"/>
    <n v="1.4E-2"/>
    <n v="1.6E-2"/>
    <n v="1.6E-2"/>
    <n v="1.4E-2"/>
    <n v="1.2999999999999999E-2"/>
    <n v="0"/>
    <n v="0"/>
    <n v="0"/>
    <n v="0"/>
    <n v="0"/>
    <n v="2.5999999999999999E-2"/>
    <n v="2.7E-2"/>
    <n v="0.75600000000000001"/>
    <n v="7.1999999999999995E-2"/>
    <n v="0.122"/>
    <n v="2.4319999999999999"/>
    <n v="0.70799999999999996"/>
    <n v="0.92200000000000004"/>
    <n v="0.66500000000000004"/>
    <n v="0"/>
    <n v="3.5000000000000003E-2"/>
    <n v="2.9000000000000001E-2"/>
    <n v="5.1999999999999998E-2"/>
    <n v="0.28605459999999999"/>
  </r>
  <r>
    <x v="2"/>
    <s v="PEST CONTROL"/>
    <s v="SC JOHNSON"/>
    <x v="1"/>
    <x v="4"/>
    <x v="3"/>
    <x v="0"/>
    <x v="0"/>
    <n v="97.998999999999995"/>
    <n v="53.103000000000002"/>
    <n v="169.042"/>
    <n v="85.802000000000007"/>
    <n v="142.84"/>
    <n v="209.90299999999999"/>
    <n v="144.15199999999999"/>
    <n v="67.308999999999997"/>
    <n v="75.391999999999996"/>
    <n v="7.4219999999999997"/>
    <n v="6.95"/>
    <n v="8.4139999999999997"/>
    <n v="6.5220000000000002"/>
    <n v="29.274000000000001"/>
    <n v="10.558999999999999"/>
    <n v="11.375"/>
    <n v="0.875"/>
    <n v="124.881"/>
    <n v="128.77199999999999"/>
    <n v="77.484999999999999"/>
    <n v="28.707000000000001"/>
    <n v="27.442"/>
    <n v="35.572000000000003"/>
    <n v="169.94200000000001"/>
    <n v="146.506"/>
    <n v="144.77600000000001"/>
    <n v="157.21899999999999"/>
    <n v="7.9"/>
    <n v="28.349"/>
    <n v="127.524"/>
    <n v="60.183999999999997"/>
    <n v="479.43299999999999"/>
    <n v="186.667"/>
    <n v="182.553"/>
    <n v="25.204999999999998"/>
    <n v="36.505000000000003"/>
    <n v="7.452"/>
    <n v="7.452"/>
  </r>
  <r>
    <x v="2"/>
    <s v="PEST CONTROL"/>
    <s v="SC JOHNSON"/>
    <x v="1"/>
    <x v="4"/>
    <x v="3"/>
    <x v="0"/>
    <x v="1"/>
    <n v="27348.962"/>
    <n v="14911.121999999999"/>
    <n v="42441.385000000002"/>
    <n v="25553.760999999999"/>
    <n v="39173.644999999997"/>
    <n v="57911.788999999997"/>
    <n v="41660.256999999998"/>
    <n v="14270.106"/>
    <n v="16683.749"/>
    <n v="1113.2570000000001"/>
    <n v="1042.549"/>
    <n v="1411.0740000000001"/>
    <n v="978.298"/>
    <n v="4391.0280000000002"/>
    <n v="3283.973"/>
    <n v="3276.0129999999999"/>
    <n v="251.98699999999999"/>
    <n v="20286.793000000001"/>
    <n v="23976.963"/>
    <n v="13738.227000000001"/>
    <n v="5019.3419999999996"/>
    <n v="4914.7280000000001"/>
    <n v="5864.866"/>
    <n v="32317.429"/>
    <n v="27611.532999999999"/>
    <n v="27125.634999999998"/>
    <n v="33681.572999999997"/>
    <n v="2144.723"/>
    <n v="7800.9390000000003"/>
    <n v="34582.192000000003"/>
    <n v="16125.447"/>
    <n v="117634.281"/>
    <n v="54814.063999999998"/>
    <n v="53785.472000000002"/>
    <n v="5313.6260000000002"/>
    <n v="9325.7029999999995"/>
    <n v="2322.0279999999998"/>
    <n v="2322.0279999999998"/>
  </r>
  <r>
    <x v="2"/>
    <s v="PEST CONTROL"/>
    <s v="SC JOHNSON"/>
    <x v="1"/>
    <x v="4"/>
    <x v="3"/>
    <x v="0"/>
    <x v="2"/>
    <n v="0.59799999999999998"/>
    <n v="0.29299999999999998"/>
    <n v="0.72199999999999998"/>
    <n v="0.27200000000000002"/>
    <n v="0.39900000000000002"/>
    <n v="0.58499999999999996"/>
    <n v="0.42199999999999999"/>
    <n v="0.26"/>
    <n v="0.31900000000000001"/>
    <n v="0.04"/>
    <n v="4.3999999999999997E-2"/>
    <n v="5.6000000000000001E-2"/>
    <n v="4.2999999999999997E-2"/>
    <n v="0.188"/>
    <n v="5.8000000000000003E-2"/>
    <n v="0.05"/>
    <n v="4.0000000000000001E-3"/>
    <n v="0.52300000000000002"/>
    <n v="0.53200000000000003"/>
    <n v="0.34799999999999998"/>
    <n v="0.14699999999999999"/>
    <n v="0.16200000000000001"/>
    <n v="0.251"/>
    <n v="1.3720000000000001"/>
    <n v="1.0549999999999999"/>
    <n v="0.86699999999999999"/>
    <n v="0.80900000000000005"/>
    <n v="3.1E-2"/>
    <n v="9.5000000000000001E-2"/>
    <n v="0.38700000000000001"/>
    <n v="0.157"/>
    <n v="1.1819999999999999"/>
    <n v="0.54900000000000004"/>
    <n v="0.71399999999999997"/>
    <n v="0.14199999999999999"/>
    <n v="0.32100000000000001"/>
    <n v="9.8000000000000004E-2"/>
    <n v="1.2999999999999999E-2"/>
  </r>
  <r>
    <x v="2"/>
    <s v="PEST CONTROL"/>
    <s v="SC JOHNSON"/>
    <x v="1"/>
    <x v="4"/>
    <x v="3"/>
    <x v="0"/>
    <x v="3"/>
    <n v="14.925000000000001"/>
    <n v="10.801"/>
    <n v="13.554"/>
    <n v="15.497999999999999"/>
    <n v="14.378"/>
    <n v="14.906000000000001"/>
    <n v="16.466999999999999"/>
    <n v="11.906000000000001"/>
    <n v="11.891999999999999"/>
    <n v="0.48599999999999999"/>
    <n v="0.55000000000000004"/>
    <n v="0.26900000000000002"/>
    <n v="0.28799999999999998"/>
    <n v="1.056"/>
    <n v="0.42599999999999999"/>
    <n v="1.04"/>
    <n v="1.1890000000000001"/>
    <n v="2.5760000000000001"/>
    <n v="3.819"/>
    <n v="1.806"/>
    <n v="1.6679999999999999"/>
    <n v="1.4950000000000001"/>
    <n v="17.004000000000001"/>
    <n v="19.286000000000001"/>
    <n v="16.27"/>
    <n v="11.618"/>
    <n v="9.2769999999999992"/>
    <n v="7.7519999999999998"/>
    <n v="9.15"/>
    <n v="14.067"/>
    <n v="15.327"/>
    <n v="18.265000000000001"/>
    <n v="16.154"/>
    <n v="14.943"/>
    <n v="14.379"/>
    <n v="15.205"/>
    <n v="22.260999999999999"/>
    <n v="495.68099999999998"/>
  </r>
  <r>
    <x v="2"/>
    <s v="PEST CONTROL"/>
    <s v="SC JOHNSON"/>
    <x v="1"/>
    <x v="4"/>
    <x v="3"/>
    <x v="0"/>
    <x v="4"/>
    <n v="0.26682099999999997"/>
    <n v="0.33173639999999999"/>
    <n v="0.33169880000000002"/>
    <n v="0.54521609999999998"/>
    <n v="0.54497209999999996"/>
    <n v="0.54497189999999995"/>
    <n v="0.54497169999999995"/>
    <n v="0.54497150000000005"/>
    <n v="0.5618455"/>
    <n v="6.0607500000000002E-2"/>
    <n v="6.0599899999999998E-2"/>
    <n v="6.9227999999999998E-2"/>
    <n v="6.0577800000000001E-2"/>
    <n v="7.5730000000000006E-2"/>
    <n v="0.2155405"/>
    <n v="0.1081708"/>
    <n v="0.2601077"/>
    <n v="0.4212071"/>
    <n v="1.766797"/>
    <n v="1.7402823999999999"/>
    <n v="1.9291037"/>
    <n v="1.8797609"/>
    <n v="1.4674210000000001"/>
    <n v="1.3602961"/>
    <n v="1.4015036999999999"/>
    <n v="1.1816768"/>
    <n v="0.98994839999999995"/>
    <n v="0.82152080000000005"/>
    <n v="1.1245970000000001"/>
    <n v="1.4566828000000001"/>
    <n v="1.4756562"/>
    <n v="1.4731452"/>
    <n v="1.5367226"/>
    <n v="1.4513502"/>
    <n v="1.2146804"/>
    <n v="1.4786919000000001"/>
    <n v="1.2393604"/>
    <n v="22.260999999999999"/>
  </r>
  <r>
    <x v="2"/>
    <s v="PEST CONTROL"/>
    <s v="SC JOHNSON"/>
    <x v="1"/>
    <x v="4"/>
    <x v="3"/>
    <x v="0"/>
    <x v="5"/>
    <n v="0.20399999999999999"/>
    <n v="0.218"/>
    <n v="0"/>
    <n v="0.186"/>
    <n v="0.1"/>
    <n v="0.10299999999999999"/>
    <n v="3.6999999999999998E-2"/>
    <n v="7.8E-2"/>
    <n v="0"/>
    <n v="0"/>
    <n v="0"/>
    <n v="0"/>
    <n v="0"/>
    <n v="0.114"/>
    <n v="0.75900000000000001"/>
    <n v="0.79500000000000004"/>
    <n v="0.83499999999999996"/>
    <n v="0.52100000000000002"/>
    <n v="0.46100000000000002"/>
    <n v="0.41499999999999998"/>
    <n v="0.33600000000000002"/>
    <n v="0.28000000000000003"/>
    <n v="0.36199999999999999"/>
    <n v="0.63500000000000001"/>
    <n v="0.65100000000000002"/>
    <n v="0.54100000000000004"/>
    <n v="0.47899999999999998"/>
    <n v="0.44500000000000001"/>
    <n v="0.40699999999999997"/>
    <n v="0.46400000000000002"/>
    <n v="0.50700000000000001"/>
    <n v="1.0569999999999999"/>
    <n v="1.2310000000000001"/>
    <n v="1.258"/>
    <n v="1.323"/>
    <n v="1.5089999999999999"/>
    <n v="1.2350000000000001"/>
    <n v="1.2393604"/>
  </r>
  <r>
    <x v="2"/>
    <s v="PEST CONTROL"/>
    <s v="SC JOHNSON"/>
    <x v="2"/>
    <x v="0"/>
    <x v="2"/>
    <x v="0"/>
    <x v="0"/>
    <n v="751.83500000000004"/>
    <n v="1494.4190000000001"/>
    <n v="1896.6579999999999"/>
    <n v="2505.9409999999998"/>
    <n v="2549.0430000000001"/>
    <n v="2693.4250000000002"/>
    <n v="2035.979"/>
    <n v="1641.3710000000001"/>
    <n v="1557.008"/>
    <n v="1035.2070000000001"/>
    <n v="941.55200000000002"/>
    <n v="978.27700000000004"/>
    <n v="926.67700000000002"/>
    <n v="1356.308"/>
    <n v="1207.8420000000001"/>
    <n v="1608.6420000000001"/>
    <n v="1339.404"/>
    <n v="1313.8630000000001"/>
    <n v="1361.864"/>
    <n v="1154.431"/>
    <n v="1693.05"/>
    <n v="2045.0830000000001"/>
    <n v="1712.1120000000001"/>
    <n v="1274.1130000000001"/>
    <n v="1474.943"/>
    <n v="1171.03"/>
    <n v="1149.3430000000001"/>
    <n v="1510.6279999999999"/>
    <n v="1828.3520000000001"/>
    <n v="1947.1279999999999"/>
    <n v="2777.953"/>
    <n v="2703.37"/>
    <n v="2289.7779999999998"/>
    <n v="2848.7339999999999"/>
    <n v="2068.1959999999999"/>
    <n v="929.36599999999999"/>
    <n v="73.156000000000006"/>
    <n v="73.156000000000006"/>
  </r>
  <r>
    <x v="2"/>
    <s v="PEST CONTROL"/>
    <s v="SC JOHNSON"/>
    <x v="2"/>
    <x v="0"/>
    <x v="2"/>
    <x v="0"/>
    <x v="1"/>
    <n v="70252.111000000004"/>
    <n v="138493.33799999999"/>
    <n v="170569.08799999999"/>
    <n v="226826.87599999999"/>
    <n v="232545.101"/>
    <n v="264121.58399999997"/>
    <n v="190616.14799999999"/>
    <n v="153298.31299999999"/>
    <n v="149508.01500000001"/>
    <n v="100350.92600000001"/>
    <n v="94394.572"/>
    <n v="98976.786999999997"/>
    <n v="86556.69"/>
    <n v="135008.79399999999"/>
    <n v="124209.442"/>
    <n v="155106.69899999999"/>
    <n v="125706.565"/>
    <n v="133670.15900000001"/>
    <n v="141668.04"/>
    <n v="128779.769"/>
    <n v="189466.47099999999"/>
    <n v="213690.81299999999"/>
    <n v="173628.45499999999"/>
    <n v="134389.927"/>
    <n v="155700.45699999999"/>
    <n v="114838.92200000001"/>
    <n v="146284.53899999999"/>
    <n v="195436.79699999999"/>
    <n v="215715.21599999999"/>
    <n v="235490.20800000001"/>
    <n v="321449.34600000002"/>
    <n v="303458.25599999999"/>
    <n v="273920.70400000003"/>
    <n v="312369.63699999999"/>
    <n v="227615.467"/>
    <n v="99246.891000000003"/>
    <n v="7354.4750000000004"/>
    <n v="7354.4750000000004"/>
  </r>
  <r>
    <x v="2"/>
    <s v="PEST CONTROL"/>
    <s v="SC JOHNSON"/>
    <x v="2"/>
    <x v="0"/>
    <x v="2"/>
    <x v="0"/>
    <x v="2"/>
    <n v="3.82"/>
    <n v="6.8929999999999998"/>
    <n v="6.8010000000000002"/>
    <n v="6.6130000000000004"/>
    <n v="6.1079999999999997"/>
    <n v="6.2679999999999998"/>
    <n v="4.9720000000000004"/>
    <n v="5.35"/>
    <n v="5.55"/>
    <n v="4.7279999999999998"/>
    <n v="4.9859999999999998"/>
    <n v="5.4219999999999997"/>
    <n v="5.2309999999999999"/>
    <n v="7.24"/>
    <n v="5.5060000000000002"/>
    <n v="5.8879999999999999"/>
    <n v="4.5810000000000004"/>
    <n v="4.6749999999999998"/>
    <n v="4.7300000000000004"/>
    <n v="4.3239999999999998"/>
    <n v="7.2210000000000001"/>
    <n v="10.141999999999999"/>
    <n v="10.086"/>
    <n v="8.5739999999999998"/>
    <n v="8.9550000000000001"/>
    <n v="5.8410000000000002"/>
    <n v="5.0220000000000002"/>
    <n v="5.0279999999999996"/>
    <n v="5.3659999999999997"/>
    <n v="5.1449999999999996"/>
    <n v="6.27"/>
    <n v="5.8520000000000003"/>
    <n v="5.8860000000000001"/>
    <n v="9.6059999999999999"/>
    <n v="9.9469999999999992"/>
    <n v="6.806"/>
    <n v="0.8"/>
    <n v="0.126"/>
  </r>
  <r>
    <x v="2"/>
    <s v="PEST CONTROL"/>
    <s v="SC JOHNSON"/>
    <x v="2"/>
    <x v="0"/>
    <x v="2"/>
    <x v="0"/>
    <x v="3"/>
    <n v="61.383000000000003"/>
    <n v="60.241999999999997"/>
    <n v="57.17"/>
    <n v="50.209000000000003"/>
    <n v="50.304000000000002"/>
    <n v="50.451000000000001"/>
    <n v="46.874000000000002"/>
    <n v="49.259"/>
    <n v="56.104999999999997"/>
    <n v="47.945"/>
    <n v="44.563000000000002"/>
    <n v="56.792000000000002"/>
    <n v="53.384"/>
    <n v="70.096999999999994"/>
    <n v="61.314"/>
    <n v="53.268000000000001"/>
    <n v="46.302999999999997"/>
    <n v="44.725999999999999"/>
    <n v="44.389000000000003"/>
    <n v="46.107999999999997"/>
    <n v="52.597999999999999"/>
    <n v="58.101999999999997"/>
    <n v="60.829000000000001"/>
    <n v="56.665999999999997"/>
    <n v="59.795000000000002"/>
    <n v="61.009"/>
    <n v="29.79"/>
    <n v="43.125"/>
    <n v="34.134999999999998"/>
    <n v="33.374000000000002"/>
    <n v="30.547000000000001"/>
    <n v="31.143000000000001"/>
    <n v="33.534999999999997"/>
    <n v="35.92"/>
    <n v="40.802999999999997"/>
    <n v="41.616"/>
    <n v="46.615000000000002"/>
    <n v="1102"/>
  </r>
  <r>
    <x v="2"/>
    <s v="PEST CONTROL"/>
    <s v="SC JOHNSON"/>
    <x v="2"/>
    <x v="0"/>
    <x v="2"/>
    <x v="0"/>
    <x v="4"/>
    <n v="9.9535359999999997"/>
    <n v="9.9986625999999994"/>
    <n v="11.9894506"/>
    <n v="14.566373499999999"/>
    <n v="15.338308700000001"/>
    <n v="13.1924881"/>
    <n v="12.258977"/>
    <n v="11.5391472"/>
    <n v="10.5976882"/>
    <n v="9.7263806000000006"/>
    <n v="10.054784700000001"/>
    <n v="9.6705158000000004"/>
    <n v="8.0670199999999994"/>
    <n v="10.5666005"/>
    <n v="9.0472142000000009"/>
    <n v="11.7222189"/>
    <n v="13.072461000000001"/>
    <n v="11.707225599999999"/>
    <n v="10.432181999999999"/>
    <n v="9.9080092999999998"/>
    <n v="11.493509100000001"/>
    <n v="11.0305453"/>
    <n v="10.2234467"/>
    <n v="10.072478500000001"/>
    <n v="10.245939999999999"/>
    <n v="10.326825100000001"/>
    <n v="8.7013770000000008"/>
    <n v="8.5421203999999999"/>
    <n v="10.0797016"/>
    <n v="9.8697116000000005"/>
    <n v="11.3737742"/>
    <n v="10.2814953"/>
    <n v="10.357623200000001"/>
    <n v="10.9868968"/>
    <n v="9.4621408000000002"/>
    <n v="6.1266343000000001"/>
    <n v="5.9063999000000003"/>
    <n v="46.615000000000002"/>
  </r>
  <r>
    <x v="2"/>
    <s v="PEST CONTROL"/>
    <s v="SC JOHNSON"/>
    <x v="2"/>
    <x v="0"/>
    <x v="2"/>
    <x v="0"/>
    <x v="5"/>
    <n v="4.282"/>
    <n v="4.2469999999999999"/>
    <n v="5.077"/>
    <n v="6.0780000000000003"/>
    <n v="5.093"/>
    <n v="5.2850000000000001"/>
    <n v="3.3450000000000002"/>
    <n v="3.5979999999999999"/>
    <n v="4.3109999999999999"/>
    <n v="4.0199999999999996"/>
    <n v="3.891"/>
    <n v="3.6419999999999999"/>
    <n v="3.145"/>
    <n v="5.8979999999999997"/>
    <n v="5.6859999999999999"/>
    <n v="4.6749999999999998"/>
    <n v="4.4089999999999998"/>
    <n v="3.26"/>
    <n v="2.8980000000000001"/>
    <n v="4.8899999999999997"/>
    <n v="7.4989999999999997"/>
    <n v="4.5570000000000004"/>
    <n v="4.5140000000000002"/>
    <n v="4.16"/>
    <n v="3.0750000000000002"/>
    <n v="2.484"/>
    <n v="3.0659999999999998"/>
    <n v="5.7039999999999997"/>
    <n v="6.3179999999999996"/>
    <n v="6.3869999999999996"/>
    <n v="5.8419999999999996"/>
    <n v="5.3179999999999996"/>
    <n v="4.6109999999999998"/>
    <n v="4.3140000000000001"/>
    <n v="3.7250000000000001"/>
    <n v="3.157"/>
    <n v="2.746"/>
    <n v="5.9063999000000003"/>
  </r>
  <r>
    <x v="2"/>
    <s v="PEST CONTROL"/>
    <s v="SC JOHNSON"/>
    <x v="2"/>
    <x v="0"/>
    <x v="0"/>
    <x v="0"/>
    <x v="0"/>
    <n v="1046.5409999999999"/>
    <n v="1730.865"/>
    <n v="1595.037"/>
    <n v="1816.982"/>
    <n v="1913.193"/>
    <n v="2450.4369999999999"/>
    <n v="2633.9879999999998"/>
    <n v="2414.5189999999998"/>
    <n v="2228.1170000000002"/>
    <n v="1745.953"/>
    <n v="1350.72"/>
    <n v="1285.146"/>
    <n v="1218.652"/>
    <n v="1219.7719999999999"/>
    <n v="1752.306"/>
    <n v="2441.77"/>
    <n v="3413.1410000000001"/>
    <n v="2987.1419999999998"/>
    <n v="2543.172"/>
    <n v="2437.2170000000001"/>
    <n v="1964.933"/>
    <n v="1291.4849999999999"/>
    <n v="1056.6389999999999"/>
    <n v="904.11699999999996"/>
    <n v="957.28599999999994"/>
    <n v="1026.277"/>
    <n v="1156.5740000000001"/>
    <n v="1749.9570000000001"/>
    <n v="1510.05"/>
    <n v="1748.681"/>
    <n v="1703.0450000000001"/>
    <n v="2040.32"/>
    <n v="2077.076"/>
    <n v="1317.434"/>
    <n v="986.34299999999996"/>
    <n v="637.30999999999995"/>
    <n v="384.54700000000003"/>
    <n v="562.93100000000004"/>
  </r>
  <r>
    <x v="2"/>
    <s v="PEST CONTROL"/>
    <s v="SC JOHNSON"/>
    <x v="2"/>
    <x v="0"/>
    <x v="0"/>
    <x v="0"/>
    <x v="1"/>
    <n v="170133.13"/>
    <n v="266900.64799999999"/>
    <n v="233631.11900000001"/>
    <n v="239870.65599999999"/>
    <n v="250134.55300000001"/>
    <n v="322808.78000000003"/>
    <n v="367936.64199999999"/>
    <n v="335200.68800000002"/>
    <n v="302689.90100000001"/>
    <n v="215550.09099999999"/>
    <n v="159331.05300000001"/>
    <n v="152062.29500000001"/>
    <n v="140297.60200000001"/>
    <n v="156197.83900000001"/>
    <n v="227858.73300000001"/>
    <n v="350781.09"/>
    <n v="486768.12800000003"/>
    <n v="419025.315"/>
    <n v="363047.75799999997"/>
    <n v="330443.033"/>
    <n v="260779.829"/>
    <n v="176381.53200000001"/>
    <n v="135538.86900000001"/>
    <n v="114813.315"/>
    <n v="145758.397"/>
    <n v="131469.872"/>
    <n v="150781.53200000001"/>
    <n v="234277.011"/>
    <n v="225985.99100000001"/>
    <n v="258699.69899999999"/>
    <n v="262176.08"/>
    <n v="327895.48200000002"/>
    <n v="339100.82400000002"/>
    <n v="245021.709"/>
    <n v="194782.054"/>
    <n v="141314.04"/>
    <n v="85919.376999999993"/>
    <n v="85919.376999999993"/>
  </r>
  <r>
    <x v="2"/>
    <s v="PEST CONTROL"/>
    <s v="SC JOHNSON"/>
    <x v="2"/>
    <x v="0"/>
    <x v="0"/>
    <x v="0"/>
    <x v="2"/>
    <n v="6.3819999999999997"/>
    <n v="9.5630000000000006"/>
    <n v="6.8120000000000003"/>
    <n v="5.7530000000000001"/>
    <n v="5.3380000000000001"/>
    <n v="6.83"/>
    <n v="7.7190000000000003"/>
    <n v="9.3330000000000002"/>
    <n v="9.4390000000000001"/>
    <n v="9.4939999999999998"/>
    <n v="8.4870000000000001"/>
    <n v="8.548"/>
    <n v="8.0649999999999995"/>
    <n v="7.8140000000000001"/>
    <n v="9.5860000000000003"/>
    <n v="10.64"/>
    <n v="14.007999999999999"/>
    <n v="12.521000000000001"/>
    <n v="10.51"/>
    <n v="10.954000000000001"/>
    <n v="10.057"/>
    <n v="7.6310000000000002"/>
    <n v="7.4690000000000003"/>
    <n v="7.3010000000000002"/>
    <n v="6.891"/>
    <n v="6.1429999999999998"/>
    <n v="5.95"/>
    <n v="6.7859999999999996"/>
    <n v="5.0570000000000004"/>
    <n v="5.3049999999999997"/>
    <n v="4.4359999999999999"/>
    <n v="5.0289999999999999"/>
    <n v="6.1109999999999998"/>
    <n v="5.1529999999999996"/>
    <n v="5.5469999999999997"/>
    <n v="5.601"/>
    <n v="5.048"/>
    <n v="0.97199999999999998"/>
  </r>
  <r>
    <x v="2"/>
    <s v="PEST CONTROL"/>
    <s v="SC JOHNSON"/>
    <x v="2"/>
    <x v="0"/>
    <x v="0"/>
    <x v="0"/>
    <x v="3"/>
    <n v="70.878"/>
    <n v="66.537999999999997"/>
    <n v="59.963999999999999"/>
    <n v="57.151000000000003"/>
    <n v="46.777999999999999"/>
    <n v="53.48"/>
    <n v="53.04"/>
    <n v="58.018000000000001"/>
    <n v="63.957000000000001"/>
    <n v="37.963999999999999"/>
    <n v="46.231999999999999"/>
    <n v="48.448999999999998"/>
    <n v="41.002000000000002"/>
    <n v="42.555"/>
    <n v="42.743000000000002"/>
    <n v="60.887999999999998"/>
    <n v="50.94"/>
    <n v="45.844999999999999"/>
    <n v="50.238"/>
    <n v="48.097999999999999"/>
    <n v="54.716000000000001"/>
    <n v="54.779000000000003"/>
    <n v="57.006999999999998"/>
    <n v="57.244"/>
    <n v="59.232999999999997"/>
    <n v="58.372999999999998"/>
    <n v="47.256999999999998"/>
    <n v="45.435000000000002"/>
    <n v="45.298000000000002"/>
    <n v="45.726999999999997"/>
    <n v="47.04"/>
    <n v="44.447000000000003"/>
    <n v="43.192999999999998"/>
    <n v="32.83"/>
    <n v="33.700000000000003"/>
    <n v="24.896000000000001"/>
    <n v="35.637999999999998"/>
    <n v="1275.885"/>
  </r>
  <r>
    <x v="2"/>
    <s v="PEST CONTROL"/>
    <s v="SC JOHNSON"/>
    <x v="2"/>
    <x v="0"/>
    <x v="0"/>
    <x v="0"/>
    <x v="4"/>
    <n v="8.3105337000000006"/>
    <n v="7.8989336000000003"/>
    <n v="9.9103253000000002"/>
    <n v="10.850020900000001"/>
    <n v="9.5153280999999996"/>
    <n v="10.7005117"/>
    <n v="10.9453874"/>
    <n v="10.339101599999999"/>
    <n v="10.7634559"/>
    <n v="7.2511713999999996"/>
    <n v="8.3572062000000003"/>
    <n v="8.4967041999999999"/>
    <n v="7.5830498999999998"/>
    <n v="6.6925663000000002"/>
    <n v="8.1149257000000006"/>
    <n v="11.252955200000001"/>
    <n v="10.456844"/>
    <n v="9.3277745999999997"/>
    <n v="8.9211790000000004"/>
    <n v="8.9636852999999999"/>
    <n v="9.0025308000000006"/>
    <n v="6.5282292999999996"/>
    <n v="4.6802036999999999"/>
    <n v="6.0997227000000001"/>
    <n v="6.2383990999999996"/>
    <n v="5.2336647999999997"/>
    <n v="5.3563295000000002"/>
    <n v="6.1530215000000004"/>
    <n v="7.5744702000000004"/>
    <n v="8.2174636999999997"/>
    <n v="8.2059017999999995"/>
    <n v="8.2310116999999998"/>
    <n v="9.7522123000000001"/>
    <n v="8.3293313999999992"/>
    <n v="8.3970637999999997"/>
    <n v="7.7786312000000004"/>
    <n v="8.1480250999999999"/>
    <n v="35.637999999999998"/>
  </r>
  <r>
    <x v="2"/>
    <s v="PEST CONTROL"/>
    <s v="SC JOHNSON"/>
    <x v="2"/>
    <x v="0"/>
    <x v="0"/>
    <x v="0"/>
    <x v="5"/>
    <n v="3.8730000000000002"/>
    <n v="2.923"/>
    <n v="4.9329999999999998"/>
    <n v="3.3170000000000002"/>
    <n v="3.3090000000000002"/>
    <n v="3.8969999999999998"/>
    <n v="3.0219999999999998"/>
    <n v="3.0619999999999998"/>
    <n v="2.87"/>
    <n v="3.6760000000000002"/>
    <n v="3.468"/>
    <n v="3.149"/>
    <n v="2.6459999999999999"/>
    <n v="2.2719999999999998"/>
    <n v="3.3759999999999999"/>
    <n v="3.4929999999999999"/>
    <n v="5.3239999999999998"/>
    <n v="2.734"/>
    <n v="3.4390000000000001"/>
    <n v="2.5329999999999999"/>
    <n v="2.5859999999999999"/>
    <n v="2.4830000000000001"/>
    <n v="2.2250000000000001"/>
    <n v="3.3420000000000001"/>
    <n v="3.0609999999999999"/>
    <n v="2.379"/>
    <n v="2.31"/>
    <n v="1.7629999999999999"/>
    <n v="2.2999999999999998"/>
    <n v="2.9769999999999999"/>
    <n v="4.048"/>
    <n v="3.03"/>
    <n v="2.44"/>
    <n v="3.2949999999999999"/>
    <n v="3.6059999999999999"/>
    <n v="2.4630000000000001"/>
    <n v="2.1560000000000001"/>
    <n v="8.1480250999999999"/>
  </r>
  <r>
    <x v="2"/>
    <s v="PEST CONTROL"/>
    <s v="SC JOHNSON"/>
    <x v="2"/>
    <x v="0"/>
    <x v="3"/>
    <x v="0"/>
    <x v="0"/>
    <n v="1894.04"/>
    <n v="2065.7469999999998"/>
    <n v="2724.3229999999999"/>
    <n v="4294.7240000000002"/>
    <n v="5468.3909999999996"/>
    <n v="4963.0569999999998"/>
    <n v="4623.4520000000002"/>
    <n v="2699.518"/>
    <n v="2222.7530000000002"/>
    <n v="1705.9169999999999"/>
    <n v="1436.519"/>
    <n v="1366.547"/>
    <n v="1071.0150000000001"/>
    <n v="1010.309"/>
    <n v="1671.712"/>
    <n v="2604.3760000000002"/>
    <n v="3566.0909999999999"/>
    <n v="3674.4670000000001"/>
    <n v="3997.59"/>
    <n v="3650.4259999999999"/>
    <n v="2984.8490000000002"/>
    <n v="2477.9520000000002"/>
    <n v="2425.6260000000002"/>
    <n v="1758.8320000000001"/>
    <n v="1757.268"/>
    <n v="2488.6469999999999"/>
    <n v="2215.8220000000001"/>
    <n v="3730.2930000000001"/>
    <n v="3221.991"/>
    <n v="3432.3980000000001"/>
    <n v="3152.0630000000001"/>
    <n v="3043.5059999999999"/>
    <n v="2319.7829999999999"/>
    <n v="951.32500000000005"/>
    <n v="1333.2639999999999"/>
    <n v="616.39800000000002"/>
    <n v="761.67600000000004"/>
    <n v="890.56899999999996"/>
  </r>
  <r>
    <x v="2"/>
    <s v="PEST CONTROL"/>
    <s v="SC JOHNSON"/>
    <x v="2"/>
    <x v="0"/>
    <x v="3"/>
    <x v="0"/>
    <x v="1"/>
    <n v="384719.92099999997"/>
    <n v="408749.25"/>
    <n v="552147.53200000001"/>
    <n v="845054.32"/>
    <n v="1093675.31"/>
    <n v="990786.79"/>
    <n v="942116.53"/>
    <n v="521223.23100000003"/>
    <n v="445038.136"/>
    <n v="350693.17700000003"/>
    <n v="297464.92099999997"/>
    <n v="287190.45"/>
    <n v="223087.16800000001"/>
    <n v="226039.79500000001"/>
    <n v="391778.60700000002"/>
    <n v="577455.06299999997"/>
    <n v="748339.04"/>
    <n v="797943.27599999995"/>
    <n v="907900.21799999999"/>
    <n v="860960.81299999997"/>
    <n v="700292.59"/>
    <n v="579236.74800000002"/>
    <n v="567225.42700000003"/>
    <n v="381672.50300000003"/>
    <n v="388772.77500000002"/>
    <n v="536506.40700000001"/>
    <n v="481509.12400000001"/>
    <n v="805658.57499999995"/>
    <n v="714257.29200000002"/>
    <n v="832422.24699999997"/>
    <n v="754782.15300000005"/>
    <n v="794647.77300000004"/>
    <n v="626912.82400000002"/>
    <n v="246281.90599999999"/>
    <n v="354163.75300000003"/>
    <n v="160213.88399999999"/>
    <n v="168743.42"/>
    <n v="168743.42"/>
  </r>
  <r>
    <x v="2"/>
    <s v="PEST CONTROL"/>
    <s v="SC JOHNSON"/>
    <x v="2"/>
    <x v="0"/>
    <x v="3"/>
    <x v="0"/>
    <x v="2"/>
    <n v="11.726000000000001"/>
    <n v="11.69"/>
    <n v="12.081"/>
    <n v="14.334"/>
    <n v="15.98"/>
    <n v="14.605"/>
    <n v="14.387"/>
    <n v="10.933"/>
    <n v="9.7330000000000005"/>
    <n v="9.6189999999999998"/>
    <n v="9.4130000000000003"/>
    <n v="9.6080000000000005"/>
    <n v="7.4390000000000001"/>
    <n v="6.94"/>
    <n v="9.8650000000000002"/>
    <n v="12.063000000000001"/>
    <n v="15.178000000000001"/>
    <n v="16.216000000000001"/>
    <n v="17.635000000000002"/>
    <n v="17.489000000000001"/>
    <n v="15.757999999999999"/>
    <n v="15.019"/>
    <n v="17.619"/>
    <n v="14.631"/>
    <n v="12.964"/>
    <n v="15.292"/>
    <n v="11.750999999999999"/>
    <n v="15.026999999999999"/>
    <n v="11.506"/>
    <n v="11.281000000000001"/>
    <n v="8.5670000000000002"/>
    <n v="7.8609999999999998"/>
    <n v="7.1989999999999998"/>
    <n v="4.0030000000000001"/>
    <n v="7.87"/>
    <n v="5.5209999999999999"/>
    <n v="10.220000000000001"/>
    <n v="1.538"/>
  </r>
  <r>
    <x v="2"/>
    <s v="PEST CONTROL"/>
    <s v="SC JOHNSON"/>
    <x v="2"/>
    <x v="0"/>
    <x v="3"/>
    <x v="0"/>
    <x v="3"/>
    <n v="59.268999999999998"/>
    <n v="60.860999999999997"/>
    <n v="79.414000000000001"/>
    <n v="76.451999999999998"/>
    <n v="77.168999999999997"/>
    <n v="76.11"/>
    <n v="74.150000000000006"/>
    <n v="57.636000000000003"/>
    <n v="56.177"/>
    <n v="38.453000000000003"/>
    <n v="41.665999999999997"/>
    <n v="41.929000000000002"/>
    <n v="35.981999999999999"/>
    <n v="38.338999999999999"/>
    <n v="42.651000000000003"/>
    <n v="50.356999999999999"/>
    <n v="52.070999999999998"/>
    <n v="51.283000000000001"/>
    <n v="53.929000000000002"/>
    <n v="64.046000000000006"/>
    <n v="56.722000000000001"/>
    <n v="60.335999999999999"/>
    <n v="69.105000000000004"/>
    <n v="65.599000000000004"/>
    <n v="62.912999999999997"/>
    <n v="63.414000000000001"/>
    <n v="52.097000000000001"/>
    <n v="59.37"/>
    <n v="59.652000000000001"/>
    <n v="56.524999999999999"/>
    <n v="49.405999999999999"/>
    <n v="54.66"/>
    <n v="54.847999999999999"/>
    <n v="46.747"/>
    <n v="50.19"/>
    <n v="33.366999999999997"/>
    <n v="47.954999999999998"/>
    <n v="2274.5169999999998"/>
  </r>
  <r>
    <x v="2"/>
    <s v="PEST CONTROL"/>
    <s v="SC JOHNSON"/>
    <x v="2"/>
    <x v="0"/>
    <x v="3"/>
    <x v="0"/>
    <x v="4"/>
    <n v="9.7058566000000006"/>
    <n v="9.7496051000000001"/>
    <n v="13.637123799999999"/>
    <n v="14.395092500000001"/>
    <n v="15.481133"/>
    <n v="13.8163886"/>
    <n v="13.4638033"/>
    <n v="11.363774899999999"/>
    <n v="10.224865299999999"/>
    <n v="8.1529406000000009"/>
    <n v="7.9614304999999996"/>
    <n v="8.7144776000000004"/>
    <n v="8.0139562000000009"/>
    <n v="9.0971931000000001"/>
    <n v="9.9802017000000003"/>
    <n v="12.9795526"/>
    <n v="16.163887500000001"/>
    <n v="12.1013676"/>
    <n v="13.1537659"/>
    <n v="15.0559215"/>
    <n v="12.421277099999999"/>
    <n v="13.1583612"/>
    <n v="10.5435616"/>
    <n v="9.5048622999999992"/>
    <n v="10.3009273"/>
    <n v="10.4539008"/>
    <n v="11.3178321"/>
    <n v="15.243391900000001"/>
    <n v="17.649459499999999"/>
    <n v="16.308989"/>
    <n v="12.945262100000001"/>
    <n v="12.2390474"/>
    <n v="13.0829957"/>
    <n v="13.2669353"/>
    <n v="13.7156691"/>
    <n v="10.7386347"/>
    <n v="11.2725095"/>
    <n v="47.954999999999998"/>
  </r>
  <r>
    <x v="2"/>
    <s v="PEST CONTROL"/>
    <s v="SC JOHNSON"/>
    <x v="2"/>
    <x v="0"/>
    <x v="3"/>
    <x v="0"/>
    <x v="5"/>
    <n v="8.7080000000000002"/>
    <n v="9.3179999999999996"/>
    <n v="9.2739999999999991"/>
    <n v="8.9060000000000006"/>
    <n v="8.5449999999999999"/>
    <n v="5.8490000000000002"/>
    <n v="6.0289999999999999"/>
    <n v="5.46"/>
    <n v="4.2690000000000001"/>
    <n v="5.0110000000000001"/>
    <n v="5.21"/>
    <n v="5.1230000000000002"/>
    <n v="5.3070000000000004"/>
    <n v="7.383"/>
    <n v="5.1829999999999998"/>
    <n v="7.7"/>
    <n v="7.8639999999999999"/>
    <n v="6.5460000000000003"/>
    <n v="6.0419999999999998"/>
    <n v="6.4119999999999999"/>
    <n v="8.3450000000000006"/>
    <n v="6.0449999999999999"/>
    <n v="4.7759999999999998"/>
    <n v="6.1749999999999998"/>
    <n v="5.9770000000000003"/>
    <n v="4.8040000000000003"/>
    <n v="4.9829999999999997"/>
    <n v="6.31"/>
    <n v="5.3339999999999996"/>
    <n v="4.3250000000000002"/>
    <n v="5.1950000000000003"/>
    <n v="4.8330000000000002"/>
    <n v="4.032"/>
    <n v="5.2320000000000002"/>
    <n v="5.077"/>
    <n v="5.7930000000000001"/>
    <n v="4.3090000000000002"/>
    <n v="11.2725095"/>
  </r>
  <r>
    <x v="2"/>
    <s v="PEST CONTROL"/>
    <s v="SC JOHNSON"/>
    <x v="2"/>
    <x v="0"/>
    <x v="3"/>
    <x v="6"/>
    <x v="0"/>
    <n v="0"/>
    <n v="0"/>
    <n v="0"/>
    <n v="0"/>
    <n v="0"/>
    <n v="78.013999999999996"/>
    <n v="56.668999999999997"/>
    <n v="51.002000000000002"/>
    <n v="39.607999999999997"/>
    <n v="26.917000000000002"/>
    <n v="19.225999999999999"/>
    <n v="0"/>
    <n v="0"/>
    <n v="83.046999999999997"/>
    <n v="83.046999999999997"/>
    <n v="54.095999999999997"/>
    <n v="0"/>
    <n v="0"/>
    <n v="63.156999999999996"/>
    <n v="91.578000000000003"/>
    <n v="66.314999999999998"/>
    <n v="0"/>
    <n v="0"/>
    <n v="0"/>
    <n v="0"/>
    <n v="0"/>
    <n v="0"/>
    <n v="0"/>
    <n v="0"/>
    <n v="0"/>
    <n v="338.42099999999999"/>
    <n v="173.542"/>
    <n v="0"/>
    <n v="0"/>
    <n v="0"/>
    <n v="0"/>
    <n v="0"/>
    <n v="0"/>
  </r>
  <r>
    <x v="2"/>
    <s v="PEST CONTROL"/>
    <s v="SC JOHNSON"/>
    <x v="2"/>
    <x v="0"/>
    <x v="3"/>
    <x v="6"/>
    <x v="1"/>
    <n v="0"/>
    <n v="0"/>
    <n v="0"/>
    <n v="0"/>
    <n v="0"/>
    <n v="2964.5459999999998"/>
    <n v="2153.431"/>
    <n v="1938.088"/>
    <n v="1505.115"/>
    <n v="1022.836"/>
    <n v="730.59699999999998"/>
    <n v="0"/>
    <n v="0"/>
    <n v="3155.7950000000001"/>
    <n v="3155.7950000000001"/>
    <n v="2055.6610000000001"/>
    <n v="0"/>
    <n v="0"/>
    <n v="6189.4269999999997"/>
    <n v="4335.5069999999996"/>
    <n v="3139.5050000000001"/>
    <n v="0"/>
    <n v="0"/>
    <n v="0"/>
    <n v="0"/>
    <n v="0"/>
    <n v="0"/>
    <n v="0"/>
    <n v="0"/>
    <n v="0"/>
    <n v="11844.745999999999"/>
    <n v="6073.9849999999997"/>
    <n v="0"/>
    <n v="0"/>
    <n v="0"/>
    <n v="0"/>
    <n v="0"/>
    <n v="0"/>
  </r>
  <r>
    <x v="2"/>
    <s v="PEST CONTROL"/>
    <s v="SC JOHNSON"/>
    <x v="2"/>
    <x v="0"/>
    <x v="3"/>
    <x v="6"/>
    <x v="2"/>
    <n v="0"/>
    <n v="0"/>
    <n v="0"/>
    <n v="0"/>
    <n v="0"/>
    <n v="7.0000000000000001E-3"/>
    <n v="6.0000000000000001E-3"/>
    <n v="7.0000000000000001E-3"/>
    <n v="6.0000000000000001E-3"/>
    <n v="5.0000000000000001E-3"/>
    <n v="4.0000000000000001E-3"/>
    <n v="0"/>
    <n v="0"/>
    <n v="1.7999999999999999E-2"/>
    <n v="1.4999999999999999E-2"/>
    <n v="8.0000000000000002E-3"/>
    <n v="0"/>
    <n v="0"/>
    <n v="8.9999999999999993E-3"/>
    <n v="1.4E-2"/>
    <n v="1.0999999999999999E-2"/>
    <n v="0"/>
    <n v="0"/>
    <n v="0"/>
    <n v="0"/>
    <n v="0"/>
    <n v="0"/>
    <n v="0"/>
    <n v="0"/>
    <n v="0"/>
    <n v="2.9000000000000001E-2"/>
    <n v="1.4E-2"/>
    <n v="0"/>
    <n v="0"/>
    <n v="0"/>
    <n v="0"/>
    <n v="0"/>
    <n v="0"/>
  </r>
  <r>
    <x v="2"/>
    <s v="PEST CONTROL"/>
    <s v="SC JOHNSON"/>
    <x v="2"/>
    <x v="0"/>
    <x v="3"/>
    <x v="6"/>
    <x v="3"/>
    <n v="0"/>
    <n v="0"/>
    <n v="0"/>
    <n v="0"/>
    <n v="0"/>
    <n v="2.7589999999999999"/>
    <n v="3.5979999999999999"/>
    <n v="4.2089999999999996"/>
    <n v="3.1850000000000001"/>
    <n v="3.1920000000000002"/>
    <n v="2.4569999999999999"/>
    <n v="1.891"/>
    <n v="3.8620000000000001"/>
    <n v="1.41"/>
    <n v="9.1999999999999998E-2"/>
    <n v="1.5469999999999999"/>
    <n v="0"/>
    <n v="0"/>
    <n v="2.77"/>
    <n v="4.556"/>
    <n v="4.5270000000000001"/>
    <n v="0.75"/>
    <n v="0.93400000000000005"/>
    <n v="3.1840000000000002"/>
    <n v="3.0409999999999999"/>
    <n v="2.1110000000000002"/>
    <n v="3.1629999999999998"/>
    <n v="2.8180000000000001"/>
    <n v="1.3380000000000001"/>
    <n v="2.3319999999999999"/>
    <n v="4.1550000000000002"/>
    <n v="1.8839999999999999"/>
    <n v="0"/>
    <n v="0"/>
    <n v="0"/>
    <n v="0"/>
    <n v="0"/>
    <n v="0"/>
  </r>
  <r>
    <x v="2"/>
    <s v="PEST CONTROL"/>
    <s v="SC JOHNSON"/>
    <x v="2"/>
    <x v="0"/>
    <x v="3"/>
    <x v="6"/>
    <x v="4"/>
    <n v="0"/>
    <n v="0"/>
    <n v="0"/>
    <n v="0"/>
    <n v="0"/>
    <n v="0.79832610000000004"/>
    <n v="0.93138209999999999"/>
    <n v="0.93138160000000003"/>
    <n v="1.1501163999999999"/>
    <n v="0.98569899999999999"/>
    <n v="0.98557609999999995"/>
    <n v="0.98530459999999997"/>
    <n v="0.98521669999999995"/>
    <n v="1.1495470000000001"/>
    <n v="1.1495533"/>
    <n v="1.2048886999999999"/>
    <n v="0"/>
    <n v="0"/>
    <n v="1.4180679"/>
    <n v="1.2889756999999999"/>
    <n v="1.4180668000000001"/>
    <n v="1.0326506"/>
    <n v="1.0326036000000001"/>
    <n v="1.0976975"/>
    <n v="1.0976979"/>
    <n v="0.96049119999999999"/>
    <n v="0.85362360000000004"/>
    <n v="0.76820679999999997"/>
    <n v="0.69819109999999995"/>
    <n v="0.76166"/>
    <n v="0.76128070000000003"/>
    <n v="0.76128070000000003"/>
    <n v="0"/>
    <n v="0"/>
    <n v="0"/>
    <n v="0"/>
    <n v="0"/>
    <n v="0"/>
  </r>
  <r>
    <x v="2"/>
    <s v="PEST CONTROL"/>
    <s v="SC JOHNSON"/>
    <x v="2"/>
    <x v="0"/>
    <x v="3"/>
    <x v="6"/>
    <x v="5"/>
    <n v="0"/>
    <n v="0"/>
    <n v="0"/>
    <n v="0"/>
    <n v="0"/>
    <n v="0.69399999999999995"/>
    <n v="0.68799999999999994"/>
    <n v="0.80300000000000005"/>
    <n v="0.86799999999999999"/>
    <n v="0.95499999999999996"/>
    <n v="1.0129999999999999"/>
    <n v="0.98299999999999998"/>
    <n v="0.91700000000000004"/>
    <n v="0"/>
    <n v="0"/>
    <n v="0"/>
    <n v="0"/>
    <n v="0"/>
    <n v="1.385"/>
    <n v="1.347"/>
    <n v="1.2370000000000001"/>
    <n v="1.2190000000000001"/>
    <n v="1.2270000000000001"/>
    <n v="1.371"/>
    <n v="1.407"/>
    <n v="1.1930000000000001"/>
    <n v="1.1990000000000001"/>
    <n v="1.1140000000000001"/>
    <n v="1.0169999999999999"/>
    <n v="1.1120000000000001"/>
    <n v="0.50700000000000001"/>
    <n v="0"/>
    <n v="0"/>
    <n v="0"/>
    <n v="0"/>
    <n v="0"/>
    <n v="0"/>
    <n v="0"/>
  </r>
  <r>
    <x v="2"/>
    <s v="PEST CONTROL"/>
    <s v="SC JOHNSON"/>
    <x v="2"/>
    <x v="5"/>
    <x v="3"/>
    <x v="0"/>
    <x v="0"/>
    <n v="243.405"/>
    <n v="254.392"/>
    <n v="105.619"/>
    <n v="169.303"/>
    <n v="80.424999999999997"/>
    <n v="277.23599999999999"/>
    <n v="127.764"/>
    <n v="101.137"/>
    <n v="166.005"/>
    <n v="144.00700000000001"/>
    <n v="197.91499999999999"/>
    <n v="180.852"/>
    <n v="96.131"/>
    <n v="103.809"/>
    <n v="147.691"/>
    <n v="127.43300000000001"/>
    <n v="33.996000000000002"/>
    <n v="139.49100000000001"/>
    <n v="221.40199999999999"/>
    <n v="146.4"/>
    <n v="0"/>
    <n v="10.5"/>
    <n v="14.209"/>
    <n v="22.597000000000001"/>
    <n v="2.0750000000000002"/>
    <n v="21.312999999999999"/>
    <n v="32.668999999999997"/>
    <n v="43.308999999999997"/>
    <n v="39.25"/>
    <n v="37.813000000000002"/>
    <n v="43.308999999999997"/>
    <n v="60.698"/>
    <n v="125.444"/>
    <n v="0"/>
    <n v="20.994"/>
    <n v="220.756"/>
    <n v="265.53699999999998"/>
    <n v="265.53699999999998"/>
  </r>
  <r>
    <x v="2"/>
    <s v="PEST CONTROL"/>
    <s v="SC JOHNSON"/>
    <x v="2"/>
    <x v="5"/>
    <x v="3"/>
    <x v="0"/>
    <x v="1"/>
    <n v="45996.186999999998"/>
    <n v="56454.544000000002"/>
    <n v="23764.275000000001"/>
    <n v="38725.559000000001"/>
    <n v="17770.075000000001"/>
    <n v="59109.637999999999"/>
    <n v="27405.047999999999"/>
    <n v="19537.280999999999"/>
    <n v="41380.370000000003"/>
    <n v="28766.499"/>
    <n v="38593.392999999996"/>
    <n v="35166.821000000004"/>
    <n v="18745.577000000001"/>
    <n v="20242.763999999999"/>
    <n v="30855.956999999999"/>
    <n v="25329.618999999999"/>
    <n v="7866.549"/>
    <n v="27200.766"/>
    <n v="53215.69"/>
    <n v="28490.258000000002"/>
    <n v="0"/>
    <n v="2709"/>
    <n v="2827.1550000000002"/>
    <n v="7670.2730000000001"/>
    <n v="601.68700000000001"/>
    <n v="7222.8980000000001"/>
    <n v="10151.091"/>
    <n v="14941.630999999999"/>
    <n v="13541.601000000001"/>
    <n v="13045.42"/>
    <n v="14941.635"/>
    <n v="20940.692999999999"/>
    <n v="43278.241999999998"/>
    <n v="0"/>
    <n v="4817.317"/>
    <n v="70641.771999999997"/>
    <n v="70693.808999999994"/>
    <n v="70693.808999999994"/>
  </r>
  <r>
    <x v="2"/>
    <s v="PEST CONTROL"/>
    <s v="SC JOHNSON"/>
    <x v="2"/>
    <x v="5"/>
    <x v="3"/>
    <x v="0"/>
    <x v="2"/>
    <n v="1.6080000000000001"/>
    <n v="1.476"/>
    <n v="0.45100000000000001"/>
    <n v="0.54800000000000004"/>
    <n v="0.23100000000000001"/>
    <n v="0.79800000000000004"/>
    <n v="0.40600000000000003"/>
    <n v="0.42399999999999999"/>
    <n v="0.76200000000000001"/>
    <n v="0.84299999999999997"/>
    <n v="1.347"/>
    <n v="1.3029999999999999"/>
    <n v="0.68899999999999995"/>
    <n v="0.72"/>
    <n v="0.85899999999999999"/>
    <n v="0.59699999999999998"/>
    <n v="0.14000000000000001"/>
    <n v="0.63300000000000001"/>
    <n v="0.99099999999999999"/>
    <n v="0.70799999999999996"/>
    <n v="0"/>
    <n v="6.2E-2"/>
    <n v="0.10199999999999999"/>
    <n v="0.19800000000000001"/>
    <n v="1.6E-2"/>
    <n v="0.13800000000000001"/>
    <n v="0.17699999999999999"/>
    <n v="0.182"/>
    <n v="0.14199999999999999"/>
    <n v="0.124"/>
    <n v="0.122"/>
    <n v="0.16200000000000001"/>
    <n v="0.4"/>
    <n v="0"/>
    <n v="0.128"/>
    <n v="2.1019999999999999"/>
    <n v="3.7759999999999998"/>
    <n v="0.45900000000000002"/>
  </r>
  <r>
    <x v="2"/>
    <s v="PEST CONTROL"/>
    <s v="SC JOHNSON"/>
    <x v="2"/>
    <x v="5"/>
    <x v="3"/>
    <x v="0"/>
    <x v="3"/>
    <n v="26.285"/>
    <n v="19.584"/>
    <n v="17.885000000000002"/>
    <n v="22.905999999999999"/>
    <n v="18.574000000000002"/>
    <n v="19.533999999999999"/>
    <n v="16.170000000000002"/>
    <n v="15.515000000000001"/>
    <n v="20.010000000000002"/>
    <n v="19.574999999999999"/>
    <n v="22.713999999999999"/>
    <n v="23.093"/>
    <n v="17.765000000000001"/>
    <n v="21.073"/>
    <n v="21.327000000000002"/>
    <n v="20.83"/>
    <n v="18.797000000000001"/>
    <n v="19.286999999999999"/>
    <n v="22.489000000000001"/>
    <n v="20.667000000000002"/>
    <n v="21.606999999999999"/>
    <n v="22.303999999999998"/>
    <n v="20.297000000000001"/>
    <n v="22.56"/>
    <n v="19.913"/>
    <n v="24.219000000000001"/>
    <n v="17.945"/>
    <n v="13.407999999999999"/>
    <n v="11.228"/>
    <n v="10.613"/>
    <n v="11.683999999999999"/>
    <n v="12.837999999999999"/>
    <n v="13.65"/>
    <n v="8.5180000000000007"/>
    <n v="11.032999999999999"/>
    <n v="12.976000000000001"/>
    <n v="21.99"/>
    <n v="247.84100000000001"/>
  </r>
  <r>
    <x v="2"/>
    <s v="PEST CONTROL"/>
    <s v="SC JOHNSON"/>
    <x v="2"/>
    <x v="5"/>
    <x v="3"/>
    <x v="0"/>
    <x v="4"/>
    <n v="2.3928156999999999"/>
    <n v="2.3924574000000001"/>
    <n v="1.6101542"/>
    <n v="1.8639577000000001"/>
    <n v="1.7938472000000001"/>
    <n v="1.7938466"/>
    <n v="1.8388985"/>
    <n v="2.1009920000000002"/>
    <n v="2.3647284000000002"/>
    <n v="1.7083265000000001"/>
    <n v="1.7220397999999999"/>
    <n v="1.713049"/>
    <n v="1.5339119000000001"/>
    <n v="1.8773010000000001"/>
    <n v="1.8190571"/>
    <n v="1.8889475"/>
    <n v="1.8161725"/>
    <n v="1.4392863"/>
    <n v="2.9779168999999999"/>
    <n v="1.5251915"/>
    <n v="1.4392853000000001"/>
    <n v="1.6654819999999999"/>
    <n v="1.6654061"/>
    <n v="1.5097689000000001"/>
    <n v="1.4588665000000001"/>
    <n v="1.3216600999999999"/>
    <n v="1.2147329"/>
    <n v="0.97176949999999995"/>
    <n v="0.90170300000000003"/>
    <n v="0.97268779999999999"/>
    <n v="0.9722035"/>
    <n v="0.9722035"/>
    <n v="1.0483361"/>
    <n v="0.83741399999999999"/>
    <n v="1.1010591999999999"/>
    <n v="1.0566089000000001"/>
    <n v="0.9506346"/>
    <n v="21.99"/>
  </r>
  <r>
    <x v="2"/>
    <s v="PEST CONTROL"/>
    <s v="SC JOHNSON"/>
    <x v="2"/>
    <x v="5"/>
    <x v="3"/>
    <x v="0"/>
    <x v="5"/>
    <n v="1.2410000000000001"/>
    <n v="1.008"/>
    <n v="0.64300000000000002"/>
    <n v="1.0529999999999999"/>
    <n v="0.98"/>
    <n v="0.39800000000000002"/>
    <n v="0.69799999999999995"/>
    <n v="0.61499999999999999"/>
    <n v="0.50900000000000001"/>
    <n v="0.61499999999999999"/>
    <n v="0.65700000000000003"/>
    <n v="0.61699999999999999"/>
    <n v="0.57599999999999996"/>
    <n v="0.89700000000000002"/>
    <n v="0.59499999999999997"/>
    <n v="0.65500000000000003"/>
    <n v="0.629"/>
    <n v="0.60599999999999998"/>
    <n v="0.64100000000000001"/>
    <n v="0.72099999999999997"/>
    <n v="0.65200000000000002"/>
    <n v="0.64300000000000002"/>
    <n v="0.626"/>
    <n v="0.65300000000000002"/>
    <n v="0.67"/>
    <n v="0.54"/>
    <n v="0.52300000000000002"/>
    <n v="0.51800000000000002"/>
    <n v="0.48099999999999998"/>
    <n v="0.52200000000000002"/>
    <n v="0.59499999999999997"/>
    <n v="0.62"/>
    <n v="0.61599999999999999"/>
    <n v="0.60799999999999998"/>
    <n v="0.65400000000000003"/>
    <n v="0"/>
    <n v="0.61799999999999999"/>
    <n v="0.9506346"/>
  </r>
  <r>
    <x v="2"/>
    <s v="PEST CONTROL"/>
    <s v="SC JOHNSON"/>
    <x v="3"/>
    <x v="0"/>
    <x v="0"/>
    <x v="8"/>
    <x v="0"/>
    <n v="0"/>
    <n v="0"/>
    <n v="0"/>
    <n v="0"/>
    <n v="0"/>
    <n v="0"/>
    <n v="0"/>
    <n v="0"/>
    <n v="0"/>
    <n v="0"/>
    <n v="0"/>
    <n v="0"/>
    <n v="0"/>
    <n v="0"/>
    <n v="0"/>
    <n v="0"/>
    <n v="64.483000000000004"/>
    <n v="0"/>
    <n v="0"/>
    <n v="0"/>
    <n v="0"/>
    <n v="0"/>
    <n v="0"/>
    <n v="0"/>
    <n v="0"/>
    <n v="0"/>
    <n v="0"/>
    <n v="0"/>
    <n v="0"/>
    <n v="0"/>
    <n v="45.411000000000001"/>
    <n v="27.276"/>
    <n v="24.777000000000001"/>
    <n v="0"/>
    <n v="0"/>
    <n v="0"/>
    <n v="0"/>
    <n v="0"/>
  </r>
  <r>
    <x v="2"/>
    <s v="PEST CONTROL"/>
    <s v="SC JOHNSON"/>
    <x v="3"/>
    <x v="0"/>
    <x v="0"/>
    <x v="8"/>
    <x v="1"/>
    <n v="0"/>
    <n v="0"/>
    <n v="0"/>
    <n v="0"/>
    <n v="0"/>
    <n v="0"/>
    <n v="0"/>
    <n v="0"/>
    <n v="0"/>
    <n v="0"/>
    <n v="0"/>
    <n v="0"/>
    <n v="0"/>
    <n v="0"/>
    <n v="0"/>
    <n v="0"/>
    <n v="11607.012000000001"/>
    <n v="0"/>
    <n v="0"/>
    <n v="0"/>
    <n v="0"/>
    <n v="0"/>
    <n v="0"/>
    <n v="0"/>
    <n v="0"/>
    <n v="0"/>
    <n v="0"/>
    <n v="0"/>
    <n v="0"/>
    <n v="0"/>
    <n v="8900.5110000000004"/>
    <n v="5346.0429999999997"/>
    <n v="4856.3459999999995"/>
    <n v="0"/>
    <n v="0"/>
    <n v="0"/>
    <n v="0"/>
    <n v="0"/>
  </r>
  <r>
    <x v="2"/>
    <s v="PEST CONTROL"/>
    <s v="SC JOHNSON"/>
    <x v="3"/>
    <x v="0"/>
    <x v="0"/>
    <x v="8"/>
    <x v="2"/>
    <n v="0"/>
    <n v="0"/>
    <n v="0"/>
    <n v="0"/>
    <n v="0"/>
    <n v="0"/>
    <n v="0"/>
    <n v="0"/>
    <n v="0"/>
    <n v="0"/>
    <n v="0"/>
    <n v="0"/>
    <n v="0"/>
    <n v="0"/>
    <n v="0"/>
    <n v="0"/>
    <n v="8.9999999999999993E-3"/>
    <n v="0"/>
    <n v="0"/>
    <n v="0"/>
    <n v="0"/>
    <n v="0"/>
    <n v="0"/>
    <n v="0"/>
    <n v="0"/>
    <n v="0"/>
    <n v="0"/>
    <n v="0"/>
    <n v="0"/>
    <n v="0"/>
    <n v="4.0000000000000001E-3"/>
    <n v="2E-3"/>
    <n v="2E-3"/>
    <n v="0"/>
    <n v="0"/>
    <n v="0"/>
    <n v="0"/>
    <n v="0"/>
  </r>
  <r>
    <x v="2"/>
    <s v="PEST CONTROL"/>
    <s v="SC JOHNSON"/>
    <x v="3"/>
    <x v="0"/>
    <x v="0"/>
    <x v="8"/>
    <x v="3"/>
    <n v="0"/>
    <n v="0"/>
    <n v="0"/>
    <n v="0"/>
    <n v="0"/>
    <n v="0"/>
    <n v="0"/>
    <n v="0"/>
    <n v="0"/>
    <n v="0.218"/>
    <n v="4.1000000000000002E-2"/>
    <n v="0.32100000000000001"/>
    <n v="0.69399999999999995"/>
    <n v="0.42"/>
    <n v="0.65800000000000003"/>
    <n v="0.504"/>
    <n v="0.626"/>
    <n v="0"/>
    <n v="0"/>
    <n v="0"/>
    <n v="0"/>
    <n v="0"/>
    <n v="0"/>
    <n v="0"/>
    <n v="0"/>
    <n v="0"/>
    <n v="0"/>
    <n v="0"/>
    <n v="0"/>
    <n v="0"/>
    <n v="0.3"/>
    <n v="0.109"/>
    <n v="0.127"/>
    <n v="0"/>
    <n v="0"/>
    <n v="0"/>
    <n v="0"/>
    <n v="0"/>
  </r>
  <r>
    <x v="2"/>
    <s v="PEST CONTROL"/>
    <s v="SC JOHNSON"/>
    <x v="3"/>
    <x v="0"/>
    <x v="0"/>
    <x v="8"/>
    <x v="4"/>
    <n v="0"/>
    <n v="0"/>
    <n v="0"/>
    <n v="0"/>
    <n v="0"/>
    <n v="0"/>
    <n v="0"/>
    <n v="0"/>
    <n v="0"/>
    <n v="0.75037880000000001"/>
    <n v="0.75028519999999999"/>
    <n v="0.75007860000000004"/>
    <n v="0.7500116"/>
    <n v="0.71599840000000003"/>
    <n v="0.75009269999999995"/>
    <n v="0.75156009999999995"/>
    <n v="0.78911039999999999"/>
    <n v="0"/>
    <n v="0"/>
    <n v="0"/>
    <n v="0"/>
    <n v="0"/>
    <n v="0"/>
    <n v="0"/>
    <n v="0"/>
    <n v="0"/>
    <n v="0"/>
    <n v="0"/>
    <n v="0"/>
    <n v="0"/>
    <n v="0.3246328"/>
    <n v="0.3246328"/>
    <n v="0.32463259999999999"/>
    <n v="0"/>
    <n v="0"/>
    <n v="0"/>
    <n v="0"/>
    <n v="0"/>
  </r>
  <r>
    <x v="2"/>
    <s v="PEST CONTROL"/>
    <s v="SC JOHNSON"/>
    <x v="3"/>
    <x v="0"/>
    <x v="0"/>
    <x v="8"/>
    <x v="5"/>
    <n v="0"/>
    <n v="0"/>
    <n v="0"/>
    <n v="0"/>
    <n v="0"/>
    <n v="0"/>
    <n v="0"/>
    <n v="0"/>
    <n v="0"/>
    <n v="0.14799999999999999"/>
    <n v="0.157"/>
    <n v="0.153"/>
    <n v="0.14199999999999999"/>
    <n v="0.128"/>
    <n v="0.11799999999999999"/>
    <n v="0.13300000000000001"/>
    <n v="0"/>
    <n v="0"/>
    <n v="0"/>
    <n v="0"/>
    <n v="0"/>
    <n v="0"/>
    <n v="0"/>
    <n v="0"/>
    <n v="0"/>
    <n v="0"/>
    <n v="0"/>
    <n v="0"/>
    <n v="0"/>
    <n v="0"/>
    <n v="5.8999999999999997E-2"/>
    <n v="0"/>
    <n v="0"/>
    <n v="0"/>
    <n v="0"/>
    <n v="0"/>
    <n v="0"/>
    <n v="0"/>
  </r>
  <r>
    <x v="2"/>
    <s v="PEST CONTROL"/>
    <s v="SC JOHNSON"/>
    <x v="3"/>
    <x v="0"/>
    <x v="0"/>
    <x v="9"/>
    <x v="0"/>
    <n v="0"/>
    <n v="0"/>
    <n v="0"/>
    <n v="0"/>
    <n v="0"/>
    <n v="7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3"/>
    <x v="0"/>
    <x v="0"/>
    <x v="9"/>
    <x v="1"/>
    <n v="0"/>
    <n v="0"/>
    <n v="0"/>
    <n v="0"/>
    <n v="0"/>
    <n v="1434.977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3"/>
    <x v="0"/>
    <x v="0"/>
    <x v="9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3"/>
    <x v="0"/>
    <x v="0"/>
    <x v="9"/>
    <x v="3"/>
    <n v="0.14000000000000001"/>
    <n v="0.42599999999999999"/>
    <n v="0.79700000000000004"/>
    <n v="0.77400000000000002"/>
    <n v="1.02"/>
    <n v="0.95299999999999996"/>
    <n v="1.2529999999999999"/>
    <n v="0.98099999999999998"/>
    <n v="0.91700000000000004"/>
    <n v="0.71499999999999997"/>
    <n v="0"/>
    <n v="8.5000000000000006E-2"/>
    <n v="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3"/>
    <x v="0"/>
    <x v="0"/>
    <x v="9"/>
    <x v="4"/>
    <n v="6.4965099999999998E-2"/>
    <n v="6.4955399999999996E-2"/>
    <n v="6.4948000000000006E-2"/>
    <n v="6.00662E-2"/>
    <n v="6.0039299999999997E-2"/>
    <n v="6.0039299999999997E-2"/>
    <n v="6.0039299999999997E-2"/>
    <n v="6.0039200000000001E-2"/>
    <n v="6.0614000000000001E-2"/>
    <n v="6.0607500000000002E-2"/>
    <n v="6.0599899999999998E-2"/>
    <n v="6.0583199999999997E-2"/>
    <n v="6.05778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3"/>
    <x v="0"/>
    <x v="0"/>
    <x v="9"/>
    <x v="5"/>
    <n v="3.3000000000000002E-2"/>
    <n v="3.5000000000000003E-2"/>
    <n v="2.9000000000000001E-2"/>
    <n v="2.3E-2"/>
    <n v="2.5000000000000001E-2"/>
    <n v="1.2999999999999999E-2"/>
    <n v="1.2E-2"/>
    <n v="1.4E-2"/>
    <n v="1.2999999999999999E-2"/>
    <n v="1.4E-2"/>
    <n v="1.4999999999999999E-2"/>
    <n v="1.4999999999999999E-2"/>
    <n v="1.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EST CONTROL"/>
    <s v="SC JOHNSON"/>
    <x v="3"/>
    <x v="0"/>
    <x v="0"/>
    <x v="10"/>
    <x v="0"/>
    <n v="98.522999999999996"/>
    <n v="92.775000000000006"/>
    <n v="293.36599999999999"/>
    <n v="666.34799999999996"/>
    <n v="1223.5840000000001"/>
    <n v="1230.7370000000001"/>
    <n v="1290.644"/>
    <n v="1121.21"/>
    <n v="1001.932"/>
    <n v="623.71"/>
    <n v="484.17099999999999"/>
    <n v="426.39699999999999"/>
    <n v="331.69"/>
    <n v="175.59899999999999"/>
    <n v="513.15300000000002"/>
    <n v="981.60299999999995"/>
    <n v="1292.4939999999999"/>
    <n v="1182.895"/>
    <n v="1177.7470000000001"/>
    <n v="1048.787"/>
    <n v="996.39300000000003"/>
    <n v="1036.4390000000001"/>
    <n v="550.245"/>
    <n v="485.47399999999999"/>
    <n v="473.07299999999998"/>
    <n v="530.36"/>
    <n v="588.34799999999996"/>
    <n v="1343.473"/>
    <n v="1593.576"/>
    <n v="2033.018"/>
    <n v="1757.8330000000001"/>
    <n v="1507.3620000000001"/>
    <n v="1095.0820000000001"/>
    <n v="812.60799999999995"/>
    <n v="208.767"/>
    <n v="233.29599999999999"/>
    <n v="367.21199999999999"/>
    <n v="6460.1729999999998"/>
  </r>
  <r>
    <x v="2"/>
    <s v="PEST CONTROL"/>
    <s v="SC JOHNSON"/>
    <x v="3"/>
    <x v="0"/>
    <x v="0"/>
    <x v="10"/>
    <x v="1"/>
    <n v="10476.118"/>
    <n v="17066.91"/>
    <n v="50050.383999999998"/>
    <n v="112533.539"/>
    <n v="170057.12599999999"/>
    <n v="186976.736"/>
    <n v="191170.802"/>
    <n v="144211.31400000001"/>
    <n v="126520.193"/>
    <n v="79739.154999999999"/>
    <n v="55974.226000000002"/>
    <n v="50225.802000000003"/>
    <n v="41541.972000000002"/>
    <n v="21596.337"/>
    <n v="90142.816999999995"/>
    <n v="168479.62299999999"/>
    <n v="203708.07"/>
    <n v="175032.27"/>
    <n v="175270.78"/>
    <n v="161055.54199999999"/>
    <n v="151594.77299999999"/>
    <n v="147853.09099999999"/>
    <n v="73614.320000000007"/>
    <n v="66771.433000000005"/>
    <n v="63639.101999999999"/>
    <n v="71436.542000000001"/>
    <n v="81418.157999999996"/>
    <n v="192261.272"/>
    <n v="267338.72600000002"/>
    <n v="316696.32799999998"/>
    <n v="294258.473"/>
    <n v="257113.334"/>
    <n v="164001.50599999999"/>
    <n v="118152.372"/>
    <n v="33064.300000000003"/>
    <n v="38174.283000000003"/>
    <n v="63344.436999999998"/>
    <n v="63344.436999999998"/>
  </r>
  <r>
    <x v="2"/>
    <s v="PEST CONTROL"/>
    <s v="SC JOHNSON"/>
    <x v="3"/>
    <x v="0"/>
    <x v="0"/>
    <x v="10"/>
    <x v="2"/>
    <n v="2.8000000000000001E-2"/>
    <n v="3.1E-2"/>
    <n v="8.4000000000000005E-2"/>
    <n v="0.14799999999999999"/>
    <n v="0.20699999999999999"/>
    <n v="0.21299999999999999"/>
    <n v="0.23599999999999999"/>
    <n v="0.26700000000000002"/>
    <n v="0.26700000000000002"/>
    <n v="0.21199999999999999"/>
    <n v="0.189"/>
    <n v="0.18099999999999999"/>
    <n v="0.153"/>
    <n v="7.6999999999999999E-2"/>
    <n v="0.17499999999999999"/>
    <n v="0.26500000000000001"/>
    <n v="0.32500000000000001"/>
    <n v="0.32600000000000001"/>
    <n v="0.32200000000000001"/>
    <n v="0.29899999999999999"/>
    <n v="0.32400000000000001"/>
    <n v="0.40400000000000003"/>
    <n v="0.27200000000000002"/>
    <n v="0.27400000000000002"/>
    <n v="0.24099999999999999"/>
    <n v="0.217"/>
    <n v="0.214"/>
    <n v="0.34499999999999997"/>
    <n v="0.317"/>
    <n v="0.371"/>
    <n v="0.27100000000000002"/>
    <n v="0.214"/>
    <n v="0.152"/>
    <n v="0.127"/>
    <n v="6.2E-2"/>
    <n v="0.108"/>
    <n v="0.23599999999999999"/>
    <n v="11.16"/>
  </r>
  <r>
    <x v="2"/>
    <s v="PEST CONTROL"/>
    <s v="SC JOHNSON"/>
    <x v="3"/>
    <x v="0"/>
    <x v="0"/>
    <x v="10"/>
    <x v="3"/>
    <n v="61.744"/>
    <n v="33.259"/>
    <n v="56.276000000000003"/>
    <n v="50.771000000000001"/>
    <n v="45.201999999999998"/>
    <n v="47.88"/>
    <n v="49.119"/>
    <n v="51.878"/>
    <n v="60.098999999999997"/>
    <n v="54.341000000000001"/>
    <n v="57.695999999999998"/>
    <n v="61.534999999999997"/>
    <n v="58.83"/>
    <n v="38.167999999999999"/>
    <n v="39.862000000000002"/>
    <n v="39.131"/>
    <n v="41.127000000000002"/>
    <n v="37.488999999999997"/>
    <n v="41.38"/>
    <n v="45.92"/>
    <n v="51.600999999999999"/>
    <n v="52.366"/>
    <n v="58.988"/>
    <n v="51.313000000000002"/>
    <n v="52.847999999999999"/>
    <n v="55.759"/>
    <n v="39.332999999999998"/>
    <n v="37.442999999999998"/>
    <n v="33.479999999999997"/>
    <n v="31.824999999999999"/>
    <n v="30.015999999999998"/>
    <n v="30.553000000000001"/>
    <n v="30.835999999999999"/>
    <n v="18.524000000000001"/>
    <n v="21.448"/>
    <n v="31.859000000000002"/>
    <n v="41.558"/>
    <n v="19164.312000000002"/>
  </r>
  <r>
    <x v="2"/>
    <s v="PEST CONTROL"/>
    <s v="SC JOHNSON"/>
    <x v="3"/>
    <x v="0"/>
    <x v="0"/>
    <x v="10"/>
    <x v="4"/>
    <n v="4.9373132999999996"/>
    <n v="3.5823703"/>
    <n v="6.6678303000000003"/>
    <n v="6.6957509999999996"/>
    <n v="6.6927536999999999"/>
    <n v="6.0900493999999998"/>
    <n v="6.6836624000000002"/>
    <n v="6.5963022000000002"/>
    <n v="6.5719602999999998"/>
    <n v="6.5010722999999997"/>
    <n v="6.6716895000000003"/>
    <n v="6.5021646000000004"/>
    <n v="6.0683248000000001"/>
    <n v="6.1197793000000003"/>
    <n v="6.8532564000000002"/>
    <n v="7.6957019999999998"/>
    <n v="8.5070206000000006"/>
    <n v="7.3100110000000003"/>
    <n v="7.1717575"/>
    <n v="7.4250550000000004"/>
    <n v="7.4736731000000001"/>
    <n v="7.4356165000000001"/>
    <n v="7.2873393999999996"/>
    <n v="7.3979413999999997"/>
    <n v="7.0644450000000001"/>
    <n v="7.3456302999999998"/>
    <n v="7.4849113000000003"/>
    <n v="8.3562118999999999"/>
    <n v="8.0226445999999996"/>
    <n v="8.8629201999999996"/>
    <n v="8.1526563999999997"/>
    <n v="8.0898816999999994"/>
    <n v="5.5244549000000003"/>
    <n v="4.1166368000000002"/>
    <n v="3.9898015"/>
    <n v="5.3382151999999996"/>
    <n v="4.7998272999999996"/>
    <n v="41.558"/>
  </r>
  <r>
    <x v="2"/>
    <s v="PEST CONTROL"/>
    <s v="SC JOHNSON"/>
    <x v="3"/>
    <x v="0"/>
    <x v="0"/>
    <x v="10"/>
    <x v="5"/>
    <n v="2.706"/>
    <n v="3.0230000000000001"/>
    <n v="4.63"/>
    <n v="4.6390000000000002"/>
    <n v="4.7380000000000004"/>
    <n v="4.8979999999999997"/>
    <n v="4.4610000000000003"/>
    <n v="5.2759999999999998"/>
    <n v="5.8639999999999999"/>
    <n v="4.8739999999999997"/>
    <n v="4.1970000000000001"/>
    <n v="3.6440000000000001"/>
    <n v="3.161"/>
    <n v="3.6869999999999998"/>
    <n v="3.2389999999999999"/>
    <n v="1.845"/>
    <n v="4.2130000000000001"/>
    <n v="3.0910000000000002"/>
    <n v="3.0569999999999999"/>
    <n v="3.1629999999999998"/>
    <n v="2.863"/>
    <n v="2.5369999999999999"/>
    <n v="2.3359999999999999"/>
    <n v="2.4209999999999998"/>
    <n v="2.597"/>
    <n v="2.3839999999999999"/>
    <n v="2.0129999999999999"/>
    <n v="3.496"/>
    <n v="2.448"/>
    <n v="1.7270000000000001"/>
    <n v="1.8979999999999999"/>
    <n v="0.90700000000000003"/>
    <n v="1.83"/>
    <n v="0.75600000000000001"/>
    <n v="1.2569999999999999"/>
    <n v="3.9279999999999999"/>
    <n v="1.9850000000000001"/>
    <n v="4.7998272999999996"/>
  </r>
  <r>
    <x v="2"/>
    <s v="PEST CONTROL"/>
    <s v="SC JOHNSON"/>
    <x v="3"/>
    <x v="0"/>
    <x v="3"/>
    <x v="11"/>
    <x v="0"/>
    <n v="2.2730000000000001"/>
    <n v="0"/>
    <n v="35.206000000000003"/>
    <n v="1.9370000000000001"/>
    <n v="5.8120000000000003"/>
    <n v="3.75"/>
    <n v="1.7090000000000001"/>
    <n v="3.516"/>
    <n v="21.998999999999999"/>
    <n v="6.027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40999999999999"/>
    <n v="17.832999999999998"/>
    <n v="0"/>
    <n v="0"/>
    <n v="0"/>
    <n v="0"/>
    <n v="0"/>
  </r>
  <r>
    <x v="2"/>
    <s v="PEST CONTROL"/>
    <s v="SC JOHNSON"/>
    <x v="3"/>
    <x v="0"/>
    <x v="3"/>
    <x v="11"/>
    <x v="1"/>
    <n v="943.08799999999997"/>
    <n v="0"/>
    <n v="6865.2349999999997"/>
    <n v="813.71299999999997"/>
    <n v="1549.93"/>
    <n v="1143.7349999999999"/>
    <n v="324.78899999999999"/>
    <n v="1072.252"/>
    <n v="6007.3389999999999"/>
    <n v="160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85.237999999999"/>
    <n v="6883.375"/>
    <n v="0"/>
    <n v="0"/>
    <n v="0"/>
    <n v="0"/>
    <n v="0"/>
  </r>
  <r>
    <x v="2"/>
    <s v="PEST CONTROL"/>
    <s v="SC JOHNSON"/>
    <x v="3"/>
    <x v="0"/>
    <x v="3"/>
    <x v="11"/>
    <x v="2"/>
    <n v="1.0999999999999999E-2"/>
    <n v="0"/>
    <n v="0.122"/>
    <n v="5.0000000000000001E-3"/>
    <n v="1.2999999999999999E-2"/>
    <n v="8.0000000000000002E-3"/>
    <n v="4.0000000000000001E-3"/>
    <n v="1.0999999999999999E-2"/>
    <n v="7.4999999999999997E-2"/>
    <n v="2.599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6000000000000001E-2"/>
    <n v="4.2000000000000003E-2"/>
    <n v="0"/>
    <n v="0"/>
    <n v="0"/>
    <n v="0"/>
    <n v="0"/>
  </r>
  <r>
    <x v="2"/>
    <s v="PEST CONTROL"/>
    <s v="SC JOHNSON"/>
    <x v="3"/>
    <x v="0"/>
    <x v="3"/>
    <x v="11"/>
    <x v="3"/>
    <n v="15.044"/>
    <n v="10.653"/>
    <n v="13.244"/>
    <n v="9.0779999999999994"/>
    <n v="7.5869999999999997"/>
    <n v="7.8520000000000003"/>
    <n v="8.1999999999999993"/>
    <n v="7.3730000000000002"/>
    <n v="10.023999999999999"/>
    <n v="0.279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329999999999999"/>
    <n v="1.1200000000000001"/>
    <n v="0"/>
    <n v="0"/>
    <n v="0"/>
    <n v="0"/>
    <n v="0"/>
  </r>
  <r>
    <x v="2"/>
    <s v="PEST CONTROL"/>
    <s v="SC JOHNSON"/>
    <x v="3"/>
    <x v="0"/>
    <x v="3"/>
    <x v="11"/>
    <x v="4"/>
    <n v="0.29776059999999999"/>
    <n v="0.29771599999999998"/>
    <n v="0.29768230000000001"/>
    <n v="0.26567740000000001"/>
    <n v="0.26555839999999997"/>
    <n v="0.26555830000000002"/>
    <n v="0.26555820000000002"/>
    <n v="0.26555810000000002"/>
    <n v="0.27392879999999997"/>
    <n v="2.33106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092279999999999"/>
    <n v="0.21092269999999999"/>
    <n v="0"/>
    <n v="0"/>
    <n v="0"/>
    <n v="0"/>
    <n v="0"/>
  </r>
  <r>
    <x v="2"/>
    <s v="PEST CONTROL"/>
    <s v="SC JOHNSON"/>
    <x v="3"/>
    <x v="0"/>
    <x v="3"/>
    <x v="11"/>
    <x v="5"/>
    <n v="0.14699999999999999"/>
    <n v="0.157"/>
    <n v="6.8000000000000005E-2"/>
    <n v="0.10199999999999999"/>
    <n v="0.1"/>
    <n v="0.113"/>
    <n v="0.105"/>
    <n v="4.5999999999999999E-2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999999999999999E-2"/>
    <n v="0"/>
    <n v="0"/>
    <n v="0"/>
    <n v="0"/>
    <n v="0"/>
    <n v="0"/>
  </r>
  <r>
    <x v="2"/>
    <s v="PEST CONTROL"/>
    <s v="SC JOHNSON"/>
    <x v="3"/>
    <x v="0"/>
    <x v="3"/>
    <x v="8"/>
    <x v="0"/>
    <n v="337.99799999999999"/>
    <n v="459.154"/>
    <n v="939.14400000000001"/>
    <n v="1223.49"/>
    <n v="3345.9259999999999"/>
    <n v="2196.0650000000001"/>
    <n v="1839.91"/>
    <n v="1129.748"/>
    <n v="378.60399999999998"/>
    <n v="218.392"/>
    <n v="67.936000000000007"/>
    <n v="209.57"/>
    <n v="16.577000000000002"/>
    <n v="197.297"/>
    <n v="334.26"/>
    <n v="1071.8820000000001"/>
    <n v="965.28499999999997"/>
    <n v="881.56100000000004"/>
    <n v="2470.1869999999999"/>
    <n v="1793.981"/>
    <n v="1053.58"/>
    <n v="428.09500000000003"/>
    <n v="119.14"/>
    <n v="276.23700000000002"/>
    <n v="382.68900000000002"/>
    <n v="238.31299999999999"/>
    <n v="662.32"/>
    <n v="1231.4380000000001"/>
    <n v="695.67600000000004"/>
    <n v="783.73299999999995"/>
    <n v="1383.7280000000001"/>
    <n v="933.69399999999996"/>
    <n v="839.38800000000003"/>
    <n v="819.72299999999996"/>
    <n v="728.07500000000005"/>
    <n v="403.26100000000002"/>
    <n v="48.738999999999997"/>
    <n v="508.54500000000002"/>
  </r>
  <r>
    <x v="2"/>
    <s v="PEST CONTROL"/>
    <s v="SC JOHNSON"/>
    <x v="3"/>
    <x v="0"/>
    <x v="3"/>
    <x v="8"/>
    <x v="1"/>
    <n v="40149.161"/>
    <n v="56472.981"/>
    <n v="80799.116999999998"/>
    <n v="115224.07399999999"/>
    <n v="302346.38099999999"/>
    <n v="203725.62599999999"/>
    <n v="181161.43700000001"/>
    <n v="112891.68399999999"/>
    <n v="47613.978000000003"/>
    <n v="21702.035"/>
    <n v="9132.4150000000009"/>
    <n v="25030.194"/>
    <n v="2138.4490000000001"/>
    <n v="14805.746999999999"/>
    <n v="44148.088000000003"/>
    <n v="134309.935"/>
    <n v="126762.054"/>
    <n v="106278.571"/>
    <n v="200424.66699999999"/>
    <n v="147311.74100000001"/>
    <n v="91437.975999999995"/>
    <n v="58267.321000000004"/>
    <n v="10748.938"/>
    <n v="21027.868999999999"/>
    <n v="29274.870999999999"/>
    <n v="28273.830999999998"/>
    <n v="59361.883000000002"/>
    <n v="118498.908"/>
    <n v="81976.782999999996"/>
    <n v="99548.126999999993"/>
    <n v="194754.79699999999"/>
    <n v="128394.34299999999"/>
    <n v="109096.962"/>
    <n v="85005.748999999996"/>
    <n v="70045.713000000003"/>
    <n v="38874.472000000002"/>
    <n v="5785.7250000000004"/>
    <n v="5785.7250000000004"/>
  </r>
  <r>
    <x v="2"/>
    <s v="PEST CONTROL"/>
    <s v="SC JOHNSON"/>
    <x v="3"/>
    <x v="0"/>
    <x v="3"/>
    <x v="8"/>
    <x v="2"/>
    <n v="6.9000000000000006E-2"/>
    <n v="8.5000000000000006E-2"/>
    <n v="0.10299999999999999"/>
    <n v="0.10199999999999999"/>
    <n v="0.23400000000000001"/>
    <n v="0.14699999999999999"/>
    <n v="0.13500000000000001"/>
    <n v="0.114"/>
    <n v="5.2999999999999999E-2"/>
    <n v="0.04"/>
    <n v="1.4E-2"/>
    <n v="4.4999999999999998E-2"/>
    <n v="4.0000000000000001E-3"/>
    <n v="2.8000000000000001E-2"/>
    <n v="6.0999999999999999E-2"/>
    <n v="0.156"/>
    <n v="0.13200000000000001"/>
    <n v="0.115"/>
    <n v="0.19400000000000001"/>
    <n v="0.161"/>
    <n v="0.106"/>
    <n v="8.4000000000000005E-2"/>
    <n v="2.8000000000000001E-2"/>
    <n v="4.7E-2"/>
    <n v="5.7000000000000002E-2"/>
    <n v="4.5999999999999999E-2"/>
    <n v="8.1000000000000003E-2"/>
    <n v="0.125"/>
    <n v="7.8E-2"/>
    <n v="7.3999999999999996E-2"/>
    <n v="0.112"/>
    <n v="7.0000000000000007E-2"/>
    <n v="6.0999999999999999E-2"/>
    <n v="0.106"/>
    <n v="0.13300000000000001"/>
    <n v="0.10199999999999999"/>
    <n v="1.9E-2"/>
    <n v="0.879"/>
  </r>
  <r>
    <x v="2"/>
    <s v="PEST CONTROL"/>
    <s v="SC JOHNSON"/>
    <x v="3"/>
    <x v="0"/>
    <x v="3"/>
    <x v="8"/>
    <x v="3"/>
    <n v="23.97"/>
    <n v="22.184999999999999"/>
    <n v="30.414999999999999"/>
    <n v="34.713000000000001"/>
    <n v="44.726999999999997"/>
    <n v="33.984999999999999"/>
    <n v="31.881"/>
    <n v="22.881"/>
    <n v="18.855"/>
    <n v="11.092000000000001"/>
    <n v="10.581"/>
    <n v="10.513"/>
    <n v="9.9139999999999997"/>
    <n v="11.999000000000001"/>
    <n v="21.341000000000001"/>
    <n v="28.733000000000001"/>
    <n v="24.986999999999998"/>
    <n v="25.035"/>
    <n v="31.074999999999999"/>
    <n v="21.274000000000001"/>
    <n v="19.152000000000001"/>
    <n v="16.202999999999999"/>
    <n v="12.762"/>
    <n v="16.93"/>
    <n v="13.265000000000001"/>
    <n v="21.728999999999999"/>
    <n v="18.524000000000001"/>
    <n v="17.466000000000001"/>
    <n v="16.724"/>
    <n v="16.271000000000001"/>
    <n v="15.887"/>
    <n v="18.225999999999999"/>
    <n v="10.74"/>
    <n v="10.917999999999999"/>
    <n v="9.6560000000000006"/>
    <n v="9.8109999999999999"/>
    <n v="3.3170000000000002"/>
    <n v="14995.365"/>
  </r>
  <r>
    <x v="2"/>
    <s v="PEST CONTROL"/>
    <s v="SC JOHNSON"/>
    <x v="3"/>
    <x v="0"/>
    <x v="3"/>
    <x v="8"/>
    <x v="4"/>
    <n v="7.5379477000000001"/>
    <n v="7.5600173000000002"/>
    <n v="9.3551126"/>
    <n v="11.0966041"/>
    <n v="11.679340699999999"/>
    <n v="9.0163291999999995"/>
    <n v="9.0532733000000007"/>
    <n v="9.3493663999999992"/>
    <n v="8.6653359999999999"/>
    <n v="8.9511176999999993"/>
    <n v="9.0818647000000006"/>
    <n v="8.9277654999999996"/>
    <n v="8.3749418000000002"/>
    <n v="8.1713526000000005"/>
    <n v="7.7734397"/>
    <n v="9.3022945000000004"/>
    <n v="8.3694213000000008"/>
    <n v="8.3810721000000008"/>
    <n v="8.7711144000000001"/>
    <n v="6.3183056000000004"/>
    <n v="5.8745636000000001"/>
    <n v="6.1131681000000002"/>
    <n v="6.1811182000000002"/>
    <n v="6.9135152"/>
    <n v="7.1635844999999998"/>
    <n v="7.2621978"/>
    <n v="7.7278238999999997"/>
    <n v="6.7043977000000003"/>
    <n v="6.6138577999999999"/>
    <n v="6.8314250000000003"/>
    <n v="8.1662283000000002"/>
    <n v="7.2450479999999997"/>
    <n v="6.2410019999999999"/>
    <n v="6.9559097000000003"/>
    <n v="6.3341912000000002"/>
    <n v="6.4272426999999999"/>
    <n v="4.9973916000000003"/>
    <n v="3.3170000000000002"/>
  </r>
  <r>
    <x v="2"/>
    <s v="PEST CONTROL"/>
    <s v="SC JOHNSON"/>
    <x v="3"/>
    <x v="0"/>
    <x v="3"/>
    <x v="8"/>
    <x v="5"/>
    <n v="4.1859999999999999"/>
    <n v="3.6469999999999998"/>
    <n v="4.6319999999999997"/>
    <n v="4.7930000000000001"/>
    <n v="4.8639999999999999"/>
    <n v="4.5179999999999998"/>
    <n v="3.746"/>
    <n v="3.8439999999999999"/>
    <n v="3.0470000000000002"/>
    <n v="3.181"/>
    <n v="3.7749999999999999"/>
    <n v="3.2959999999999998"/>
    <n v="2.4380000000000002"/>
    <n v="2.4870000000000001"/>
    <n v="3.9540000000000002"/>
    <n v="3.032"/>
    <n v="3.51"/>
    <n v="3.7349999999999999"/>
    <n v="5.109"/>
    <n v="5.234"/>
    <n v="4.1710000000000003"/>
    <n v="3.9129999999999998"/>
    <n v="4.4320000000000004"/>
    <n v="4.734"/>
    <n v="4.7590000000000003"/>
    <n v="4.6900000000000004"/>
    <n v="3.9049999999999998"/>
    <n v="2.4"/>
    <n v="2.82"/>
    <n v="2.9449999999999998"/>
    <n v="2.8250000000000002"/>
    <n v="2.601"/>
    <n v="2.4550000000000001"/>
    <n v="2.919"/>
    <n v="3.1019999999999999"/>
    <n v="3.351"/>
    <n v="3.3650000000000002"/>
    <n v="4.9973916000000003"/>
  </r>
  <r>
    <x v="2"/>
    <s v="PEST CONTROL"/>
    <s v="SC JOHNSON"/>
    <x v="3"/>
    <x v="0"/>
    <x v="3"/>
    <x v="9"/>
    <x v="0"/>
    <n v="71.528999999999996"/>
    <n v="109.45"/>
    <n v="77.366"/>
    <n v="220.91"/>
    <n v="186.93100000000001"/>
    <n v="271.21199999999999"/>
    <n v="138.792"/>
    <n v="59.396000000000001"/>
    <n v="6.6120000000000001"/>
    <n v="77.667000000000002"/>
    <n v="3.5219999999999998"/>
    <n v="2.004"/>
    <n v="3.004"/>
    <n v="8.7620000000000005"/>
    <n v="174.67500000000001"/>
    <n v="192.77699999999999"/>
    <n v="106.593"/>
    <n v="93.091999999999999"/>
    <n v="146.541"/>
    <n v="83.090999999999994"/>
    <n v="70.253"/>
    <n v="44.942"/>
    <n v="14.286"/>
    <n v="19.007000000000001"/>
    <n v="0"/>
    <n v="96.736999999999995"/>
    <n v="34.356999999999999"/>
    <n v="290.77499999999998"/>
    <n v="240.75700000000001"/>
    <n v="190.03100000000001"/>
    <n v="125.68"/>
    <n v="117.035"/>
    <n v="481.37"/>
    <n v="659.88499999999999"/>
    <n v="378.33199999999999"/>
    <n v="73.275000000000006"/>
    <n v="18.960999999999999"/>
    <n v="18.960999999999999"/>
  </r>
  <r>
    <x v="2"/>
    <s v="PEST CONTROL"/>
    <s v="SC JOHNSON"/>
    <x v="3"/>
    <x v="0"/>
    <x v="3"/>
    <x v="9"/>
    <x v="1"/>
    <n v="20496.291000000001"/>
    <n v="33202.080999999998"/>
    <n v="22226.973000000002"/>
    <n v="70333.400999999998"/>
    <n v="58947.733999999997"/>
    <n v="74604.256999999998"/>
    <n v="39890.874000000003"/>
    <n v="20496.539000000001"/>
    <n v="1752.25"/>
    <n v="16012.007"/>
    <n v="810.14599999999996"/>
    <n v="460.96300000000002"/>
    <n v="776.96299999999997"/>
    <n v="2190.5189999999998"/>
    <n v="49817.156000000003"/>
    <n v="57066.872000000003"/>
    <n v="31879.612000000001"/>
    <n v="29712.489000000001"/>
    <n v="44929.226999999999"/>
    <n v="24883.421999999999"/>
    <n v="20938.496999999999"/>
    <n v="13418.655000000001"/>
    <n v="4005.922"/>
    <n v="6060.2330000000002"/>
    <n v="0"/>
    <n v="34263.771000000001"/>
    <n v="9691.7440000000006"/>
    <n v="85474.228000000003"/>
    <n v="69990.989000000001"/>
    <n v="49749.883000000002"/>
    <n v="35305.86"/>
    <n v="34128.945"/>
    <n v="159399.06700000001"/>
    <n v="211796.88399999999"/>
    <n v="130562.967"/>
    <n v="24197.48"/>
    <n v="4750.4989999999998"/>
    <n v="4750.4989999999998"/>
  </r>
  <r>
    <x v="2"/>
    <s v="PEST CONTROL"/>
    <s v="SC JOHNSON"/>
    <x v="3"/>
    <x v="0"/>
    <x v="3"/>
    <x v="9"/>
    <x v="2"/>
    <n v="5.5E-2"/>
    <n v="7.5999999999999998E-2"/>
    <n v="4.1000000000000002E-2"/>
    <n v="8.6999999999999994E-2"/>
    <n v="6.5000000000000002E-2"/>
    <n v="9.4E-2"/>
    <n v="5.0999999999999997E-2"/>
    <n v="2.9000000000000001E-2"/>
    <n v="4.0000000000000001E-3"/>
    <n v="5.2999999999999999E-2"/>
    <n v="3.0000000000000001E-3"/>
    <n v="2E-3"/>
    <n v="2E-3"/>
    <n v="7.0000000000000001E-3"/>
    <n v="0.11899999999999999"/>
    <n v="0.105"/>
    <n v="5.5E-2"/>
    <n v="4.9000000000000002E-2"/>
    <n v="7.5999999999999998E-2"/>
    <n v="4.7E-2"/>
    <n v="4.4999999999999998E-2"/>
    <n v="3.3000000000000002E-2"/>
    <n v="1.2999999999999999E-2"/>
    <n v="1.9E-2"/>
    <n v="0"/>
    <n v="7.1999999999999995E-2"/>
    <n v="2.1999999999999999E-2"/>
    <n v="0.14099999999999999"/>
    <n v="0.10100000000000001"/>
    <n v="7.1999999999999995E-2"/>
    <n v="4.1000000000000002E-2"/>
    <n v="3.5999999999999997E-2"/>
    <n v="0.151"/>
    <n v="0.25900000000000001"/>
    <n v="0.22"/>
    <n v="0.08"/>
    <n v="3.1E-2"/>
    <n v="3.3000000000000002E-2"/>
  </r>
  <r>
    <x v="2"/>
    <s v="PEST CONTROL"/>
    <s v="SC JOHNSON"/>
    <x v="3"/>
    <x v="0"/>
    <x v="3"/>
    <x v="9"/>
    <x v="3"/>
    <n v="21.326000000000001"/>
    <n v="15.945"/>
    <n v="17.032"/>
    <n v="17.469000000000001"/>
    <n v="17.048999999999999"/>
    <n v="19.324000000000002"/>
    <n v="20.3"/>
    <n v="15.462"/>
    <n v="12.742000000000001"/>
    <n v="6.3920000000000003"/>
    <n v="5.6710000000000003"/>
    <n v="6.04"/>
    <n v="5.8029999999999999"/>
    <n v="5.3890000000000002"/>
    <n v="11.891"/>
    <n v="19.291"/>
    <n v="16.318000000000001"/>
    <n v="14.547000000000001"/>
    <n v="18.512"/>
    <n v="14.047000000000001"/>
    <n v="12.042"/>
    <n v="10.765000000000001"/>
    <n v="11.795"/>
    <n v="12.641999999999999"/>
    <n v="12.026"/>
    <n v="20.082000000000001"/>
    <n v="9.2029999999999994"/>
    <n v="11.227"/>
    <n v="9.82"/>
    <n v="7.3090000000000002"/>
    <n v="6.6360000000000001"/>
    <n v="7.4710000000000001"/>
    <n v="14.074999999999999"/>
    <n v="11.872"/>
    <n v="12.752000000000001"/>
    <n v="11.657999999999999"/>
    <n v="8.6229999999999993"/>
    <n v="247.06700000000001"/>
  </r>
  <r>
    <x v="2"/>
    <s v="PEST CONTROL"/>
    <s v="SC JOHNSON"/>
    <x v="3"/>
    <x v="0"/>
    <x v="3"/>
    <x v="9"/>
    <x v="4"/>
    <n v="0.57994120000000005"/>
    <n v="0.6030527"/>
    <n v="0.60298439999999998"/>
    <n v="0.70077599999999995"/>
    <n v="0.991676"/>
    <n v="1.8526735000000001"/>
    <n v="1.8295809000000001"/>
    <n v="1.788915"/>
    <n v="1.4040075999999999"/>
    <n v="1.4038556"/>
    <n v="1.405953"/>
    <n v="1.3970492000000001"/>
    <n v="1.4085741000000001"/>
    <n v="1.3396760000000001"/>
    <n v="1.4685649000000001"/>
    <n v="1.7454969"/>
    <n v="1.6989015000000001"/>
    <n v="1.7176345"/>
    <n v="1.7527841"/>
    <n v="1.9554788000000001"/>
    <n v="1.9138839999999999"/>
    <n v="1.7127663"/>
    <n v="1.7705374"/>
    <n v="1.8237188"/>
    <n v="2.8583946999999998"/>
    <n v="2.9309584000000002"/>
    <n v="2.7023578000000001"/>
    <n v="2.8512588999999999"/>
    <n v="1.630954"/>
    <n v="1.8077679"/>
    <n v="1.7337855"/>
    <n v="1.6634779"/>
    <n v="3.3006391000000002"/>
    <n v="3.3253873"/>
    <n v="2.1326524"/>
    <n v="1.5133110000000001"/>
    <n v="1.2291076000000001"/>
    <n v="8.6229999999999993"/>
  </r>
  <r>
    <x v="2"/>
    <s v="PEST CONTROL"/>
    <s v="SC JOHNSON"/>
    <x v="3"/>
    <x v="0"/>
    <x v="3"/>
    <x v="9"/>
    <x v="5"/>
    <n v="0.61399999999999999"/>
    <n v="0.60499999999999998"/>
    <n v="0.433"/>
    <n v="0.503"/>
    <n v="0.83199999999999996"/>
    <n v="0.80300000000000005"/>
    <n v="0.79200000000000004"/>
    <n v="0.38200000000000001"/>
    <n v="0.316"/>
    <n v="0.214"/>
    <n v="0.39"/>
    <n v="0.374"/>
    <n v="0.34899999999999998"/>
    <n v="0.32600000000000001"/>
    <n v="0.41499999999999998"/>
    <n v="0.65500000000000003"/>
    <n v="0.72599999999999998"/>
    <n v="0.59399999999999997"/>
    <n v="0.57899999999999996"/>
    <n v="0.68700000000000006"/>
    <n v="0.46700000000000003"/>
    <n v="0.48499999999999999"/>
    <n v="0.49199999999999999"/>
    <n v="0.70399999999999996"/>
    <n v="1.002"/>
    <n v="0.74199999999999999"/>
    <n v="0.79700000000000004"/>
    <n v="0.68700000000000006"/>
    <n v="0.34399999999999997"/>
    <n v="0.50700000000000001"/>
    <n v="0.54800000000000004"/>
    <n v="0.752"/>
    <n v="1.1859999999999999"/>
    <n v="0.63400000000000001"/>
    <n v="0.90600000000000003"/>
    <n v="0.71399999999999997"/>
    <n v="0.61599999999999999"/>
    <n v="1.2291076000000001"/>
  </r>
  <r>
    <x v="2"/>
    <s v="PEST CONTROL"/>
    <s v="SC JOHNSON"/>
    <x v="3"/>
    <x v="0"/>
    <x v="3"/>
    <x v="10"/>
    <x v="0"/>
    <n v="1242.021"/>
    <n v="1151.0139999999999"/>
    <n v="1454.479"/>
    <n v="1701.912"/>
    <n v="3502.634"/>
    <n v="3259.451"/>
    <n v="3198.694"/>
    <n v="2654.8049999999998"/>
    <n v="1787.259"/>
    <n v="1452.5250000000001"/>
    <n v="1464.01"/>
    <n v="1927.76"/>
    <n v="2142.4540000000002"/>
    <n v="2276.203"/>
    <n v="2292.1439999999998"/>
    <n v="2683.3939999999998"/>
    <n v="2611.4"/>
    <n v="2804.7260000000001"/>
    <n v="2130.165"/>
    <n v="1881.9090000000001"/>
    <n v="1297.827"/>
    <n v="1102.0160000000001"/>
    <n v="950.85799999999995"/>
    <n v="981.45699999999999"/>
    <n v="727.59400000000005"/>
    <n v="851.33199999999999"/>
    <n v="740.36800000000005"/>
    <n v="1379.5309999999999"/>
    <n v="3163.337"/>
    <n v="3268.4050000000002"/>
    <n v="4154.1080000000002"/>
    <n v="4178.4120000000003"/>
    <n v="2811.9369999999999"/>
    <n v="1839.3420000000001"/>
    <n v="1315.9259999999999"/>
    <n v="893.50400000000002"/>
    <n v="876.56799999999998"/>
    <n v="19270.583999999999"/>
  </r>
  <r>
    <x v="2"/>
    <s v="PEST CONTROL"/>
    <s v="SC JOHNSON"/>
    <x v="3"/>
    <x v="0"/>
    <x v="3"/>
    <x v="10"/>
    <x v="1"/>
    <n v="248814.899"/>
    <n v="238484.98300000001"/>
    <n v="308544.03100000002"/>
    <n v="360234.321"/>
    <n v="755759.73400000005"/>
    <n v="699288.36600000004"/>
    <n v="684345.18"/>
    <n v="551178.929"/>
    <n v="378458.50799999997"/>
    <n v="278962.05599999998"/>
    <n v="249174.022"/>
    <n v="182602.413"/>
    <n v="289693.27100000001"/>
    <n v="291884.18699999998"/>
    <n v="305442.71299999999"/>
    <n v="431403.23700000002"/>
    <n v="375819.51299999998"/>
    <n v="439570.30200000003"/>
    <n v="449206.821"/>
    <n v="403680.283"/>
    <n v="274774.55200000003"/>
    <n v="216092.72"/>
    <n v="178339.93700000001"/>
    <n v="202595.769"/>
    <n v="142389.38399999999"/>
    <n v="171741.97700000001"/>
    <n v="185442.61900000001"/>
    <n v="313922.27899999998"/>
    <n v="676447.11"/>
    <n v="704771.23100000003"/>
    <n v="970657.64399999997"/>
    <n v="1001433.134"/>
    <n v="618262.804"/>
    <n v="425180.53899999999"/>
    <n v="297654.59700000001"/>
    <n v="215705.85200000001"/>
    <n v="191257.44699999999"/>
    <n v="191257.44699999999"/>
  </r>
  <r>
    <x v="2"/>
    <s v="PEST CONTROL"/>
    <s v="SC JOHNSON"/>
    <x v="3"/>
    <x v="0"/>
    <x v="3"/>
    <x v="10"/>
    <x v="2"/>
    <n v="0.47299999999999998"/>
    <n v="0.378"/>
    <n v="0.39500000000000002"/>
    <n v="0.33400000000000002"/>
    <n v="0.626"/>
    <n v="0.59699999999999998"/>
    <n v="0.61"/>
    <n v="0.64500000000000002"/>
    <n v="0.499"/>
    <n v="0.52400000000000002"/>
    <n v="0.58499999999999996"/>
    <n v="0.79400000000000004"/>
    <n v="0.83799999999999997"/>
    <n v="0.876"/>
    <n v="0.77"/>
    <n v="0.67400000000000004"/>
    <n v="0.64600000000000002"/>
    <n v="0.70799999999999996"/>
    <n v="0.53500000000000003"/>
    <n v="0.54500000000000004"/>
    <n v="0.42599999999999999"/>
    <n v="0.42099999999999999"/>
    <n v="0.434"/>
    <n v="0.49199999999999999"/>
    <n v="0.34399999999999997"/>
    <n v="0.317"/>
    <n v="0.23100000000000001"/>
    <n v="0.316"/>
    <n v="0.66500000000000004"/>
    <n v="0.60699999999999998"/>
    <n v="0.7"/>
    <n v="0.68899999999999995"/>
    <n v="0.51800000000000002"/>
    <n v="0.47799999999999998"/>
    <n v="0.47399999999999998"/>
    <n v="0.52200000000000002"/>
    <n v="0.70399999999999996"/>
    <n v="33.29"/>
  </r>
  <r>
    <x v="2"/>
    <s v="PEST CONTROL"/>
    <s v="SC JOHNSON"/>
    <x v="3"/>
    <x v="0"/>
    <x v="3"/>
    <x v="10"/>
    <x v="3"/>
    <n v="57.295999999999999"/>
    <n v="55.115000000000002"/>
    <n v="61.978999999999999"/>
    <n v="52.465000000000003"/>
    <n v="62.078000000000003"/>
    <n v="58.56"/>
    <n v="55.344000000000001"/>
    <n v="52.363999999999997"/>
    <n v="51.168999999999997"/>
    <n v="54.500999999999998"/>
    <n v="53.936"/>
    <n v="54.206000000000003"/>
    <n v="58.619"/>
    <n v="58.921999999999997"/>
    <n v="59.284999999999997"/>
    <n v="59.530999999999999"/>
    <n v="43.848999999999997"/>
    <n v="44.069000000000003"/>
    <n v="43.853000000000002"/>
    <n v="53.073"/>
    <n v="53.048999999999999"/>
    <n v="56.284999999999997"/>
    <n v="64.924000000000007"/>
    <n v="58.927999999999997"/>
    <n v="57.652000000000001"/>
    <n v="61.253"/>
    <n v="51.792999999999999"/>
    <n v="47.543999999999997"/>
    <n v="59.256"/>
    <n v="60.866999999999997"/>
    <n v="63.978999999999999"/>
    <n v="53.386000000000003"/>
    <n v="38.097000000000001"/>
    <n v="48.191000000000003"/>
    <n v="50.228999999999999"/>
    <n v="59.185000000000002"/>
    <n v="66.093999999999994"/>
    <n v="109469.852"/>
  </r>
  <r>
    <x v="2"/>
    <s v="PEST CONTROL"/>
    <s v="SC JOHNSON"/>
    <x v="3"/>
    <x v="0"/>
    <x v="3"/>
    <x v="10"/>
    <x v="4"/>
    <n v="12.567673900000001"/>
    <n v="11.9917488"/>
    <n v="13.5187445"/>
    <n v="12.9758209"/>
    <n v="16.730123599999999"/>
    <n v="14.6279118"/>
    <n v="13.767786600000001"/>
    <n v="11.9237562"/>
    <n v="12.003351"/>
    <n v="10.6757034"/>
    <n v="10.8752259"/>
    <n v="11.146661"/>
    <n v="11.8385368"/>
    <n v="11.825956100000001"/>
    <n v="10.9663287"/>
    <n v="13.9769694"/>
    <n v="11.609765400000001"/>
    <n v="12.359516599999999"/>
    <n v="10.7420709"/>
    <n v="12.4420474"/>
    <n v="11.800796699999999"/>
    <n v="11.840716199999999"/>
    <n v="11.006659300000001"/>
    <n v="10.460807300000001"/>
    <n v="10.2285118"/>
    <n v="10.4060641"/>
    <n v="11.946574200000001"/>
    <n v="12.4264115"/>
    <n v="18.043582099999998"/>
    <n v="19.234212400000001"/>
    <n v="18.965852999999999"/>
    <n v="16.170045999999999"/>
    <n v="13.713026899999999"/>
    <n v="13.426596399999999"/>
    <n v="12.3641535"/>
    <n v="12.9037092"/>
    <n v="13.6550145"/>
    <n v="66.093999999999994"/>
  </r>
  <r>
    <x v="2"/>
    <s v="PEST CONTROL"/>
    <s v="SC JOHNSON"/>
    <x v="3"/>
    <x v="0"/>
    <x v="3"/>
    <x v="10"/>
    <x v="5"/>
    <n v="10.465"/>
    <n v="9.8840000000000003"/>
    <n v="7.734"/>
    <n v="7.7939999999999996"/>
    <n v="8.7309999999999999"/>
    <n v="9.0939999999999994"/>
    <n v="7.7729999999999997"/>
    <n v="4.8090000000000002"/>
    <n v="5.5380000000000003"/>
    <n v="5.1280000000000001"/>
    <n v="5.694"/>
    <n v="5.5179999999999998"/>
    <n v="4.8899999999999997"/>
    <n v="4.3289999999999997"/>
    <n v="4.423"/>
    <n v="4.8019999999999996"/>
    <n v="4.9340000000000002"/>
    <n v="4.3440000000000003"/>
    <n v="4.55"/>
    <n v="6.1580000000000004"/>
    <n v="6.125"/>
    <n v="6.1289999999999996"/>
    <n v="5.3209999999999997"/>
    <n v="6.5679999999999996"/>
    <n v="6.6619999999999999"/>
    <n v="5.2569999999999997"/>
    <n v="5.726"/>
    <n v="6.81"/>
    <n v="6.45"/>
    <n v="6.431"/>
    <n v="7.3070000000000004"/>
    <n v="6.4749999999999996"/>
    <n v="5.0439999999999996"/>
    <n v="10.061999999999999"/>
    <n v="9.9359999999999999"/>
    <n v="10.439"/>
    <n v="11.851000000000001"/>
    <n v="13.6550145"/>
  </r>
  <r>
    <x v="2"/>
    <s v="PEST CONTROL"/>
    <s v="SC JOHNSON"/>
    <x v="4"/>
    <x v="6"/>
    <x v="3"/>
    <x v="0"/>
    <x v="0"/>
    <n v="50.686"/>
    <n v="72.108000000000004"/>
    <n v="133.52699999999999"/>
    <n v="157.749"/>
    <n v="308.82299999999998"/>
    <n v="74.055999999999997"/>
    <n v="269.87299999999999"/>
    <n v="235.46100000000001"/>
    <n v="217.36600000000001"/>
    <n v="125.505"/>
    <n v="107.646"/>
    <n v="147.55099999999999"/>
    <n v="198.78100000000001"/>
    <n v="230.15299999999999"/>
    <n v="118.914"/>
    <n v="167.453"/>
    <n v="172.119"/>
    <n v="262.517"/>
    <n v="308.846"/>
    <n v="252.55799999999999"/>
    <n v="208.024"/>
    <n v="162.27000000000001"/>
    <n v="187.261"/>
    <n v="45.465000000000003"/>
    <n v="24.443999999999999"/>
    <n v="75.778999999999996"/>
    <n v="35.058999999999997"/>
    <n v="256.24900000000002"/>
    <n v="349.815"/>
    <n v="446.642"/>
    <n v="533.22299999999996"/>
    <n v="495.31099999999998"/>
    <n v="609.71600000000001"/>
    <n v="388.59"/>
    <n v="423.18"/>
    <n v="374.87200000000001"/>
    <n v="291.80599999999998"/>
    <n v="291.80599999999998"/>
  </r>
  <r>
    <x v="2"/>
    <s v="PEST CONTROL"/>
    <s v="SC JOHNSON"/>
    <x v="4"/>
    <x v="6"/>
    <x v="3"/>
    <x v="0"/>
    <x v="1"/>
    <n v="11485.357"/>
    <n v="14187.481"/>
    <n v="26975.758000000002"/>
    <n v="35007.322"/>
    <n v="65545.131999999998"/>
    <n v="13096.191999999999"/>
    <n v="60856.339"/>
    <n v="53678.046999999999"/>
    <n v="51028.09"/>
    <n v="29381.351999999999"/>
    <n v="23506.43"/>
    <n v="33275.968999999997"/>
    <n v="46558.457999999999"/>
    <n v="48363.423999999999"/>
    <n v="28713.728999999999"/>
    <n v="42323.095000000001"/>
    <n v="43857.612000000001"/>
    <n v="43281.705999999998"/>
    <n v="61774.023999999998"/>
    <n v="47450.165000000001"/>
    <n v="33329.883000000002"/>
    <n v="25961.602999999999"/>
    <n v="30835.852999999999"/>
    <n v="11002.578"/>
    <n v="5915.4960000000001"/>
    <n v="19153.254000000001"/>
    <n v="9577.9179999999997"/>
    <n v="50582.845000000001"/>
    <n v="76605.328999999998"/>
    <n v="101315.939"/>
    <n v="115409.353"/>
    <n v="109924.81"/>
    <n v="132302.51199999999"/>
    <n v="77606.491999999998"/>
    <n v="91099.645999999993"/>
    <n v="79686.236999999994"/>
    <n v="62570.525999999998"/>
    <n v="62570.525999999998"/>
  </r>
  <r>
    <x v="2"/>
    <s v="PEST CONTROL"/>
    <s v="SC JOHNSON"/>
    <x v="4"/>
    <x v="6"/>
    <x v="3"/>
    <x v="0"/>
    <x v="2"/>
    <n v="0.35499999999999998"/>
    <n v="0.42299999999999999"/>
    <n v="0.61599999999999999"/>
    <n v="0.54200000000000004"/>
    <n v="0.91800000000000004"/>
    <n v="0.20799999999999999"/>
    <n v="0.876"/>
    <n v="1.016"/>
    <n v="1.046"/>
    <n v="0.79100000000000004"/>
    <n v="0.77800000000000002"/>
    <n v="1.1240000000000001"/>
    <n v="1.524"/>
    <n v="1.6839999999999999"/>
    <n v="0.75600000000000001"/>
    <n v="0.82399999999999995"/>
    <n v="0.79300000000000004"/>
    <n v="1.2110000000000001"/>
    <n v="1.423"/>
    <n v="1.256"/>
    <n v="1.1779999999999999"/>
    <n v="1.0620000000000001"/>
    <n v="1.4730000000000001"/>
    <n v="0.42799999999999999"/>
    <n v="0.20499999999999999"/>
    <n v="0.52"/>
    <n v="0.19700000000000001"/>
    <n v="1.0269999999999999"/>
    <n v="1.2809999999999999"/>
    <n v="1.498"/>
    <n v="1.5329999999999999"/>
    <n v="1.343"/>
    <n v="1.9710000000000001"/>
    <n v="1.615"/>
    <n v="2.5979999999999999"/>
    <n v="3.5760000000000001"/>
    <n v="4.12"/>
    <n v="0.504"/>
  </r>
  <r>
    <x v="2"/>
    <s v="PEST CONTROL"/>
    <s v="SC JOHNSON"/>
    <x v="4"/>
    <x v="6"/>
    <x v="3"/>
    <x v="0"/>
    <x v="3"/>
    <n v="19.495999999999999"/>
    <n v="15.314"/>
    <n v="17.606000000000002"/>
    <n v="18.821999999999999"/>
    <n v="18.835000000000001"/>
    <n v="19.417000000000002"/>
    <n v="24.443000000000001"/>
    <n v="18.937999999999999"/>
    <n v="17.300999999999998"/>
    <n v="10.362"/>
    <n v="9.0449999999999999"/>
    <n v="8.7230000000000008"/>
    <n v="8.6340000000000003"/>
    <n v="6.9939999999999998"/>
    <n v="7.2030000000000003"/>
    <n v="11.098000000000001"/>
    <n v="11.071999999999999"/>
    <n v="9.8960000000000008"/>
    <n v="11.837999999999999"/>
    <n v="9.8170000000000002"/>
    <n v="9.5399999999999991"/>
    <n v="8.1329999999999991"/>
    <n v="8.9469999999999992"/>
    <n v="6.8010000000000002"/>
    <n v="4.649"/>
    <n v="13.538"/>
    <n v="8.4700000000000006"/>
    <n v="8.6059999999999999"/>
    <n v="7.3559999999999999"/>
    <n v="7.351"/>
    <n v="8.26"/>
    <n v="7.2930000000000001"/>
    <n v="11.048"/>
    <n v="5.57"/>
    <n v="6.4180000000000001"/>
    <n v="8.2420000000000009"/>
    <n v="10.445"/>
    <n v="7.3360000000000003"/>
  </r>
  <r>
    <x v="2"/>
    <s v="PEST CONTROL"/>
    <s v="SC JOHNSON"/>
    <x v="4"/>
    <x v="6"/>
    <x v="3"/>
    <x v="0"/>
    <x v="4"/>
    <n v="0.87176209999999998"/>
    <n v="0.90178939999999996"/>
    <n v="0.91328509999999996"/>
    <n v="1.1702048"/>
    <n v="1.2079675999999999"/>
    <n v="1.7615178"/>
    <n v="2.4095255"/>
    <n v="2.3804053000000001"/>
    <n v="2.3832274"/>
    <n v="1.6756917"/>
    <n v="1.6661014999999999"/>
    <n v="1.6657706999999999"/>
    <n v="1.6686277"/>
    <n v="0.67532550000000002"/>
    <n v="0.67532919999999996"/>
    <n v="0.72192789999999996"/>
    <n v="0.73083229999999999"/>
    <n v="0.69099049999999995"/>
    <n v="0.47451710000000002"/>
    <n v="0.48623349999999999"/>
    <n v="0.47451670000000001"/>
    <n v="0.46276729999999999"/>
    <n v="0.47446129999999997"/>
    <n v="0.41207139999999998"/>
    <n v="0.36116860000000001"/>
    <n v="0.36116890000000001"/>
    <n v="0.37322709999999998"/>
    <n v="0.38531510000000002"/>
    <n v="0.38521889999999998"/>
    <n v="0.43488070000000001"/>
    <n v="0.54111750000000003"/>
    <n v="0.66164480000000003"/>
    <n v="0.8600122"/>
    <n v="0.45072210000000001"/>
    <n v="0.45071860000000002"/>
    <n v="0.36806509999999998"/>
    <n v="0.36794529999999998"/>
    <n v="10.445"/>
  </r>
  <r>
    <x v="2"/>
    <s v="PEST CONTROL"/>
    <s v="SC JOHNSON"/>
    <x v="4"/>
    <x v="6"/>
    <x v="3"/>
    <x v="0"/>
    <x v="5"/>
    <n v="0.56100000000000005"/>
    <n v="0.52700000000000002"/>
    <n v="0.40200000000000002"/>
    <n v="0.7"/>
    <n v="0.42499999999999999"/>
    <n v="0.752"/>
    <n v="0.55600000000000005"/>
    <n v="0.30399999999999999"/>
    <n v="0.317"/>
    <n v="0.39600000000000002"/>
    <n v="0.375"/>
    <n v="0.34300000000000003"/>
    <n v="0.155"/>
    <n v="0.17100000000000001"/>
    <n v="0.79"/>
    <n v="0.76200000000000001"/>
    <n v="0.76"/>
    <n v="0.32800000000000001"/>
    <n v="0"/>
    <n v="6.7000000000000004E-2"/>
    <n v="5.2999999999999999E-2"/>
    <n v="5.2999999999999999E-2"/>
    <n v="5.2999999999999999E-2"/>
    <n v="9.6000000000000002E-2"/>
    <n v="9.8000000000000004E-2"/>
    <n v="7.5999999999999998E-2"/>
    <n v="5.6000000000000001E-2"/>
    <n v="0.13100000000000001"/>
    <n v="0.13400000000000001"/>
    <n v="0.08"/>
    <n v="0.124"/>
    <n v="0.106"/>
    <n v="0.115"/>
    <n v="0.113"/>
    <n v="9.6000000000000002E-2"/>
    <n v="4.4999999999999998E-2"/>
    <n v="1.7999999999999999E-2"/>
    <n v="0.36794529999999998"/>
  </r>
  <r>
    <x v="3"/>
    <s v="PEST CONTROL"/>
    <s v="SC JOHNSON"/>
    <x v="0"/>
    <x v="0"/>
    <x v="0"/>
    <x v="0"/>
    <x v="0"/>
    <n v="658.71299999999997"/>
    <n v="2407.1370000000002"/>
    <n v="4349.8620000000001"/>
    <n v="5538.5429999999997"/>
    <n v="11347.456"/>
    <n v="12462.779"/>
    <n v="8426.2860000000001"/>
    <n v="3808.835"/>
    <n v="1759.068"/>
    <n v="942.52200000000005"/>
    <n v="866.70600000000002"/>
    <n v="706.73599999999999"/>
    <n v="734.97699999999998"/>
    <n v="1189.3230000000001"/>
    <n v="3927.4209999999998"/>
    <n v="7218.1790000000001"/>
    <n v="10309.694"/>
    <n v="10474.557000000001"/>
    <n v="9747.1589999999997"/>
    <n v="4481.8810000000003"/>
    <n v="2179.239"/>
    <n v="1128.6420000000001"/>
    <n v="946.93399999999997"/>
    <n v="1114.635"/>
    <n v="830.14800000000002"/>
    <n v="1404.8340000000001"/>
    <n v="3714.1959999999999"/>
    <n v="9422.9500000000007"/>
    <n v="19503.153999999999"/>
    <n v="16582.846000000001"/>
    <n v="24794.295999999998"/>
    <n v="26433.965"/>
    <n v="9119.9590000000007"/>
    <n v="3582.962"/>
    <n v="1804.579"/>
    <n v="1155.6890000000001"/>
    <n v="2036.8910000000001"/>
    <n v="2036.8910000000001"/>
  </r>
  <r>
    <x v="3"/>
    <s v="PEST CONTROL"/>
    <s v="SC JOHNSON"/>
    <x v="0"/>
    <x v="0"/>
    <x v="0"/>
    <x v="0"/>
    <x v="1"/>
    <n v="106649.788"/>
    <n v="402691.67099999997"/>
    <n v="718024.43200000003"/>
    <n v="931516.85199999996"/>
    <n v="1873462.7620000001"/>
    <n v="1914736.2690000001"/>
    <n v="1375065.5179999999"/>
    <n v="632740.52099999995"/>
    <n v="317111.75799999997"/>
    <n v="177449.14799999999"/>
    <n v="162210.46400000001"/>
    <n v="128580.11500000001"/>
    <n v="132940.33499999999"/>
    <n v="209201"/>
    <n v="633515.14099999995"/>
    <n v="1222602.977"/>
    <n v="1783268.524"/>
    <n v="1840354.044"/>
    <n v="1756327.6869999999"/>
    <n v="823476.21600000001"/>
    <n v="399962.147"/>
    <n v="205400.69500000001"/>
    <n v="173831.73"/>
    <n v="211818.342"/>
    <n v="156555.14300000001"/>
    <n v="270666.598"/>
    <n v="722896.26800000004"/>
    <n v="1846228.148"/>
    <n v="3837453.5350000001"/>
    <n v="3390909.713"/>
    <n v="5062974.1040000003"/>
    <n v="5399313.1299999999"/>
    <n v="1968258.902"/>
    <n v="765592.52300000004"/>
    <n v="369943.79700000002"/>
    <n v="245223.60200000001"/>
    <n v="435848.38199999998"/>
    <n v="435848.38199999998"/>
  </r>
  <r>
    <x v="3"/>
    <s v="PEST CONTROL"/>
    <s v="SC JOHNSON"/>
    <x v="0"/>
    <x v="0"/>
    <x v="0"/>
    <x v="0"/>
    <x v="2"/>
    <n v="0.16300000000000001"/>
    <n v="0.41499999999999998"/>
    <n v="0.53700000000000003"/>
    <n v="0.52600000000000002"/>
    <n v="0.80700000000000005"/>
    <n v="0.90200000000000002"/>
    <n v="0.68500000000000005"/>
    <n v="0.433"/>
    <n v="0.29099999999999998"/>
    <n v="0.24099999999999999"/>
    <n v="0.26500000000000001"/>
    <n v="0.22500000000000001"/>
    <n v="0.20699999999999999"/>
    <n v="0.251"/>
    <n v="0.54300000000000004"/>
    <n v="0.71"/>
    <n v="0.875"/>
    <n v="0.95099999999999996"/>
    <n v="0.84799999999999998"/>
    <n v="0.51400000000000001"/>
    <n v="0.32300000000000001"/>
    <n v="0.22500000000000001"/>
    <n v="0.23899999999999999"/>
    <n v="0.313"/>
    <n v="0.22"/>
    <n v="0.28100000000000003"/>
    <n v="0.55200000000000005"/>
    <n v="0.93700000000000006"/>
    <n v="1.52"/>
    <n v="1.3169999999999999"/>
    <n v="1.6910000000000001"/>
    <n v="1.83"/>
    <n v="0.97599999999999998"/>
    <n v="0.53500000000000003"/>
    <n v="0.36299999999999999"/>
    <n v="0.33300000000000002"/>
    <n v="0.71299999999999997"/>
    <n v="0.23100000000000001"/>
  </r>
  <r>
    <x v="3"/>
    <s v="PEST CONTROL"/>
    <s v="SC JOHNSON"/>
    <x v="0"/>
    <x v="0"/>
    <x v="0"/>
    <x v="0"/>
    <x v="3"/>
    <n v="22.620999999999999"/>
    <n v="41.045000000000002"/>
    <n v="53.009"/>
    <n v="52.728000000000002"/>
    <n v="58.171999999999997"/>
    <n v="50.572000000000003"/>
    <n v="48.921999999999997"/>
    <n v="43.164000000000001"/>
    <n v="32.734999999999999"/>
    <n v="20.170000000000002"/>
    <n v="20.256"/>
    <n v="23.948"/>
    <n v="30.225000000000001"/>
    <n v="38.630000000000003"/>
    <n v="54.978999999999999"/>
    <n v="57.371000000000002"/>
    <n v="60.246000000000002"/>
    <n v="58.576000000000001"/>
    <n v="56.265999999999998"/>
    <n v="52.472999999999999"/>
    <n v="40.627000000000002"/>
    <n v="23.492999999999999"/>
    <n v="19.594000000000001"/>
    <n v="19.349"/>
    <n v="20.917999999999999"/>
    <n v="37.121000000000002"/>
    <n v="51.195999999999998"/>
    <n v="62.16"/>
    <n v="62.912999999999997"/>
    <n v="55.356999999999999"/>
    <n v="56.835999999999999"/>
    <n v="60.53"/>
    <n v="37.805"/>
    <n v="31.954000000000001"/>
    <n v="23.805"/>
    <n v="21.963999999999999"/>
    <n v="36.109000000000002"/>
    <n v="3757.7159999999999"/>
  </r>
  <r>
    <x v="3"/>
    <s v="PEST CONTROL"/>
    <s v="SC JOHNSON"/>
    <x v="0"/>
    <x v="0"/>
    <x v="0"/>
    <x v="0"/>
    <x v="4"/>
    <n v="4.9351548999999997"/>
    <n v="6.0629081999999999"/>
    <n v="6.8004879999999996"/>
    <n v="7.5318421999999998"/>
    <n v="7.7725909"/>
    <n v="7.5616902000000001"/>
    <n v="7.4972791000000001"/>
    <n v="6.7169397000000002"/>
    <n v="5.9936172000000001"/>
    <n v="5.1499275999999998"/>
    <n v="5.1355389000000002"/>
    <n v="5.0058546000000002"/>
    <n v="5.2533738999999997"/>
    <n v="5.7551652999999998"/>
    <n v="6.8403391999999998"/>
    <n v="7.2824891000000003"/>
    <n v="7.4463233000000004"/>
    <n v="8.3374343"/>
    <n v="8.5010334000000007"/>
    <n v="9.0683346999999994"/>
    <n v="8.1062309999999993"/>
    <n v="7.1590391999999996"/>
    <n v="7.0375845000000004"/>
    <n v="6.5740970000000001"/>
    <n v="6.1246619000000004"/>
    <n v="7.2563686000000001"/>
    <n v="8.2719468000000003"/>
    <n v="9.4797045999999998"/>
    <n v="10.119184499999999"/>
    <n v="10.4630949"/>
    <n v="11.4662635"/>
    <n v="12.020974199999999"/>
    <n v="9.9587044999999996"/>
    <n v="8.4312577999999991"/>
    <n v="7.0490003999999997"/>
    <n v="6.7648012"/>
    <n v="7.3629750999999999"/>
    <n v="36.109000000000002"/>
  </r>
  <r>
    <x v="3"/>
    <s v="PEST CONTROL"/>
    <s v="SC JOHNSON"/>
    <x v="0"/>
    <x v="0"/>
    <x v="0"/>
    <x v="0"/>
    <x v="5"/>
    <n v="0.66800000000000004"/>
    <n v="0.66"/>
    <n v="0.62"/>
    <n v="0.54800000000000004"/>
    <n v="0.61799999999999999"/>
    <n v="0.55100000000000005"/>
    <n v="0.625"/>
    <n v="0.65100000000000002"/>
    <n v="0.53600000000000003"/>
    <n v="0.46300000000000002"/>
    <n v="0.51300000000000001"/>
    <n v="0.53100000000000003"/>
    <n v="0.52"/>
    <n v="0.45800000000000002"/>
    <n v="0.67700000000000005"/>
    <n v="0.58199999999999996"/>
    <n v="0.54600000000000004"/>
    <n v="0.59899999999999998"/>
    <n v="0.59499999999999997"/>
    <n v="0.72399999999999998"/>
    <n v="0.68700000000000006"/>
    <n v="0.67100000000000004"/>
    <n v="0.67900000000000005"/>
    <n v="0.58599999999999997"/>
    <n v="0.59799999999999998"/>
    <n v="0.55500000000000005"/>
    <n v="0.47"/>
    <n v="0.57399999999999995"/>
    <n v="0.61099999999999999"/>
    <n v="0.60099999999999998"/>
    <n v="0.86499999999999999"/>
    <n v="0.85199999999999998"/>
    <n v="0.79400000000000004"/>
    <n v="0.85099999999999998"/>
    <n v="0.70699999999999996"/>
    <n v="0.77100000000000002"/>
    <n v="0.74"/>
    <n v="7.3629750999999999"/>
  </r>
  <r>
    <x v="3"/>
    <s v="PEST CONTROL"/>
    <s v="SC JOHNSON"/>
    <x v="0"/>
    <x v="0"/>
    <x v="0"/>
    <x v="1"/>
    <x v="0"/>
    <n v="145.97399999999999"/>
    <n v="152.14500000000001"/>
    <n v="165.874"/>
    <n v="160.57900000000001"/>
    <n v="298.32"/>
    <n v="260.07400000000001"/>
    <n v="11.340999999999999"/>
    <n v="107.483"/>
    <n v="89.364000000000004"/>
    <n v="63.162999999999997"/>
    <n v="73.353999999999999"/>
    <n v="60.113"/>
    <n v="81.537000000000006"/>
    <n v="127.631"/>
    <n v="60.195999999999998"/>
    <n v="41.933"/>
    <n v="18.640999999999998"/>
    <n v="21.146999999999998"/>
    <n v="40.512999999999998"/>
    <n v="21.074000000000002"/>
    <n v="0"/>
    <n v="0"/>
    <n v="0"/>
    <n v="1"/>
    <n v="2"/>
    <n v="2.1429999999999998"/>
    <n v="0.85699999999999998"/>
    <n v="0"/>
    <n v="1"/>
    <n v="0"/>
    <n v="0"/>
    <n v="0"/>
    <n v="0"/>
    <n v="0"/>
    <n v="0"/>
    <n v="0"/>
    <n v="0"/>
    <n v="0"/>
  </r>
  <r>
    <x v="3"/>
    <s v="PEST CONTROL"/>
    <s v="SC JOHNSON"/>
    <x v="0"/>
    <x v="0"/>
    <x v="0"/>
    <x v="1"/>
    <x v="1"/>
    <n v="13840.603999999999"/>
    <n v="13070.643"/>
    <n v="13423.466"/>
    <n v="14099.416999999999"/>
    <n v="27146.733"/>
    <n v="22101.131000000001"/>
    <n v="783.90200000000004"/>
    <n v="9681.7160000000003"/>
    <n v="7949.348"/>
    <n v="5684.665"/>
    <n v="6550.8850000000002"/>
    <n v="5410.1760000000004"/>
    <n v="7473.1559999999999"/>
    <n v="11200.781000000001"/>
    <n v="3616.5920000000001"/>
    <n v="4029.3319999999999"/>
    <n v="1768.338"/>
    <n v="1993.5329999999999"/>
    <n v="3368.2730000000001"/>
    <n v="1664.721"/>
    <n v="0"/>
    <n v="0"/>
    <n v="0"/>
    <n v="72"/>
    <n v="122.4"/>
    <n v="139.87899999999999"/>
    <n v="61.710999999999999"/>
    <n v="0"/>
    <n v="65"/>
    <n v="0"/>
    <n v="0"/>
    <n v="0"/>
    <n v="0"/>
    <n v="0"/>
    <n v="0"/>
    <n v="0"/>
    <n v="0"/>
    <n v="0"/>
  </r>
  <r>
    <x v="3"/>
    <s v="PEST CONTROL"/>
    <s v="SC JOHNSON"/>
    <x v="0"/>
    <x v="0"/>
    <x v="0"/>
    <x v="1"/>
    <x v="2"/>
    <n v="1.2999999999999999E-2"/>
    <n v="0.01"/>
    <n v="7.0000000000000001E-3"/>
    <n v="6.0000000000000001E-3"/>
    <n v="8.0000000000000002E-3"/>
    <n v="7.0000000000000001E-3"/>
    <n v="0"/>
    <n v="4.0000000000000001E-3"/>
    <n v="5.0000000000000001E-3"/>
    <n v="6.0000000000000001E-3"/>
    <n v="8.0000000000000002E-3"/>
    <n v="7.0000000000000001E-3"/>
    <n v="8.0000000000000002E-3"/>
    <n v="0.01"/>
    <n v="3.0000000000000001E-3"/>
    <n v="1E-3"/>
    <n v="1E-3"/>
    <n v="1E-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s v="SC JOHNSON"/>
    <x v="0"/>
    <x v="0"/>
    <x v="0"/>
    <x v="1"/>
    <x v="3"/>
    <n v="2.2829999999999999"/>
    <n v="2.593"/>
    <n v="2.742"/>
    <n v="3.016"/>
    <n v="3.0230000000000001"/>
    <n v="2.8519999999999999"/>
    <n v="2.3239999999999998"/>
    <n v="2.5529999999999999"/>
    <n v="1.8839999999999999"/>
    <n v="2.5499999999999998"/>
    <n v="2.3090000000000002"/>
    <n v="1.8480000000000001"/>
    <n v="2.573"/>
    <n v="1.772"/>
    <n v="1.8819999999999999"/>
    <n v="2.1269999999999998"/>
    <n v="3.8450000000000002"/>
    <n v="3.298"/>
    <n v="1.347"/>
    <n v="1.583"/>
    <n v="0"/>
    <n v="0"/>
    <n v="0"/>
    <n v="0.09"/>
    <n v="0.64100000000000001"/>
    <n v="0.46200000000000002"/>
    <n v="4.3999999999999997E-2"/>
    <n v="0"/>
    <n v="0.158"/>
    <n v="0"/>
    <n v="0"/>
    <n v="0"/>
    <n v="0"/>
    <n v="0"/>
    <n v="0"/>
    <n v="0"/>
    <n v="0"/>
    <n v="0"/>
  </r>
  <r>
    <x v="3"/>
    <s v="PEST CONTROL"/>
    <s v="SC JOHNSON"/>
    <x v="0"/>
    <x v="0"/>
    <x v="0"/>
    <x v="1"/>
    <x v="4"/>
    <n v="1.0392790999999999"/>
    <n v="0.74408470000000004"/>
    <n v="0.7923945"/>
    <n v="0.82805030000000002"/>
    <n v="0.80119169999999995"/>
    <n v="0.78130330000000003"/>
    <n v="0.69250829999999997"/>
    <n v="0.74674879999999999"/>
    <n v="0.64902939999999998"/>
    <n v="0.57669190000000004"/>
    <n v="0.57662179999999996"/>
    <n v="0.4903013"/>
    <n v="0.50393209999999999"/>
    <n v="0.50129849999999998"/>
    <n v="0.42359180000000002"/>
    <n v="0.3026103"/>
    <n v="0.19549639999999999"/>
    <n v="0.1954794"/>
    <n v="0.1961521"/>
    <n v="0.15505640000000001"/>
    <n v="0"/>
    <n v="0"/>
    <n v="0"/>
    <n v="4.3888E-3"/>
    <n v="4.3888E-3"/>
    <n v="8.7755000000000003E-3"/>
    <n v="4.3867000000000003E-3"/>
    <n v="0"/>
    <n v="4.3820999999999999E-3"/>
    <n v="0"/>
    <n v="0"/>
    <n v="0"/>
    <n v="0"/>
    <n v="0"/>
    <n v="0"/>
    <n v="0"/>
    <n v="0"/>
    <n v="0"/>
  </r>
  <r>
    <x v="3"/>
    <s v="PEST CONTROL"/>
    <s v="SC JOHNSON"/>
    <x v="0"/>
    <x v="0"/>
    <x v="0"/>
    <x v="1"/>
    <x v="5"/>
    <n v="8.8999999999999996E-2"/>
    <n v="7.1999999999999995E-2"/>
    <n v="6.0999999999999999E-2"/>
    <n v="7.8E-2"/>
    <n v="5.8999999999999997E-2"/>
    <n v="3.6999999999999998E-2"/>
    <n v="3.9E-2"/>
    <n v="7.1999999999999995E-2"/>
    <n v="0.08"/>
    <n v="8.1000000000000003E-2"/>
    <n v="0.08"/>
    <n v="7.4999999999999997E-2"/>
    <n v="7.1999999999999995E-2"/>
    <n v="2.5999999999999999E-2"/>
    <n v="1.0999999999999999E-2"/>
    <n v="7.0000000000000001E-3"/>
    <n v="7.0000000000000001E-3"/>
    <n v="7.00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s v="SC JOHNSON"/>
    <x v="0"/>
    <x v="0"/>
    <x v="1"/>
    <x v="0"/>
    <x v="0"/>
    <n v="4202.5950000000003"/>
    <n v="11372.148999999999"/>
    <n v="19465.990000000002"/>
    <n v="25511.405999999999"/>
    <n v="53134.847999999998"/>
    <n v="47267.065999999999"/>
    <n v="33075.760000000002"/>
    <n v="16282.031000000001"/>
    <n v="7655.0789999999997"/>
    <n v="4911.3950000000004"/>
    <n v="4309.7489999999998"/>
    <n v="3989.41"/>
    <n v="4709.4390000000003"/>
    <n v="6407.2209999999995"/>
    <n v="15433.812"/>
    <n v="32157.263999999999"/>
    <n v="39167.733999999997"/>
    <n v="34282.828999999998"/>
    <n v="34364.838000000003"/>
    <n v="20799.149000000001"/>
    <n v="13165.776"/>
    <n v="7157.8879999999999"/>
    <n v="5558.4889999999996"/>
    <n v="4459.3900000000003"/>
    <n v="5413.37"/>
    <n v="8379.8150000000005"/>
    <n v="15176.716"/>
    <n v="43073.639000000003"/>
    <n v="88655.464999999997"/>
    <n v="64873.593999999997"/>
    <n v="102089.446"/>
    <n v="141861.74"/>
    <n v="47758.197999999997"/>
    <n v="19053.23"/>
    <n v="10452.394"/>
    <n v="7078.049"/>
    <n v="7762.4780000000001"/>
    <n v="7762.4780000000001"/>
  </r>
  <r>
    <x v="3"/>
    <s v="PEST CONTROL"/>
    <s v="SC JOHNSON"/>
    <x v="0"/>
    <x v="0"/>
    <x v="1"/>
    <x v="0"/>
    <x v="1"/>
    <n v="1106194.156"/>
    <n v="3174940.449"/>
    <n v="5558277.9189999998"/>
    <n v="7368504.8830000004"/>
    <n v="15434025.640000001"/>
    <n v="13373444.970000001"/>
    <n v="9329900.9989999998"/>
    <n v="4574357.5889999997"/>
    <n v="2126182.4670000002"/>
    <n v="1323278.787"/>
    <n v="1173176.1880000001"/>
    <n v="1066873.2649999999"/>
    <n v="1279158.1939999999"/>
    <n v="1784437.149"/>
    <n v="4605086.2060000002"/>
    <n v="9693228.7039999999"/>
    <n v="12221601.183"/>
    <n v="10756483.914999999"/>
    <n v="10696060.093"/>
    <n v="6275635.6569999997"/>
    <n v="3892755.0720000002"/>
    <n v="1973612.5830000001"/>
    <n v="1514289.66"/>
    <n v="1194388.098"/>
    <n v="1463146.327"/>
    <n v="2479307.452"/>
    <n v="4941325.9689999996"/>
    <n v="15716182.096000001"/>
    <n v="32783621.776000001"/>
    <n v="23638401.941"/>
    <n v="38778566.816"/>
    <n v="54459036.535999998"/>
    <n v="16722485.472999999"/>
    <n v="6284305.3640000001"/>
    <n v="3226664.5959999999"/>
    <n v="2100140.9929999998"/>
    <n v="2752591.6519999998"/>
    <n v="2752591.6519999998"/>
  </r>
  <r>
    <x v="3"/>
    <s v="PEST CONTROL"/>
    <s v="SC JOHNSON"/>
    <x v="0"/>
    <x v="0"/>
    <x v="1"/>
    <x v="0"/>
    <x v="2"/>
    <n v="1.0629999999999999"/>
    <n v="2.04"/>
    <n v="2.5230000000000001"/>
    <n v="2.5739999999999998"/>
    <n v="4.1310000000000002"/>
    <n v="3.6840000000000002"/>
    <n v="2.8769999999999998"/>
    <n v="1.9330000000000001"/>
    <n v="1.278"/>
    <n v="1.2649999999999999"/>
    <n v="1.327"/>
    <n v="1.282"/>
    <n v="1.3620000000000001"/>
    <n v="1.371"/>
    <n v="2.246"/>
    <n v="3.4129999999999998"/>
    <n v="3.5739999999999998"/>
    <n v="3.3559999999999999"/>
    <n v="3.23"/>
    <n v="2.5409999999999999"/>
    <n v="2.0049999999999999"/>
    <n v="1.46"/>
    <n v="1.4390000000000001"/>
    <n v="1.2769999999999999"/>
    <n v="1.472"/>
    <n v="1.7010000000000001"/>
    <n v="2.3279999999999998"/>
    <n v="4.6890000000000001"/>
    <n v="7.6929999999999996"/>
    <n v="5.6710000000000003"/>
    <n v="7.7460000000000004"/>
    <n v="10.679"/>
    <n v="5.1820000000000004"/>
    <n v="2.8919999999999999"/>
    <n v="2.133"/>
    <n v="2.0750000000000002"/>
    <n v="2.8010000000000002"/>
    <n v="0.88"/>
  </r>
  <r>
    <x v="3"/>
    <s v="PEST CONTROL"/>
    <s v="SC JOHNSON"/>
    <x v="0"/>
    <x v="0"/>
    <x v="1"/>
    <x v="0"/>
    <x v="3"/>
    <n v="58.914000000000001"/>
    <n v="69.456999999999994"/>
    <n v="76.947999999999993"/>
    <n v="79.929000000000002"/>
    <n v="85.504999999999995"/>
    <n v="82.03"/>
    <n v="79.253"/>
    <n v="75.623999999999995"/>
    <n v="68.334999999999994"/>
    <n v="59.106000000000002"/>
    <n v="60.917000000000002"/>
    <n v="63.481999999999999"/>
    <n v="65.090999999999994"/>
    <n v="72.914000000000001"/>
    <n v="83.373000000000005"/>
    <n v="86.201999999999998"/>
    <n v="85.587000000000003"/>
    <n v="85.813000000000002"/>
    <n v="83.44"/>
    <n v="80.113"/>
    <n v="74.366"/>
    <n v="59.152000000000001"/>
    <n v="54.137999999999998"/>
    <n v="56.081000000000003"/>
    <n v="57.470999999999997"/>
    <n v="70.706000000000003"/>
    <n v="79.03"/>
    <n v="84.825000000000003"/>
    <n v="87.667000000000002"/>
    <n v="86.274000000000001"/>
    <n v="86.156000000000006"/>
    <n v="87.760999999999996"/>
    <n v="72.072000000000003"/>
    <n v="61.673000000000002"/>
    <n v="50.234000000000002"/>
    <n v="50.313000000000002"/>
    <n v="60.942999999999998"/>
    <n v="16663.603999999999"/>
  </r>
  <r>
    <x v="3"/>
    <s v="PEST CONTROL"/>
    <s v="SC JOHNSON"/>
    <x v="0"/>
    <x v="0"/>
    <x v="1"/>
    <x v="0"/>
    <x v="4"/>
    <n v="23.671851199999999"/>
    <n v="24.0015222"/>
    <n v="25.834268900000001"/>
    <n v="27.585289499999998"/>
    <n v="29.549795799999998"/>
    <n v="31.005462000000001"/>
    <n v="30.3875995"/>
    <n v="30.01755"/>
    <n v="28.1079972"/>
    <n v="26.846130500000001"/>
    <n v="26.105504"/>
    <n v="25.8902176"/>
    <n v="25.9967787"/>
    <n v="26.267483200000001"/>
    <n v="29.180372200000001"/>
    <n v="31.729320399999999"/>
    <n v="33.265818899999999"/>
    <n v="32.884807500000001"/>
    <n v="32.156872200000002"/>
    <n v="31.459772399999999"/>
    <n v="30.450028"/>
    <n v="28.986035399999999"/>
    <n v="27.563546500000001"/>
    <n v="27.9185169"/>
    <n v="28.988971599999999"/>
    <n v="30.3020973"/>
    <n v="32.820262300000003"/>
    <n v="34.686787799999998"/>
    <n v="37.625741499999997"/>
    <n v="38.0729015"/>
    <n v="37.735826000000003"/>
    <n v="35.932199500000003"/>
    <n v="31.3634147"/>
    <n v="28.997616300000001"/>
    <n v="22.5263156"/>
    <n v="21.850833399999999"/>
    <n v="21.9167913"/>
    <n v="60.942999999999998"/>
  </r>
  <r>
    <x v="3"/>
    <s v="PEST CONTROL"/>
    <s v="SC JOHNSON"/>
    <x v="0"/>
    <x v="0"/>
    <x v="1"/>
    <x v="0"/>
    <x v="5"/>
    <n v="3.8730000000000002"/>
    <n v="3.3460000000000001"/>
    <n v="3.5449999999999999"/>
    <n v="3.6669999999999998"/>
    <n v="3.766"/>
    <n v="3.948"/>
    <n v="3.8290000000000002"/>
    <n v="3.6640000000000001"/>
    <n v="3.7589999999999999"/>
    <n v="3.891"/>
    <n v="3.8260000000000001"/>
    <n v="3.9740000000000002"/>
    <n v="3.93"/>
    <n v="4.1950000000000003"/>
    <n v="4.4279999999999999"/>
    <n v="4.4550000000000001"/>
    <n v="4.1189999999999998"/>
    <n v="4.2910000000000004"/>
    <n v="4.109"/>
    <n v="4.2370000000000001"/>
    <n v="4.109"/>
    <n v="3.81"/>
    <n v="3.9849999999999999"/>
    <n v="4.0590000000000002"/>
    <n v="3.8820000000000001"/>
    <n v="4.0190000000000001"/>
    <n v="3.9990000000000001"/>
    <n v="4.1159999999999997"/>
    <n v="4.1559999999999997"/>
    <n v="4.1120000000000001"/>
    <n v="3.931"/>
    <n v="3.3820000000000001"/>
    <n v="3.3519999999999999"/>
    <n v="3.0059999999999998"/>
    <n v="2.8980000000000001"/>
    <n v="3.105"/>
    <n v="3.206"/>
    <n v="21.9167913"/>
  </r>
  <r>
    <x v="3"/>
    <s v="PEST CONTROL"/>
    <s v="SC JOHNSON"/>
    <x v="0"/>
    <x v="0"/>
    <x v="1"/>
    <x v="12"/>
    <x v="0"/>
    <n v="220.286"/>
    <n v="297.35000000000002"/>
    <n v="481.517"/>
    <n v="871.548"/>
    <n v="1367.52"/>
    <n v="1259.4680000000001"/>
    <n v="1008.783"/>
    <n v="413.77300000000002"/>
    <n v="248.50800000000001"/>
    <n v="182.37299999999999"/>
    <n v="93.308000000000007"/>
    <n v="103.33"/>
    <n v="82.289000000000001"/>
    <n v="222.69800000000001"/>
    <n v="660.12800000000004"/>
    <n v="1109.4000000000001"/>
    <n v="1250.527"/>
    <n v="1099.6869999999999"/>
    <n v="950.54399999999998"/>
    <n v="356.327"/>
    <n v="405.32"/>
    <n v="197.87299999999999"/>
    <n v="264.755"/>
    <n v="108.663"/>
    <n v="195.27799999999999"/>
    <n v="264.18799999999999"/>
    <n v="759.39599999999996"/>
    <n v="1646.9860000000001"/>
    <n v="2865.5250000000001"/>
    <n v="2287.0210000000002"/>
    <n v="3411.2829999999999"/>
    <n v="4628.741"/>
    <n v="2208.0410000000002"/>
    <n v="836.63"/>
    <n v="702.40300000000002"/>
    <n v="294.79000000000002"/>
    <n v="398.601"/>
    <n v="398.601"/>
  </r>
  <r>
    <x v="3"/>
    <s v="PEST CONTROL"/>
    <s v="SC JOHNSON"/>
    <x v="0"/>
    <x v="0"/>
    <x v="1"/>
    <x v="12"/>
    <x v="1"/>
    <n v="66165.426999999996"/>
    <n v="88696.516000000003"/>
    <n v="147088.451"/>
    <n v="286771.77399999998"/>
    <n v="457508.27399999998"/>
    <n v="398517.516"/>
    <n v="329183.27399999998"/>
    <n v="148156.72700000001"/>
    <n v="94622.486000000004"/>
    <n v="66344.683999999994"/>
    <n v="29639.161"/>
    <n v="38359.900999999998"/>
    <n v="30619.746999999999"/>
    <n v="72085.17"/>
    <n v="235106.38500000001"/>
    <n v="382135.12199999997"/>
    <n v="431567.75"/>
    <n v="391236.38500000001"/>
    <n v="339544.516"/>
    <n v="132666.08499999999"/>
    <n v="142850.42600000001"/>
    <n v="65699.596000000005"/>
    <n v="86639.153000000006"/>
    <n v="30529.226999999999"/>
    <n v="57939.027000000002"/>
    <n v="108603.837"/>
    <n v="320008.07500000001"/>
    <n v="682153.28200000001"/>
    <n v="1190582.3119999999"/>
    <n v="953632.09600000002"/>
    <n v="1381921.25"/>
    <n v="1925580.175"/>
    <n v="810817.11899999995"/>
    <n v="308519.21500000003"/>
    <n v="265313.25099999999"/>
    <n v="126322.109"/>
    <n v="160820.80499999999"/>
    <n v="160820.80499999999"/>
  </r>
  <r>
    <x v="3"/>
    <s v="PEST CONTROL"/>
    <s v="SC JOHNSON"/>
    <x v="0"/>
    <x v="0"/>
    <x v="1"/>
    <x v="12"/>
    <x v="2"/>
    <n v="3.3000000000000002E-2"/>
    <n v="3.1E-2"/>
    <n v="3.5999999999999997E-2"/>
    <n v="0.05"/>
    <n v="5.8999999999999997E-2"/>
    <n v="5.5E-2"/>
    <n v="0.05"/>
    <n v="2.9000000000000001E-2"/>
    <n v="2.5000000000000001E-2"/>
    <n v="2.8000000000000001E-2"/>
    <n v="1.7000000000000001E-2"/>
    <n v="0.02"/>
    <n v="1.4E-2"/>
    <n v="2.8000000000000001E-2"/>
    <n v="5.3999999999999999E-2"/>
    <n v="6.5000000000000002E-2"/>
    <n v="6.3E-2"/>
    <n v="5.8999999999999997E-2"/>
    <n v="4.9000000000000002E-2"/>
    <n v="2.4E-2"/>
    <n v="3.5999999999999997E-2"/>
    <n v="2.3E-2"/>
    <n v="0.04"/>
    <n v="1.7999999999999999E-2"/>
    <n v="3.1E-2"/>
    <n v="3.1E-2"/>
    <n v="6.6000000000000003E-2"/>
    <n v="9.6000000000000002E-2"/>
    <n v="0.13100000000000001"/>
    <n v="0.107"/>
    <n v="0.13700000000000001"/>
    <n v="0.189"/>
    <n v="0.14000000000000001"/>
    <n v="7.3999999999999996E-2"/>
    <n v="8.3000000000000004E-2"/>
    <n v="0.05"/>
    <n v="8.2000000000000003E-2"/>
    <n v="4.4999999999999998E-2"/>
  </r>
  <r>
    <x v="3"/>
    <s v="PEST CONTROL"/>
    <s v="SC JOHNSON"/>
    <x v="0"/>
    <x v="0"/>
    <x v="1"/>
    <x v="12"/>
    <x v="3"/>
    <n v="5.0229999999999997"/>
    <n v="4.5110000000000001"/>
    <n v="4.9080000000000004"/>
    <n v="7.1369999999999996"/>
    <n v="7.9569999999999999"/>
    <n v="7.1669999999999998"/>
    <n v="7.2359999999999998"/>
    <n v="4.4960000000000004"/>
    <n v="4.7560000000000002"/>
    <n v="3.7320000000000002"/>
    <n v="3.2149999999999999"/>
    <n v="2.9449999999999998"/>
    <n v="3.3660000000000001"/>
    <n v="3.641"/>
    <n v="6.5659999999999998"/>
    <n v="7.72"/>
    <n v="8.2059999999999995"/>
    <n v="7.9969999999999999"/>
    <n v="7.3520000000000003"/>
    <n v="4.4429999999999996"/>
    <n v="4.1980000000000004"/>
    <n v="3.8370000000000002"/>
    <n v="4.5890000000000004"/>
    <n v="3.1539999999999999"/>
    <n v="3.6320000000000001"/>
    <n v="4.8360000000000003"/>
    <n v="6.6779999999999999"/>
    <n v="10.942"/>
    <n v="14.24"/>
    <n v="11.686999999999999"/>
    <n v="14.75"/>
    <n v="22.722000000000001"/>
    <n v="16.73"/>
    <n v="11.045"/>
    <n v="8.9390000000000001"/>
    <n v="4.3120000000000003"/>
    <n v="6.8419999999999996"/>
    <n v="1035.905"/>
  </r>
  <r>
    <x v="3"/>
    <s v="PEST CONTROL"/>
    <s v="SC JOHNSON"/>
    <x v="0"/>
    <x v="0"/>
    <x v="1"/>
    <x v="12"/>
    <x v="4"/>
    <n v="2.0828270999999998"/>
    <n v="2.1613178999999998"/>
    <n v="2.3309592000000001"/>
    <n v="2.6024302000000001"/>
    <n v="2.6644527"/>
    <n v="2.6007756999999998"/>
    <n v="2.7756335999999999"/>
    <n v="2.1619796"/>
    <n v="2.0262289"/>
    <n v="1.7655270000000001"/>
    <n v="1.5768036999999999"/>
    <n v="1.5829534999999999"/>
    <n v="1.7151198000000001"/>
    <n v="1.8162453000000001"/>
    <n v="2.5172428"/>
    <n v="2.7449881"/>
    <n v="3.1391727999999999"/>
    <n v="3.1030362"/>
    <n v="3.0724795999999999"/>
    <n v="2.4018936000000002"/>
    <n v="2.1540352"/>
    <n v="2.0326797000000001"/>
    <n v="2.1452426"/>
    <n v="1.9795197"/>
    <n v="2.0922331999999999"/>
    <n v="2.503638"/>
    <n v="2.9039261000000001"/>
    <n v="3.5854241"/>
    <n v="4.0669469999999999"/>
    <n v="3.9799017999999999"/>
    <n v="4.0562301999999999"/>
    <n v="4.2960108000000004"/>
    <n v="3.4638927000000002"/>
    <n v="2.5058041000000002"/>
    <n v="2.4296294999999999"/>
    <n v="2.1139725999999999"/>
    <n v="2.5040089999999999"/>
    <n v="6.8419999999999996"/>
  </r>
  <r>
    <x v="3"/>
    <s v="PEST CONTROL"/>
    <s v="SC JOHNSON"/>
    <x v="0"/>
    <x v="0"/>
    <x v="1"/>
    <x v="12"/>
    <x v="5"/>
    <n v="0.20499999999999999"/>
    <n v="0.19400000000000001"/>
    <n v="0.16900000000000001"/>
    <n v="0.187"/>
    <n v="0.21"/>
    <n v="0.21299999999999999"/>
    <n v="0.245"/>
    <n v="0.21199999999999999"/>
    <n v="0.21299999999999999"/>
    <n v="0.182"/>
    <n v="0.191"/>
    <n v="0.20799999999999999"/>
    <n v="0.16900000000000001"/>
    <n v="0.153"/>
    <n v="0.157"/>
    <n v="0.20200000000000001"/>
    <n v="0.22800000000000001"/>
    <n v="0.218"/>
    <n v="0.19500000000000001"/>
    <n v="0.17699999999999999"/>
    <n v="0.186"/>
    <n v="0.191"/>
    <n v="0.17499999999999999"/>
    <n v="0.17399999999999999"/>
    <n v="0.19600000000000001"/>
    <n v="0.19600000000000001"/>
    <n v="0.17599999999999999"/>
    <n v="0.20200000000000001"/>
    <n v="0.26"/>
    <n v="0.27800000000000002"/>
    <n v="0.253"/>
    <n v="0.25600000000000001"/>
    <n v="0.219"/>
    <n v="0.20200000000000001"/>
    <n v="0.17299999999999999"/>
    <n v="0.192"/>
    <n v="0.20399999999999999"/>
    <n v="2.5040089999999999"/>
  </r>
  <r>
    <x v="3"/>
    <s v="PEST CONTROL"/>
    <s v="SC JOHNSON"/>
    <x v="0"/>
    <x v="0"/>
    <x v="1"/>
    <x v="2"/>
    <x v="0"/>
    <n v="332.97800000000001"/>
    <n v="540.17200000000003"/>
    <n v="1274.682"/>
    <n v="1893.056"/>
    <n v="3379.8420000000001"/>
    <n v="3121.2860000000001"/>
    <n v="2166.1709999999998"/>
    <n v="1118.0429999999999"/>
    <n v="401.65899999999999"/>
    <n v="269.24400000000003"/>
    <n v="257.11399999999998"/>
    <n v="145.869"/>
    <n v="268.63200000000001"/>
    <n v="506.70499999999998"/>
    <n v="1387.575"/>
    <n v="2739.7"/>
    <n v="3119.0010000000002"/>
    <n v="2643.9740000000002"/>
    <n v="2491.75"/>
    <n v="1567.1579999999999"/>
    <n v="1106.654"/>
    <n v="459.94499999999999"/>
    <n v="442.435"/>
    <n v="218.34399999999999"/>
    <n v="325.92200000000003"/>
    <n v="650.93600000000004"/>
    <n v="1172.057"/>
    <n v="3239.9679999999998"/>
    <n v="6396.9229999999998"/>
    <n v="4434.0730000000003"/>
    <n v="7309.4309999999996"/>
    <n v="15231.548000000001"/>
    <n v="3680.9270000000001"/>
    <n v="1519.2529999999999"/>
    <n v="535.47400000000005"/>
    <n v="476.685"/>
    <n v="571.45500000000004"/>
    <n v="571.45500000000004"/>
  </r>
  <r>
    <x v="3"/>
    <s v="PEST CONTROL"/>
    <s v="SC JOHNSON"/>
    <x v="0"/>
    <x v="0"/>
    <x v="1"/>
    <x v="2"/>
    <x v="1"/>
    <n v="98911.125"/>
    <n v="176198.777"/>
    <n v="445534.837"/>
    <n v="677845.73400000005"/>
    <n v="1194900.6680000001"/>
    <n v="1084287.3910000001"/>
    <n v="762403.53700000001"/>
    <n v="387829.38900000002"/>
    <n v="126903.988"/>
    <n v="87860.188999999998"/>
    <n v="84198.626999999993"/>
    <n v="45769.3"/>
    <n v="88128.091"/>
    <n v="191697.76300000001"/>
    <n v="538474.38600000006"/>
    <n v="1005170.785"/>
    <n v="1175836.1599999999"/>
    <n v="1037952.754"/>
    <n v="934894.27599999995"/>
    <n v="576788.88300000003"/>
    <n v="451325.17300000001"/>
    <n v="194876.05100000001"/>
    <n v="174932.071"/>
    <n v="76316.160999999993"/>
    <n v="120399.72500000001"/>
    <n v="264876.88799999998"/>
    <n v="491589.93300000002"/>
    <n v="1394919.6459999999"/>
    <n v="2792357.406"/>
    <n v="1859339.8089999999"/>
    <n v="3161443.003"/>
    <n v="6960844.017"/>
    <n v="1535735.5490000001"/>
    <n v="592734.37600000005"/>
    <n v="224227.29500000001"/>
    <n v="199797.28899999999"/>
    <n v="263811.34299999999"/>
    <n v="263811.34299999999"/>
  </r>
  <r>
    <x v="3"/>
    <s v="PEST CONTROL"/>
    <s v="SC JOHNSON"/>
    <x v="0"/>
    <x v="0"/>
    <x v="1"/>
    <x v="2"/>
    <x v="2"/>
    <n v="7.4999999999999997E-2"/>
    <n v="8.6999999999999994E-2"/>
    <n v="0.153"/>
    <n v="0.16600000000000001"/>
    <n v="0.22500000000000001"/>
    <n v="0.221"/>
    <n v="0.18"/>
    <n v="0.126"/>
    <n v="7.1999999999999995E-2"/>
    <n v="7.0999999999999994E-2"/>
    <n v="7.5999999999999998E-2"/>
    <n v="0.05"/>
    <n v="6.5000000000000002E-2"/>
    <n v="9.9000000000000005E-2"/>
    <n v="0.17199999999999999"/>
    <n v="0.248"/>
    <n v="0.248"/>
    <n v="0.23400000000000001"/>
    <n v="0.21199999999999999"/>
    <n v="0.17199999999999999"/>
    <n v="0.16"/>
    <n v="8.6999999999999994E-2"/>
    <n v="0.1"/>
    <n v="5.8999999999999997E-2"/>
    <n v="8.5000000000000006E-2"/>
    <n v="0.11600000000000001"/>
    <n v="0.153"/>
    <n v="0.27600000000000002"/>
    <n v="0.42499999999999999"/>
    <n v="0.28499999999999998"/>
    <n v="0.39700000000000002"/>
    <n v="0.86499999999999999"/>
    <n v="0.32400000000000001"/>
    <n v="0.189"/>
    <n v="0.1"/>
    <n v="0.121"/>
    <n v="0.158"/>
    <n v="6.5000000000000002E-2"/>
  </r>
  <r>
    <x v="3"/>
    <s v="PEST CONTROL"/>
    <s v="SC JOHNSON"/>
    <x v="0"/>
    <x v="0"/>
    <x v="1"/>
    <x v="2"/>
    <x v="3"/>
    <n v="9.3249999999999993"/>
    <n v="18.382000000000001"/>
    <n v="24.125"/>
    <n v="25.866"/>
    <n v="30.212"/>
    <n v="32.064"/>
    <n v="26.788"/>
    <n v="18.873999999999999"/>
    <n v="11.504"/>
    <n v="9.2919999999999998"/>
    <n v="7.9649999999999999"/>
    <n v="7.0380000000000003"/>
    <n v="9.4009999999999998"/>
    <n v="16.54"/>
    <n v="37.116999999999997"/>
    <n v="46.987000000000002"/>
    <n v="46.332999999999998"/>
    <n v="42.755000000000003"/>
    <n v="35.72"/>
    <n v="27.966000000000001"/>
    <n v="20.544"/>
    <n v="11.478999999999999"/>
    <n v="11.502000000000001"/>
    <n v="9.0050000000000008"/>
    <n v="10.369"/>
    <n v="19.021000000000001"/>
    <n v="31.728000000000002"/>
    <n v="47.23"/>
    <n v="55.353000000000002"/>
    <n v="46.392000000000003"/>
    <n v="46.98"/>
    <n v="53.045000000000002"/>
    <n v="29.225000000000001"/>
    <n v="17.7"/>
    <n v="12.364000000000001"/>
    <n v="10.292"/>
    <n v="16.053000000000001"/>
    <n v="1468.9480000000001"/>
  </r>
  <r>
    <x v="3"/>
    <s v="PEST CONTROL"/>
    <s v="SC JOHNSON"/>
    <x v="0"/>
    <x v="0"/>
    <x v="1"/>
    <x v="2"/>
    <x v="4"/>
    <n v="3.2642924999999998"/>
    <n v="3.6515996999999998"/>
    <n v="4.3427083"/>
    <n v="4.6770655999999997"/>
    <n v="5.4363602999999996"/>
    <n v="5.5711801999999997"/>
    <n v="4.7272885999999996"/>
    <n v="4.3288171999999996"/>
    <n v="3.7165867000000001"/>
    <n v="3.5522033999999998"/>
    <n v="3.6340908999999999"/>
    <n v="3.6662656999999998"/>
    <n v="3.8234911"/>
    <n v="4.5424987999999997"/>
    <n v="5.5142604999999998"/>
    <n v="6.1445479000000001"/>
    <n v="6.3087869000000003"/>
    <n v="6.0584030999999996"/>
    <n v="5.5537261999999998"/>
    <n v="4.6986356000000002"/>
    <n v="4.4672577000000002"/>
    <n v="3.6271073"/>
    <n v="3.6124198999999999"/>
    <n v="3.6961301"/>
    <n v="3.8146857999999999"/>
    <n v="4.2748017000000003"/>
    <n v="4.7678452"/>
    <n v="5.4778054000000003"/>
    <n v="6.1308252999999997"/>
    <n v="5.7941678999999997"/>
    <n v="5.6733507000000003"/>
    <n v="5.5130501000000001"/>
    <n v="4.4629608999999997"/>
    <n v="3.6072454"/>
    <n v="3.0170509999999999"/>
    <n v="2.8936451999999999"/>
    <n v="3.0329793999999999"/>
    <n v="16.053000000000001"/>
  </r>
  <r>
    <x v="3"/>
    <s v="PEST CONTROL"/>
    <s v="SC JOHNSON"/>
    <x v="0"/>
    <x v="0"/>
    <x v="1"/>
    <x v="2"/>
    <x v="5"/>
    <n v="0.497"/>
    <n v="0.47299999999999998"/>
    <n v="0.42399999999999999"/>
    <n v="0.39100000000000001"/>
    <n v="0.46700000000000003"/>
    <n v="0.38600000000000001"/>
    <n v="0.39200000000000002"/>
    <n v="0.38900000000000001"/>
    <n v="0.38700000000000001"/>
    <n v="0.432"/>
    <n v="0.44800000000000001"/>
    <n v="0.44800000000000001"/>
    <n v="0.45300000000000001"/>
    <n v="0.52900000000000003"/>
    <n v="0.46800000000000003"/>
    <n v="0.44"/>
    <n v="0.51"/>
    <n v="0.55700000000000005"/>
    <n v="0.48699999999999999"/>
    <n v="0.46400000000000002"/>
    <n v="0.48099999999999998"/>
    <n v="0.435"/>
    <n v="0.41699999999999998"/>
    <n v="0.441"/>
    <n v="0.45200000000000001"/>
    <n v="0.42899999999999999"/>
    <n v="0.38100000000000001"/>
    <n v="0.39100000000000001"/>
    <n v="0.374"/>
    <n v="0.312"/>
    <n v="0.308"/>
    <n v="0.34"/>
    <n v="0.27600000000000002"/>
    <n v="0.26400000000000001"/>
    <n v="0.28399999999999997"/>
    <n v="0.25800000000000001"/>
    <n v="0.28599999999999998"/>
    <n v="3.0329793999999999"/>
  </r>
  <r>
    <x v="3"/>
    <s v="PEST CONTROL"/>
    <s v="SC JOHNSON"/>
    <x v="0"/>
    <x v="0"/>
    <x v="1"/>
    <x v="3"/>
    <x v="0"/>
    <n v="9695.9380000000001"/>
    <n v="15659.77"/>
    <n v="25613.953000000001"/>
    <n v="33077.222000000002"/>
    <n v="47392.714999999997"/>
    <n v="43761.553"/>
    <n v="34080.906999999999"/>
    <n v="22467.061000000002"/>
    <n v="13805.071"/>
    <n v="9206.6149999999998"/>
    <n v="8634.1479999999992"/>
    <n v="7418.4769999999999"/>
    <n v="7743.4589999999998"/>
    <n v="7943.8590000000004"/>
    <n v="16527.105"/>
    <n v="32006.464"/>
    <n v="43080.705999999998"/>
    <n v="36993.758999999998"/>
    <n v="40532.466999999997"/>
    <n v="26963.482"/>
    <n v="20441.666000000001"/>
    <n v="14385.266"/>
    <n v="12147.179"/>
    <n v="9903.8340000000007"/>
    <n v="9595.1769999999997"/>
    <n v="14665.516"/>
    <n v="22209.131000000001"/>
    <n v="39860.811000000002"/>
    <n v="69379.822"/>
    <n v="63050.673999999999"/>
    <n v="78113.900999999998"/>
    <n v="99597.808000000005"/>
    <n v="45575.826000000001"/>
    <n v="24214.524000000001"/>
    <n v="18116.018"/>
    <n v="12612.146000000001"/>
    <n v="8081.6629999999996"/>
    <n v="8081.6629999999996"/>
  </r>
  <r>
    <x v="3"/>
    <s v="PEST CONTROL"/>
    <s v="SC JOHNSON"/>
    <x v="0"/>
    <x v="0"/>
    <x v="1"/>
    <x v="3"/>
    <x v="1"/>
    <n v="1185768.855"/>
    <n v="2201209.5839999998"/>
    <n v="3822033.2710000002"/>
    <n v="5006931.0290000001"/>
    <n v="7866767.3159999996"/>
    <n v="6658627.1119999997"/>
    <n v="5042420.5939999996"/>
    <n v="3080106.8930000002"/>
    <n v="1843991.0430000001"/>
    <n v="1238196.0220000001"/>
    <n v="1161325.4129999999"/>
    <n v="995425.23499999999"/>
    <n v="1086007.128"/>
    <n v="1171617.9240000001"/>
    <n v="2807433.6439999999"/>
    <n v="5319531.9040000001"/>
    <n v="7147518.8969999999"/>
    <n v="6348668.0889999997"/>
    <n v="6615157.2699999996"/>
    <n v="4089623.8119999999"/>
    <n v="3000020.7680000002"/>
    <n v="2069665.9129999999"/>
    <n v="1854166.17"/>
    <n v="1440263.3689999999"/>
    <n v="1456144.3130000001"/>
    <n v="2328553.1680000001"/>
    <n v="3777010.932"/>
    <n v="7602120.2860000003"/>
    <n v="13896502.183"/>
    <n v="11928774.348999999"/>
    <n v="15120807.375"/>
    <n v="23143070.088"/>
    <n v="8398408.3770000003"/>
    <n v="4069705.9330000002"/>
    <n v="2944957.53"/>
    <n v="2059830.0830000001"/>
    <n v="1513735.8910000001"/>
    <n v="1513735.8910000001"/>
  </r>
  <r>
    <x v="3"/>
    <s v="PEST CONTROL"/>
    <s v="SC JOHNSON"/>
    <x v="0"/>
    <x v="0"/>
    <x v="1"/>
    <x v="3"/>
    <x v="2"/>
    <n v="1.0389999999999999"/>
    <n v="1.228"/>
    <n v="1.534"/>
    <n v="1.5189999999999999"/>
    <n v="1.7809999999999999"/>
    <n v="1.552"/>
    <n v="1.333"/>
    <n v="1.1539999999999999"/>
    <n v="1.0309999999999999"/>
    <n v="1.075"/>
    <n v="1.204"/>
    <n v="1.0620000000000001"/>
    <n v="0.97799999999999998"/>
    <n v="0.77300000000000002"/>
    <n v="1.159"/>
    <n v="1.587"/>
    <n v="1.8160000000000001"/>
    <n v="1.675"/>
    <n v="1.6479999999999999"/>
    <n v="1.3959999999999999"/>
    <n v="1.3520000000000001"/>
    <n v="1.2769999999999999"/>
    <n v="1.454"/>
    <n v="1.367"/>
    <n v="1.242"/>
    <n v="1.3919999999999999"/>
    <n v="1.62"/>
    <n v="2.0219999999999998"/>
    <n v="2.7450000000000001"/>
    <n v="2.484"/>
    <n v="2.6030000000000002"/>
    <n v="3.762"/>
    <n v="2.387"/>
    <n v="1.7030000000000001"/>
    <n v="1.732"/>
    <n v="1.7430000000000001"/>
    <n v="1.3560000000000001"/>
    <n v="0.91600000000000004"/>
  </r>
  <r>
    <x v="3"/>
    <s v="PEST CONTROL"/>
    <s v="SC JOHNSON"/>
    <x v="0"/>
    <x v="0"/>
    <x v="1"/>
    <x v="3"/>
    <x v="3"/>
    <n v="70.753"/>
    <n v="82.146000000000001"/>
    <n v="87.18"/>
    <n v="86.712999999999994"/>
    <n v="87.063999999999993"/>
    <n v="84.688999999999993"/>
    <n v="81.372"/>
    <n v="77.894999999999996"/>
    <n v="72.099000000000004"/>
    <n v="62.871000000000002"/>
    <n v="65.468999999999994"/>
    <n v="65.525999999999996"/>
    <n v="68.378"/>
    <n v="75.155000000000001"/>
    <n v="84.122"/>
    <n v="87.424000000000007"/>
    <n v="88.950999999999993"/>
    <n v="87.617000000000004"/>
    <n v="86.661000000000001"/>
    <n v="79.893000000000001"/>
    <n v="75.921000000000006"/>
    <n v="66.195999999999998"/>
    <n v="63.959000000000003"/>
    <n v="64.180000000000007"/>
    <n v="68.391000000000005"/>
    <n v="77.253"/>
    <n v="82.971000000000004"/>
    <n v="86.942999999999998"/>
    <n v="91.007999999999996"/>
    <n v="88.409000000000006"/>
    <n v="87.885000000000005"/>
    <n v="88.665999999999997"/>
    <n v="77.858000000000004"/>
    <n v="67.936999999999998"/>
    <n v="60.515999999999998"/>
    <n v="60.780999999999999"/>
    <n v="69.570999999999998"/>
    <n v="25778.428"/>
  </r>
  <r>
    <x v="3"/>
    <s v="PEST CONTROL"/>
    <s v="SC JOHNSON"/>
    <x v="0"/>
    <x v="0"/>
    <x v="1"/>
    <x v="3"/>
    <x v="4"/>
    <n v="37.853936099999999"/>
    <n v="36.393083799999999"/>
    <n v="38.052012400000002"/>
    <n v="39.228106799999999"/>
    <n v="38.867027299999997"/>
    <n v="38.113855000000001"/>
    <n v="38.348019100000002"/>
    <n v="36.843894200000001"/>
    <n v="35.924600699999999"/>
    <n v="35.043577999999997"/>
    <n v="34.841100300000001"/>
    <n v="35.282573499999998"/>
    <n v="35.487070199999998"/>
    <n v="35.218568900000001"/>
    <n v="36.946722100000002"/>
    <n v="39.867401200000003"/>
    <n v="41.180815299999999"/>
    <n v="40.929321199999997"/>
    <n v="40.108784399999998"/>
    <n v="38.648229899999997"/>
    <n v="38.178435100000002"/>
    <n v="36.409252199999997"/>
    <n v="35.259570199999999"/>
    <n v="35.336855200000002"/>
    <n v="36.929515500000001"/>
    <n v="39.005394099999997"/>
    <n v="40.7187445"/>
    <n v="42.507928"/>
    <n v="43.964880999999998"/>
    <n v="44.852949700000003"/>
    <n v="44.452126800000002"/>
    <n v="43.536948700000003"/>
    <n v="38.233096500000002"/>
    <n v="34.846483300000003"/>
    <n v="33.346786199999997"/>
    <n v="32.274291499999997"/>
    <n v="32.5961298"/>
    <n v="69.570999999999998"/>
  </r>
  <r>
    <x v="3"/>
    <s v="PEST CONTROL"/>
    <s v="SC JOHNSON"/>
    <x v="0"/>
    <x v="0"/>
    <x v="1"/>
    <x v="3"/>
    <x v="5"/>
    <n v="7.3630000000000004"/>
    <n v="6.9820000000000002"/>
    <n v="6.5890000000000004"/>
    <n v="6.343"/>
    <n v="6.4370000000000003"/>
    <n v="6.59"/>
    <n v="6.4530000000000003"/>
    <n v="6.8159999999999998"/>
    <n v="6.9340000000000002"/>
    <n v="6.9880000000000004"/>
    <n v="7.2469999999999999"/>
    <n v="7.5149999999999997"/>
    <n v="7.407"/>
    <n v="7.0679999999999996"/>
    <n v="7.194"/>
    <n v="7.58"/>
    <n v="7.1539999999999999"/>
    <n v="8.1210000000000004"/>
    <n v="8.1509999999999998"/>
    <n v="7.97"/>
    <n v="7.5190000000000001"/>
    <n v="7.399"/>
    <n v="7.58"/>
    <n v="7.694"/>
    <n v="7.726"/>
    <n v="7.9219999999999997"/>
    <n v="7.218"/>
    <n v="7.2690000000000001"/>
    <n v="7.3650000000000002"/>
    <n v="7.0990000000000002"/>
    <n v="6.71"/>
    <n v="6.101"/>
    <n v="5.7489999999999997"/>
    <n v="5.3019999999999996"/>
    <n v="5.2169999999999996"/>
    <n v="4.83"/>
    <n v="5.0330000000000004"/>
    <n v="32.5961298"/>
  </r>
  <r>
    <x v="3"/>
    <s v="PEST CONTROL"/>
    <s v="SC JOHNSON"/>
    <x v="1"/>
    <x v="1"/>
    <x v="2"/>
    <x v="0"/>
    <x v="0"/>
    <n v="0"/>
    <n v="273.983"/>
    <n v="229.10400000000001"/>
    <n v="369.32100000000003"/>
    <n v="455.161"/>
    <n v="215.577"/>
    <n v="0"/>
    <n v="0"/>
    <n v="0"/>
    <n v="42.005000000000003"/>
    <n v="66.296999999999997"/>
    <n v="186.01599999999999"/>
    <n v="112.175"/>
    <n v="135.59100000000001"/>
    <n v="40.383000000000003"/>
    <n v="245.887"/>
    <n v="0"/>
    <n v="0"/>
    <n v="0"/>
    <n v="0"/>
    <n v="0"/>
    <n v="0"/>
    <n v="0"/>
    <n v="0"/>
    <n v="0"/>
    <n v="0"/>
    <n v="0"/>
    <n v="40.743000000000002"/>
    <n v="0"/>
    <n v="31.3"/>
    <n v="0"/>
    <n v="0"/>
    <n v="29.521999999999998"/>
    <n v="27.54"/>
    <n v="0"/>
    <n v="0"/>
    <n v="0"/>
    <n v="0"/>
  </r>
  <r>
    <x v="3"/>
    <s v="PEST CONTROL"/>
    <s v="SC JOHNSON"/>
    <x v="1"/>
    <x v="1"/>
    <x v="2"/>
    <x v="0"/>
    <x v="1"/>
    <n v="0"/>
    <n v="31019.063999999998"/>
    <n v="27687.071"/>
    <n v="45393.989000000001"/>
    <n v="52364.362999999998"/>
    <n v="23189.032999999999"/>
    <n v="0"/>
    <n v="0"/>
    <n v="0"/>
    <n v="4977.3069999999998"/>
    <n v="7855.6840000000002"/>
    <n v="22041.508000000002"/>
    <n v="16826.278999999999"/>
    <n v="20338.632000000001"/>
    <n v="6057.4319999999998"/>
    <n v="36882.997000000003"/>
    <n v="0"/>
    <n v="0"/>
    <n v="0"/>
    <n v="0"/>
    <n v="0"/>
    <n v="0"/>
    <n v="0"/>
    <n v="0"/>
    <n v="0"/>
    <n v="0"/>
    <n v="0"/>
    <n v="5296.6260000000002"/>
    <n v="0"/>
    <n v="4069.02"/>
    <n v="0"/>
    <n v="0"/>
    <n v="3837.9110000000001"/>
    <n v="3580.4389999999999"/>
    <n v="0"/>
    <n v="0"/>
    <n v="0"/>
    <n v="0"/>
  </r>
  <r>
    <x v="3"/>
    <s v="PEST CONTROL"/>
    <s v="SC JOHNSON"/>
    <x v="1"/>
    <x v="1"/>
    <x v="2"/>
    <x v="0"/>
    <x v="2"/>
    <n v="0"/>
    <n v="0.112"/>
    <n v="6.7000000000000004E-2"/>
    <n v="8.3000000000000004E-2"/>
    <n v="7.6999999999999999E-2"/>
    <n v="3.6999999999999998E-2"/>
    <n v="0"/>
    <n v="0"/>
    <n v="0"/>
    <n v="2.5000000000000001E-2"/>
    <n v="4.8000000000000001E-2"/>
    <n v="0.14000000000000001"/>
    <n v="7.4999999999999997E-2"/>
    <n v="6.7000000000000004E-2"/>
    <n v="1.2999999999999999E-2"/>
    <n v="5.6000000000000001E-2"/>
    <n v="0"/>
    <n v="0"/>
    <n v="0"/>
    <n v="0"/>
    <n v="0"/>
    <n v="0"/>
    <n v="0"/>
    <n v="0"/>
    <n v="0"/>
    <n v="0"/>
    <n v="0"/>
    <n v="0.01"/>
    <n v="0"/>
    <n v="6.0000000000000001E-3"/>
    <n v="0"/>
    <n v="0"/>
    <n v="8.0000000000000002E-3"/>
    <n v="1.0999999999999999E-2"/>
    <n v="0"/>
    <n v="0"/>
    <n v="0"/>
    <n v="0"/>
  </r>
  <r>
    <x v="3"/>
    <s v="PEST CONTROL"/>
    <s v="SC JOHNSON"/>
    <x v="1"/>
    <x v="1"/>
    <x v="2"/>
    <x v="0"/>
    <x v="3"/>
    <n v="0.22"/>
    <n v="0.63700000000000001"/>
    <n v="0.33600000000000002"/>
    <n v="0.35599999999999998"/>
    <n v="0.34699999999999998"/>
    <n v="0.36"/>
    <n v="0.192"/>
    <n v="0.27800000000000002"/>
    <n v="0.30499999999999999"/>
    <n v="0.57699999999999996"/>
    <n v="0.76800000000000002"/>
    <n v="0.84599999999999997"/>
    <n v="0.41799999999999998"/>
    <n v="0.41899999999999998"/>
    <n v="0.25"/>
    <n v="0.13200000000000001"/>
    <n v="0"/>
    <n v="0"/>
    <n v="0"/>
    <n v="0"/>
    <n v="0"/>
    <n v="0"/>
    <n v="0"/>
    <n v="0"/>
    <n v="0"/>
    <n v="0"/>
    <n v="0"/>
    <n v="5.0999999999999997E-2"/>
    <n v="6.4000000000000001E-2"/>
    <n v="4.2999999999999997E-2"/>
    <n v="0"/>
    <n v="2.1000000000000001E-2"/>
    <n v="4.9000000000000002E-2"/>
    <n v="6.3E-2"/>
    <n v="0"/>
    <n v="0"/>
    <n v="0"/>
    <n v="0"/>
  </r>
  <r>
    <x v="3"/>
    <s v="PEST CONTROL"/>
    <s v="SC JOHNSON"/>
    <x v="1"/>
    <x v="1"/>
    <x v="2"/>
    <x v="0"/>
    <x v="4"/>
    <n v="0.2116421"/>
    <n v="0.64792490000000003"/>
    <n v="0.6477714"/>
    <n v="0.6303552"/>
    <n v="0.64406739999999996"/>
    <n v="0.49488169999999998"/>
    <n v="0.28191480000000002"/>
    <n v="0.28193370000000001"/>
    <n v="0.24626519999999999"/>
    <n v="0.2462424"/>
    <n v="0.2462124"/>
    <n v="0.24616070000000001"/>
    <n v="0.2573414"/>
    <n v="0.24611340000000001"/>
    <n v="0.24608469999999999"/>
    <n v="0.22592280000000001"/>
    <n v="0"/>
    <n v="0"/>
    <n v="0"/>
    <n v="0"/>
    <n v="0"/>
    <n v="0"/>
    <n v="0"/>
    <n v="0"/>
    <n v="0"/>
    <n v="0"/>
    <n v="0"/>
    <n v="0.22718260000000001"/>
    <n v="0.22703429999999999"/>
    <n v="0.22097040000000001"/>
    <n v="0.22093860000000001"/>
    <n v="0.2209546"/>
    <n v="0.2209605"/>
    <n v="0.23201930000000001"/>
    <n v="0"/>
    <n v="0"/>
    <n v="0"/>
    <n v="0"/>
  </r>
  <r>
    <x v="3"/>
    <s v="PEST CONTROL"/>
    <s v="SC JOHNSON"/>
    <x v="1"/>
    <x v="1"/>
    <x v="2"/>
    <x v="0"/>
    <x v="5"/>
    <n v="1.2E-2"/>
    <n v="0.185"/>
    <n v="0.15"/>
    <n v="0.121"/>
    <n v="6.8000000000000005E-2"/>
    <n v="0.03"/>
    <n v="4.1000000000000002E-2"/>
    <n v="6.6000000000000003E-2"/>
    <n v="5.8000000000000003E-2"/>
    <n v="0"/>
    <n v="2.5999999999999999E-2"/>
    <n v="4.2999999999999997E-2"/>
    <n v="6.0999999999999999E-2"/>
    <n v="3.4000000000000002E-2"/>
    <n v="4.9000000000000002E-2"/>
    <n v="0"/>
    <n v="0"/>
    <n v="0"/>
    <n v="0"/>
    <n v="0"/>
    <n v="0"/>
    <n v="0"/>
    <n v="0"/>
    <n v="0"/>
    <n v="0"/>
    <n v="0"/>
    <n v="0"/>
    <n v="6.0000000000000001E-3"/>
    <n v="6.0000000000000001E-3"/>
    <n v="0"/>
    <n v="6.0000000000000001E-3"/>
    <n v="6.0000000000000001E-3"/>
    <n v="0"/>
    <n v="0"/>
    <n v="0"/>
    <n v="0"/>
    <n v="0"/>
    <n v="0"/>
  </r>
  <r>
    <x v="3"/>
    <s v="PEST CONTROL"/>
    <s v="SC JOHNSON"/>
    <x v="1"/>
    <x v="1"/>
    <x v="2"/>
    <x v="4"/>
    <x v="0"/>
    <n v="13.366"/>
    <n v="43.72"/>
    <n v="91.353999999999999"/>
    <n v="31.998000000000001"/>
    <n v="60.247999999999998"/>
    <n v="52.994999999999997"/>
    <n v="0"/>
    <n v="0"/>
    <n v="20.794"/>
    <n v="19.216000000000001"/>
    <n v="0"/>
    <n v="0"/>
    <n v="0"/>
    <n v="0"/>
    <n v="0"/>
    <n v="0"/>
    <n v="0"/>
    <n v="15.927"/>
    <n v="19.097999999999999"/>
    <n v="0"/>
    <n v="0"/>
    <n v="0"/>
    <n v="24.617000000000001"/>
    <n v="24.832000000000001"/>
    <n v="6.7619999999999996"/>
    <n v="7.2460000000000004"/>
    <n v="7.98"/>
    <n v="6.1589999999999998"/>
    <n v="31.382000000000001"/>
    <n v="0"/>
    <n v="0"/>
    <n v="0"/>
    <n v="0"/>
    <n v="0"/>
    <n v="0"/>
    <n v="31.382000000000001"/>
    <n v="25.766999999999999"/>
    <n v="25.766999999999999"/>
  </r>
  <r>
    <x v="3"/>
    <s v="PEST CONTROL"/>
    <s v="SC JOHNSON"/>
    <x v="1"/>
    <x v="1"/>
    <x v="2"/>
    <x v="4"/>
    <x v="1"/>
    <n v="4059.9879999999998"/>
    <n v="13312.771000000001"/>
    <n v="22650.984"/>
    <n v="7499.5690000000004"/>
    <n v="11343.101000000001"/>
    <n v="14175.013000000001"/>
    <n v="0"/>
    <n v="0"/>
    <n v="4408.3320000000003"/>
    <n v="4611.9070000000002"/>
    <n v="0"/>
    <n v="0"/>
    <n v="0"/>
    <n v="0"/>
    <n v="0"/>
    <n v="0"/>
    <n v="0"/>
    <n v="3822.4630000000002"/>
    <n v="4583.5159999999996"/>
    <n v="0"/>
    <n v="0"/>
    <n v="0"/>
    <n v="5791.2240000000002"/>
    <n v="5846.665"/>
    <n v="1505.7239999999999"/>
    <n v="1613.5170000000001"/>
    <n v="1776.8050000000001"/>
    <n v="2155.5909999999999"/>
    <n v="6535.7759999999998"/>
    <n v="0"/>
    <n v="0"/>
    <n v="0"/>
    <n v="0"/>
    <n v="0"/>
    <n v="0"/>
    <n v="9571.6010000000006"/>
    <n v="7858.8969999999999"/>
    <n v="7858.8969999999999"/>
  </r>
  <r>
    <x v="3"/>
    <s v="PEST CONTROL"/>
    <s v="SC JOHNSON"/>
    <x v="1"/>
    <x v="1"/>
    <x v="2"/>
    <x v="4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000000000000001E-3"/>
  </r>
  <r>
    <x v="3"/>
    <s v="PEST CONTROL"/>
    <s v="SC JOHNSON"/>
    <x v="1"/>
    <x v="1"/>
    <x v="2"/>
    <x v="4"/>
    <x v="3"/>
    <n v="1.252"/>
    <n v="0.78800000000000003"/>
    <n v="0.86099999999999999"/>
    <n v="0.88100000000000001"/>
    <n v="0.86299999999999999"/>
    <n v="0.56399999999999995"/>
    <n v="0.53400000000000003"/>
    <n v="0.51800000000000002"/>
    <n v="0.497"/>
    <n v="0.44"/>
    <n v="0.39"/>
    <n v="0.38200000000000001"/>
    <n v="0.28699999999999998"/>
    <n v="0.26600000000000001"/>
    <n v="0.23300000000000001"/>
    <n v="0.28999999999999998"/>
    <n v="0.28100000000000003"/>
    <n v="0.47"/>
    <n v="0.74199999999999999"/>
    <n v="0.71799999999999997"/>
    <n v="0.85399999999999998"/>
    <n v="1.0289999999999999"/>
    <n v="1.6"/>
    <n v="1.319"/>
    <n v="0.78400000000000003"/>
    <n v="0.73199999999999998"/>
    <n v="0.47299999999999998"/>
    <n v="0.126"/>
    <n v="0.14099999999999999"/>
    <n v="6.2E-2"/>
    <n v="6.0999999999999999E-2"/>
    <n v="6.7000000000000004E-2"/>
    <n v="0.10100000000000001"/>
    <n v="0.22800000000000001"/>
    <n v="0.27800000000000002"/>
    <n v="0.39800000000000002"/>
    <n v="0.29399999999999998"/>
    <n v="33.389000000000003"/>
  </r>
  <r>
    <x v="3"/>
    <s v="PEST CONTROL"/>
    <s v="SC JOHNSON"/>
    <x v="1"/>
    <x v="1"/>
    <x v="2"/>
    <x v="4"/>
    <x v="4"/>
    <n v="0.61982230000000005"/>
    <n v="0.61761549999999998"/>
    <n v="0.65843759999999996"/>
    <n v="0.77729559999999998"/>
    <n v="0.74808540000000001"/>
    <n v="0.52291779999999999"/>
    <n v="0.31874479999999999"/>
    <n v="0.29486000000000001"/>
    <n v="0.32145499999999999"/>
    <n v="0.2247808"/>
    <n v="0.27290500000000001"/>
    <n v="0.27284770000000003"/>
    <n v="0.272839"/>
    <n v="0.27279520000000002"/>
    <n v="0.28090229999999999"/>
    <n v="0.25851180000000001"/>
    <n v="0.24744189999999999"/>
    <n v="0.25122250000000002"/>
    <n v="0.25544020000000001"/>
    <n v="0.23503930000000001"/>
    <n v="0.2350332"/>
    <n v="0.24846779999999999"/>
    <n v="0.30482550000000003"/>
    <n v="0.29552220000000001"/>
    <n v="0.19028639999999999"/>
    <n v="0.1845347"/>
    <n v="0.1778952"/>
    <n v="0.1469693"/>
    <n v="0.14334140000000001"/>
    <n v="2.6105099999999999E-2"/>
    <n v="2.6101300000000001E-2"/>
    <n v="2.61032E-2"/>
    <n v="2.6103899999999999E-2"/>
    <n v="0.25812429999999997"/>
    <n v="0.2703314"/>
    <n v="0.2497529"/>
    <n v="0.2497373"/>
    <n v="0.29399999999999998"/>
  </r>
  <r>
    <x v="3"/>
    <s v="PEST CONTROL"/>
    <s v="SC JOHNSON"/>
    <x v="1"/>
    <x v="1"/>
    <x v="2"/>
    <x v="4"/>
    <x v="5"/>
    <n v="3.9E-2"/>
    <n v="2.5000000000000001E-2"/>
    <n v="3.1E-2"/>
    <n v="3.6999999999999998E-2"/>
    <n v="3.2000000000000001E-2"/>
    <n v="2.1999999999999999E-2"/>
    <n v="2.1999999999999999E-2"/>
    <n v="1.4E-2"/>
    <n v="1.0999999999999999E-2"/>
    <n v="7.0000000000000001E-3"/>
    <n v="1.4E-2"/>
    <n v="1.4E-2"/>
    <n v="1.4E-2"/>
    <n v="1.4E-2"/>
    <n v="1.2E-2"/>
    <n v="1.0999999999999999E-2"/>
    <n v="0.01"/>
    <n v="1.7000000000000001E-2"/>
    <n v="1.2E-2"/>
    <n v="1.2999999999999999E-2"/>
    <n v="1.2999999999999999E-2"/>
    <n v="1.2999999999999999E-2"/>
    <n v="0.01"/>
    <n v="8.9999999999999993E-3"/>
    <n v="0.01"/>
    <n v="8.9999999999999993E-3"/>
    <n v="7.0000000000000001E-3"/>
    <n v="6.0000000000000001E-3"/>
    <n v="1E-3"/>
    <n v="1E-3"/>
    <n v="1E-3"/>
    <n v="1E-3"/>
    <n v="1E-3"/>
    <n v="7.0000000000000001E-3"/>
    <n v="7.0000000000000001E-3"/>
    <n v="1E-3"/>
    <n v="7.0000000000000001E-3"/>
    <n v="0.2497373"/>
  </r>
  <r>
    <x v="3"/>
    <s v="PEST CONTROL"/>
    <s v="SC JOHNSON"/>
    <x v="1"/>
    <x v="1"/>
    <x v="2"/>
    <x v="5"/>
    <x v="0"/>
    <n v="0"/>
    <n v="0"/>
    <n v="0"/>
    <n v="0"/>
    <n v="0"/>
    <n v="0"/>
    <n v="0"/>
    <n v="0"/>
    <n v="0"/>
    <n v="0"/>
    <n v="0"/>
    <n v="0"/>
    <n v="0"/>
    <n v="0"/>
    <n v="0"/>
    <n v="16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s v="SC JOHNSON"/>
    <x v="1"/>
    <x v="1"/>
    <x v="2"/>
    <x v="5"/>
    <x v="1"/>
    <n v="0"/>
    <n v="0"/>
    <n v="0"/>
    <n v="0"/>
    <n v="0"/>
    <n v="0"/>
    <n v="0"/>
    <n v="0"/>
    <n v="0"/>
    <n v="0"/>
    <n v="0"/>
    <n v="0"/>
    <n v="0"/>
    <n v="0"/>
    <n v="0"/>
    <n v="4014.976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s v="SC JOHNSON"/>
    <x v="1"/>
    <x v="1"/>
    <x v="2"/>
    <x v="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s v="SC JOHNSON"/>
    <x v="1"/>
    <x v="1"/>
    <x v="2"/>
    <x v="5"/>
    <x v="3"/>
    <n v="7.4999999999999997E-2"/>
    <n v="1.4E-2"/>
    <n v="8.9999999999999993E-3"/>
    <n v="2.5999999999999999E-2"/>
    <n v="1.7000000000000001E-2"/>
    <n v="1.9E-2"/>
    <n v="2.1999999999999999E-2"/>
    <n v="0.22700000000000001"/>
    <n v="0.34"/>
    <n v="0.34499999999999997"/>
    <n v="0.22800000000000001"/>
    <n v="0.21299999999999999"/>
    <n v="0.13200000000000001"/>
    <n v="4.1000000000000002E-2"/>
    <n v="2.3E-2"/>
    <n v="5.899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s v="SC JOHNSON"/>
    <x v="1"/>
    <x v="1"/>
    <x v="2"/>
    <x v="5"/>
    <x v="4"/>
    <n v="5.0717100000000001E-2"/>
    <n v="6.0841600000000003E-2"/>
    <n v="6.0827199999999998E-2"/>
    <n v="6.0671500000000003E-2"/>
    <n v="5.0519000000000001E-2"/>
    <n v="5.0510100000000002E-2"/>
    <n v="5.0511E-2"/>
    <n v="5.0514400000000001E-2"/>
    <n v="5.0599199999999997E-2"/>
    <n v="5.0594500000000001E-2"/>
    <n v="5.0588399999999999E-2"/>
    <n v="5.0577799999999999E-2"/>
    <n v="5.0576200000000002E-2"/>
    <n v="5.0568000000000002E-2"/>
    <n v="5.0562200000000002E-2"/>
    <n v="4.83550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s v="SC JOHNSON"/>
    <x v="1"/>
    <x v="1"/>
    <x v="2"/>
    <x v="5"/>
    <x v="5"/>
    <n v="4.0000000000000001E-3"/>
    <n v="5.0000000000000001E-3"/>
    <n v="5.0000000000000001E-3"/>
    <n v="4.0000000000000001E-3"/>
    <n v="4.0000000000000001E-3"/>
    <n v="4.0000000000000001E-3"/>
    <n v="4.0000000000000001E-3"/>
    <n v="3.0000000000000001E-3"/>
    <n v="3.0000000000000001E-3"/>
    <n v="3.0000000000000001E-3"/>
    <n v="4.0000000000000001E-3"/>
    <n v="3.0000000000000001E-3"/>
    <n v="3.0000000000000001E-3"/>
    <n v="3.0000000000000001E-3"/>
    <n v="3.00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s v="SC JOHNSON"/>
    <x v="1"/>
    <x v="1"/>
    <x v="3"/>
    <x v="0"/>
    <x v="0"/>
    <n v="10879.130999999999"/>
    <n v="13855.549000000001"/>
    <n v="23605.735000000001"/>
    <n v="29970.819"/>
    <n v="39798.372000000003"/>
    <n v="32669.437000000002"/>
    <n v="27603.741999999998"/>
    <n v="18311.182000000001"/>
    <n v="13857.73"/>
    <n v="8959.3629999999994"/>
    <n v="7655.8"/>
    <n v="7224.8789999999999"/>
    <n v="8254.0930000000008"/>
    <n v="11482.268"/>
    <n v="17285.191999999999"/>
    <n v="25384.14"/>
    <n v="24524.448"/>
    <n v="21548.187000000002"/>
    <n v="23657.013999999999"/>
    <n v="17067.287"/>
    <n v="12709.885"/>
    <n v="9581.68"/>
    <n v="7739.027"/>
    <n v="7353.5450000000001"/>
    <n v="8283.3700000000008"/>
    <n v="10286.959000000001"/>
    <n v="15498.494000000001"/>
    <n v="20362.458999999999"/>
    <n v="23644.834999999999"/>
    <n v="24403.981"/>
    <n v="25847.911"/>
    <n v="19763.955999999998"/>
    <n v="13420.897000000001"/>
    <n v="11819.477000000001"/>
    <n v="9848.3439999999991"/>
    <n v="6536.4340000000002"/>
    <n v="5114.7849999999999"/>
    <n v="5114.7849999999999"/>
  </r>
  <r>
    <x v="3"/>
    <s v="PEST CONTROL"/>
    <s v="SC JOHNSON"/>
    <x v="1"/>
    <x v="1"/>
    <x v="3"/>
    <x v="0"/>
    <x v="1"/>
    <n v="2203864.656"/>
    <n v="2826808.8760000002"/>
    <n v="4770834.2189999996"/>
    <n v="6019199.0109999999"/>
    <n v="8203901.8540000003"/>
    <n v="6729742.8559999997"/>
    <n v="5447986.7609999999"/>
    <n v="3653016.5430000001"/>
    <n v="2792763.2289999998"/>
    <n v="1806753.236"/>
    <n v="1506373.4269999999"/>
    <n v="1460034.9720000001"/>
    <n v="1655480.3330000001"/>
    <n v="2282804.452"/>
    <n v="3372244.4619999998"/>
    <n v="4811048.84"/>
    <n v="4946896.1430000002"/>
    <n v="4403720.1150000002"/>
    <n v="4889568.0669999998"/>
    <n v="3402334.5950000002"/>
    <n v="2554078.9819999998"/>
    <n v="1983771.97"/>
    <n v="1582536.7309999999"/>
    <n v="1487957.0360000001"/>
    <n v="1790146.7760000001"/>
    <n v="2210025.335"/>
    <n v="3255865.6949999998"/>
    <n v="4373228.4009999996"/>
    <n v="5093333.2290000003"/>
    <n v="5108513.091"/>
    <n v="5427391.568"/>
    <n v="4282281.3899999997"/>
    <n v="2887381.53"/>
    <n v="2544860.7340000002"/>
    <n v="2124715.503"/>
    <n v="1391868.5660000001"/>
    <n v="1119768.7990000001"/>
    <n v="1119768.7990000001"/>
  </r>
  <r>
    <x v="3"/>
    <s v="PEST CONTROL"/>
    <s v="SC JOHNSON"/>
    <x v="1"/>
    <x v="1"/>
    <x v="3"/>
    <x v="0"/>
    <x v="2"/>
    <n v="5.9870000000000001"/>
    <n v="5.2830000000000004"/>
    <n v="6.4370000000000003"/>
    <n v="6.274"/>
    <n v="6.2480000000000002"/>
    <n v="5.2249999999999996"/>
    <n v="4.9640000000000004"/>
    <n v="4.6079999999999997"/>
    <n v="5.0890000000000004"/>
    <n v="5.0730000000000004"/>
    <n v="5.1760000000000002"/>
    <n v="5.0839999999999996"/>
    <n v="5.1280000000000001"/>
    <n v="5.3040000000000003"/>
    <n v="5.1689999999999996"/>
    <n v="5.3739999999999997"/>
    <n v="4.4560000000000004"/>
    <n v="4.1740000000000004"/>
    <n v="4.3970000000000002"/>
    <n v="4.1769999999999996"/>
    <n v="4.0330000000000004"/>
    <n v="4.0960000000000001"/>
    <n v="4.18"/>
    <n v="4.4320000000000004"/>
    <n v="4.6920000000000002"/>
    <n v="4.4009999999999998"/>
    <n v="4.9130000000000003"/>
    <n v="4.3159999999999998"/>
    <n v="3.927"/>
    <n v="4.1289999999999996"/>
    <n v="3.7669999999999999"/>
    <n v="2.9380000000000002"/>
    <n v="3.09"/>
    <n v="3.7890000000000001"/>
    <n v="4.2569999999999997"/>
    <n v="4.0650000000000004"/>
    <n v="3.8420000000000001"/>
    <n v="0.57999999999999996"/>
  </r>
  <r>
    <x v="3"/>
    <s v="PEST CONTROL"/>
    <s v="SC JOHNSON"/>
    <x v="1"/>
    <x v="1"/>
    <x v="3"/>
    <x v="0"/>
    <x v="3"/>
    <n v="65.873000000000005"/>
    <n v="69.781999999999996"/>
    <n v="74.686999999999998"/>
    <n v="73.603999999999999"/>
    <n v="77.245000000000005"/>
    <n v="74.296999999999997"/>
    <n v="72.057000000000002"/>
    <n v="65.941000000000003"/>
    <n v="61.587000000000003"/>
    <n v="55.811999999999998"/>
    <n v="53.036000000000001"/>
    <n v="53.893000000000001"/>
    <n v="59.192"/>
    <n v="65.173000000000002"/>
    <n v="72.918000000000006"/>
    <n v="75.206999999999994"/>
    <n v="73.843999999999994"/>
    <n v="73.364999999999995"/>
    <n v="71.412000000000006"/>
    <n v="66.492999999999995"/>
    <n v="61.087000000000003"/>
    <n v="55.052999999999997"/>
    <n v="50.640999999999998"/>
    <n v="48.164000000000001"/>
    <n v="50.040999999999997"/>
    <n v="63.118000000000002"/>
    <n v="70.373999999999995"/>
    <n v="73.400999999999996"/>
    <n v="75.599999999999994"/>
    <n v="71.012"/>
    <n v="70.191000000000003"/>
    <n v="70.061000000000007"/>
    <n v="58.933999999999997"/>
    <n v="53.86"/>
    <n v="52.201000000000001"/>
    <n v="51.197000000000003"/>
    <n v="58.207000000000001"/>
    <n v="10943.263999999999"/>
  </r>
  <r>
    <x v="3"/>
    <s v="PEST CONTROL"/>
    <s v="SC JOHNSON"/>
    <x v="1"/>
    <x v="1"/>
    <x v="3"/>
    <x v="0"/>
    <x v="4"/>
    <n v="16.988204499999998"/>
    <n v="16.357703999999998"/>
    <n v="17.631190799999999"/>
    <n v="17.221020899999999"/>
    <n v="16.828056700000001"/>
    <n v="18.053750000000001"/>
    <n v="17.346933199999999"/>
    <n v="18.057770099999999"/>
    <n v="17.922814599999999"/>
    <n v="17.456673500000001"/>
    <n v="15.521378199999999"/>
    <n v="14.907924400000001"/>
    <n v="14.490130000000001"/>
    <n v="15.192232000000001"/>
    <n v="15.8871029"/>
    <n v="17.9276622"/>
    <n v="16.393407700000001"/>
    <n v="15.214361800000001"/>
    <n v="15.7564844"/>
    <n v="14.563459399999999"/>
    <n v="14.4971532"/>
    <n v="14.1052807"/>
    <n v="13.5850291"/>
    <n v="13.249565799999999"/>
    <n v="13.6175497"/>
    <n v="15.175415900000001"/>
    <n v="16.741336199999999"/>
    <n v="17.1753134"/>
    <n v="18.271820399999999"/>
    <n v="17.7855433"/>
    <n v="18.729715500000001"/>
    <n v="18.670377599999998"/>
    <n v="16.979100299999999"/>
    <n v="16.0598323"/>
    <n v="16.725201800000001"/>
    <n v="15.6448894"/>
    <n v="15.850050400000001"/>
    <n v="58.207000000000001"/>
  </r>
  <r>
    <x v="3"/>
    <s v="PEST CONTROL"/>
    <s v="SC JOHNSON"/>
    <x v="1"/>
    <x v="1"/>
    <x v="3"/>
    <x v="0"/>
    <x v="5"/>
    <n v="2.8889999999999998"/>
    <n v="2.883"/>
    <n v="2.645"/>
    <n v="2.61"/>
    <n v="2.2360000000000002"/>
    <n v="2.4980000000000002"/>
    <n v="2.3079999999999998"/>
    <n v="2.319"/>
    <n v="2.3359999999999999"/>
    <n v="2.2370000000000001"/>
    <n v="2.0369999999999999"/>
    <n v="2.1739999999999999"/>
    <n v="2.4750000000000001"/>
    <n v="2.4830000000000001"/>
    <n v="2.7309999999999999"/>
    <n v="2.1139999999999999"/>
    <n v="1.7669999999999999"/>
    <n v="1.73"/>
    <n v="2.0699999999999998"/>
    <n v="1.96"/>
    <n v="2.0230000000000001"/>
    <n v="2.0310000000000001"/>
    <n v="2.09"/>
    <n v="2.0870000000000002"/>
    <n v="2.242"/>
    <n v="2.589"/>
    <n v="2.6970000000000001"/>
    <n v="2.258"/>
    <n v="2.5070000000000001"/>
    <n v="1.9570000000000001"/>
    <n v="2.1120000000000001"/>
    <n v="2.214"/>
    <n v="2.157"/>
    <n v="2.3919999999999999"/>
    <n v="2.129"/>
    <n v="2.1539999999999999"/>
    <n v="2.12"/>
    <n v="15.850050400000001"/>
  </r>
  <r>
    <x v="3"/>
    <s v="PEST CONTROL"/>
    <s v="SC JOHNSON"/>
    <x v="1"/>
    <x v="1"/>
    <x v="3"/>
    <x v="4"/>
    <x v="0"/>
    <n v="735.90099999999995"/>
    <n v="1161.7260000000001"/>
    <n v="2318.4279999999999"/>
    <n v="3669.1729999999998"/>
    <n v="4607.2439999999997"/>
    <n v="2958.9349999999999"/>
    <n v="2938.4229999999998"/>
    <n v="2253.9110000000001"/>
    <n v="1392.596"/>
    <n v="970.61"/>
    <n v="697.26300000000003"/>
    <n v="714.69899999999996"/>
    <n v="777.86099999999999"/>
    <n v="1249.162"/>
    <n v="1846.925"/>
    <n v="2780.2759999999998"/>
    <n v="2628.116"/>
    <n v="2248.067"/>
    <n v="2413.67"/>
    <n v="1482.357"/>
    <n v="914.55100000000004"/>
    <n v="730.29399999999998"/>
    <n v="702.92"/>
    <n v="474.98399999999998"/>
    <n v="585.70299999999997"/>
    <n v="1275.3009999999999"/>
    <n v="1439.309"/>
    <n v="2584.9679999999998"/>
    <n v="2622.8760000000002"/>
    <n v="2226.12"/>
    <n v="2432.2930000000001"/>
    <n v="1784.2260000000001"/>
    <n v="1026.5429999999999"/>
    <n v="697.57"/>
    <n v="806.10299999999995"/>
    <n v="622.80799999999999"/>
    <n v="647.06600000000003"/>
    <n v="647.06600000000003"/>
  </r>
  <r>
    <x v="3"/>
    <s v="PEST CONTROL"/>
    <s v="SC JOHNSON"/>
    <x v="1"/>
    <x v="1"/>
    <x v="3"/>
    <x v="4"/>
    <x v="1"/>
    <n v="228668.97500000001"/>
    <n v="364070.51799999998"/>
    <n v="697549.16299999994"/>
    <n v="1036004.871"/>
    <n v="1345985.375"/>
    <n v="899489.28799999994"/>
    <n v="891160.40399999998"/>
    <n v="669209.20799999998"/>
    <n v="435706.28600000002"/>
    <n v="302800.12400000001"/>
    <n v="215028.19699999999"/>
    <n v="225573.03700000001"/>
    <n v="240943.76800000001"/>
    <n v="403334.98499999999"/>
    <n v="589200.32200000004"/>
    <n v="904750.23600000003"/>
    <n v="853923.598"/>
    <n v="787808.09600000002"/>
    <n v="845869.57"/>
    <n v="529231.93799999997"/>
    <n v="324473.17800000001"/>
    <n v="251091.59099999999"/>
    <n v="238704.06"/>
    <n v="163883.63399999999"/>
    <n v="208797.258"/>
    <n v="495768.81599999999"/>
    <n v="562244.12899999996"/>
    <n v="1004811.723"/>
    <n v="998252.89500000002"/>
    <n v="853185.27599999995"/>
    <n v="914518.74300000002"/>
    <n v="663848.72400000005"/>
    <n v="374505.989"/>
    <n v="249951.93599999999"/>
    <n v="285336.45699999999"/>
    <n v="227380.571"/>
    <n v="238457.73699999999"/>
    <n v="238457.73699999999"/>
  </r>
  <r>
    <x v="3"/>
    <s v="PEST CONTROL"/>
    <s v="SC JOHNSON"/>
    <x v="1"/>
    <x v="1"/>
    <x v="3"/>
    <x v="4"/>
    <x v="2"/>
    <n v="1E-3"/>
    <n v="1E-3"/>
    <n v="2E-3"/>
    <n v="2E-3"/>
    <n v="2E-3"/>
    <n v="1E-3"/>
    <n v="1E-3"/>
    <n v="2E-3"/>
    <n v="1E-3"/>
    <n v="2E-3"/>
    <n v="1E-3"/>
    <n v="1E-3"/>
    <n v="1E-3"/>
    <n v="2E-3"/>
    <n v="2E-3"/>
    <n v="2E-3"/>
    <n v="1E-3"/>
    <n v="1E-3"/>
    <n v="1E-3"/>
    <n v="1E-3"/>
    <n v="1E-3"/>
    <n v="1E-3"/>
    <n v="1E-3"/>
    <n v="1E-3"/>
    <n v="1E-3"/>
    <n v="2E-3"/>
    <n v="1E-3"/>
    <n v="2E-3"/>
    <n v="1E-3"/>
    <n v="1E-3"/>
    <n v="1E-3"/>
    <n v="1E-3"/>
    <n v="1E-3"/>
    <n v="1E-3"/>
    <n v="1E-3"/>
    <n v="1E-3"/>
    <n v="1E-3"/>
    <n v="7.2999999999999995E-2"/>
  </r>
  <r>
    <x v="3"/>
    <s v="PEST CONTROL"/>
    <s v="SC JOHNSON"/>
    <x v="1"/>
    <x v="1"/>
    <x v="3"/>
    <x v="4"/>
    <x v="3"/>
    <n v="31.73"/>
    <n v="42.354999999999997"/>
    <n v="51.279000000000003"/>
    <n v="50.533000000000001"/>
    <n v="55.926000000000002"/>
    <n v="51.539000000000001"/>
    <n v="50.5"/>
    <n v="45.698"/>
    <n v="39.017000000000003"/>
    <n v="27.975000000000001"/>
    <n v="26.952999999999999"/>
    <n v="27.071000000000002"/>
    <n v="34.494999999999997"/>
    <n v="43.552"/>
    <n v="51.051000000000002"/>
    <n v="55.235999999999997"/>
    <n v="53.334000000000003"/>
    <n v="51.725000000000001"/>
    <n v="49.25"/>
    <n v="43.73"/>
    <n v="34.378"/>
    <n v="29.384"/>
    <n v="26.917999999999999"/>
    <n v="26.15"/>
    <n v="27.221"/>
    <n v="40.185000000000002"/>
    <n v="45.491999999999997"/>
    <n v="52.171999999999997"/>
    <n v="54.503999999999998"/>
    <n v="48.896000000000001"/>
    <n v="43.8"/>
    <n v="47.468000000000004"/>
    <n v="30.821999999999999"/>
    <n v="25.498000000000001"/>
    <n v="21.215"/>
    <n v="21.747"/>
    <n v="27.658999999999999"/>
    <n v="1136.24"/>
  </r>
  <r>
    <x v="3"/>
    <s v="PEST CONTROL"/>
    <s v="SC JOHNSON"/>
    <x v="1"/>
    <x v="1"/>
    <x v="3"/>
    <x v="4"/>
    <x v="4"/>
    <n v="2.2208644999999998"/>
    <n v="2.7748672999999999"/>
    <n v="3.1470807000000001"/>
    <n v="3.3762991000000002"/>
    <n v="3.6691251"/>
    <n v="3.7900396000000001"/>
    <n v="4.1955293999999999"/>
    <n v="4.6789771"/>
    <n v="4.3541274999999997"/>
    <n v="3.6332361999999998"/>
    <n v="3.7549359"/>
    <n v="3.5826977000000002"/>
    <n v="3.8735080000000002"/>
    <n v="3.9945894000000002"/>
    <n v="4.2489499000000004"/>
    <n v="4.1170144999999998"/>
    <n v="3.6414149999999998"/>
    <n v="3.5738226000000002"/>
    <n v="3.8760072000000001"/>
    <n v="3.7763116000000001"/>
    <n v="3.9979524999999998"/>
    <n v="4.0406985999999998"/>
    <n v="4.0411960999999996"/>
    <n v="3.5935250999999999"/>
    <n v="3.4885608000000001"/>
    <n v="4.3041995000000002"/>
    <n v="4.2776452000000003"/>
    <n v="3.8335051999999998"/>
    <n v="3.9375010000000001"/>
    <n v="3.8129599000000001"/>
    <n v="4.7258323999999998"/>
    <n v="5.0973071000000001"/>
    <n v="4.9498705999999997"/>
    <n v="4.2723104999999997"/>
    <n v="4.2344176999999998"/>
    <n v="4.1109128999999998"/>
    <n v="3.1671170000000002"/>
    <n v="27.658999999999999"/>
  </r>
  <r>
    <x v="3"/>
    <s v="PEST CONTROL"/>
    <s v="SC JOHNSON"/>
    <x v="1"/>
    <x v="1"/>
    <x v="3"/>
    <x v="4"/>
    <x v="5"/>
    <n v="9.8000000000000004E-2"/>
    <n v="0.158"/>
    <n v="9.9000000000000005E-2"/>
    <n v="0.16300000000000001"/>
    <n v="0.2"/>
    <n v="0.192"/>
    <n v="0.25800000000000001"/>
    <n v="0.221"/>
    <n v="0.20399999999999999"/>
    <n v="0.216"/>
    <n v="0.249"/>
    <n v="0.25"/>
    <n v="0.27"/>
    <n v="0.214"/>
    <n v="0.23499999999999999"/>
    <n v="0.19500000000000001"/>
    <n v="0.15"/>
    <n v="0.15"/>
    <n v="0.14899999999999999"/>
    <n v="0.20300000000000001"/>
    <n v="0.192"/>
    <n v="0.22600000000000001"/>
    <n v="0.246"/>
    <n v="0.255"/>
    <n v="0.193"/>
    <n v="0.29599999999999999"/>
    <n v="0.23100000000000001"/>
    <n v="0.21299999999999999"/>
    <n v="0.17699999999999999"/>
    <n v="0.16200000000000001"/>
    <n v="0.247"/>
    <n v="0.30399999999999999"/>
    <n v="0.31"/>
    <n v="0.28399999999999997"/>
    <n v="0.28999999999999998"/>
    <n v="0.27400000000000002"/>
    <n v="0.224"/>
    <n v="3.1671170000000002"/>
  </r>
  <r>
    <x v="3"/>
    <s v="PEST CONTROL"/>
    <s v="SC JOHNSON"/>
    <x v="1"/>
    <x v="1"/>
    <x v="3"/>
    <x v="5"/>
    <x v="0"/>
    <n v="2451.42"/>
    <n v="3569.6280000000002"/>
    <n v="6186.7160000000003"/>
    <n v="8018.9409999999998"/>
    <n v="10227.048000000001"/>
    <n v="8050.0889999999999"/>
    <n v="6832.4359999999997"/>
    <n v="5201.3220000000001"/>
    <n v="3088.2040000000002"/>
    <n v="2084.346"/>
    <n v="1674.4449999999999"/>
    <n v="1598.6579999999999"/>
    <n v="2149.942"/>
    <n v="3180.7919999999999"/>
    <n v="5221.7060000000001"/>
    <n v="8680.1929999999993"/>
    <n v="8233.0490000000009"/>
    <n v="7294.1710000000003"/>
    <n v="6736.509"/>
    <n v="4970.1019999999999"/>
    <n v="3232.424"/>
    <n v="2390.4250000000002"/>
    <n v="1932.2360000000001"/>
    <n v="2013.8409999999999"/>
    <n v="2086.759"/>
    <n v="3202.6550000000002"/>
    <n v="3529.8530000000001"/>
    <n v="5668.0969999999998"/>
    <n v="9741.7369999999992"/>
    <n v="8296.5910000000003"/>
    <n v="7298.2"/>
    <n v="5463.424"/>
    <n v="3543.2530000000002"/>
    <n v="2458.2370000000001"/>
    <n v="1934.183"/>
    <n v="2064.4720000000002"/>
    <n v="2194.8519999999999"/>
    <n v="13169.111000000001"/>
  </r>
  <r>
    <x v="3"/>
    <s v="PEST CONTROL"/>
    <s v="SC JOHNSON"/>
    <x v="1"/>
    <x v="1"/>
    <x v="3"/>
    <x v="5"/>
    <x v="1"/>
    <n v="667967.45700000005"/>
    <n v="1011810.171"/>
    <n v="1768292.6429999999"/>
    <n v="2256126.702"/>
    <n v="2918181.2769999998"/>
    <n v="2336887.5869999998"/>
    <n v="1944393.49"/>
    <n v="1436103.571"/>
    <n v="874832.99600000004"/>
    <n v="589699.24699999997"/>
    <n v="462568.91899999999"/>
    <n v="454354.88699999999"/>
    <n v="640639.44299999997"/>
    <n v="955729.78200000001"/>
    <n v="1558216.2290000001"/>
    <n v="2701148.33"/>
    <n v="2623163.6239999998"/>
    <n v="2345526.6490000002"/>
    <n v="2201248.9219999998"/>
    <n v="1610553.2420000001"/>
    <n v="975556.76699999999"/>
    <n v="790229.64399999997"/>
    <n v="656737.97100000002"/>
    <n v="696814.95900000003"/>
    <n v="737041.57499999995"/>
    <n v="1149143.0360000001"/>
    <n v="1223646.3829999999"/>
    <n v="2044564.8959999999"/>
    <n v="3551907.264"/>
    <n v="3135804.7250000001"/>
    <n v="2726635.7769999998"/>
    <n v="2059158.138"/>
    <n v="1274705.064"/>
    <n v="891966.11699999997"/>
    <n v="722820.99399999995"/>
    <n v="790782.022"/>
    <n v="829105.304"/>
    <n v="829105.304"/>
  </r>
  <r>
    <x v="3"/>
    <s v="PEST CONTROL"/>
    <s v="SC JOHNSON"/>
    <x v="1"/>
    <x v="1"/>
    <x v="3"/>
    <x v="5"/>
    <x v="2"/>
    <n v="2.1999999999999999E-2"/>
    <n v="2.1999999999999999E-2"/>
    <n v="2.8000000000000001E-2"/>
    <n v="2.8000000000000001E-2"/>
    <n v="2.5999999999999999E-2"/>
    <n v="2.1000000000000001E-2"/>
    <n v="0.02"/>
    <n v="2.1999999999999999E-2"/>
    <n v="1.9E-2"/>
    <n v="1.9E-2"/>
    <n v="1.9E-2"/>
    <n v="1.7999999999999999E-2"/>
    <n v="2.1999999999999999E-2"/>
    <n v="2.4E-2"/>
    <n v="2.5999999999999999E-2"/>
    <n v="0.03"/>
    <n v="2.5000000000000001E-2"/>
    <n v="2.3E-2"/>
    <n v="2.1000000000000001E-2"/>
    <n v="0.02"/>
    <n v="1.7000000000000001E-2"/>
    <n v="1.7000000000000001E-2"/>
    <n v="1.7000000000000001E-2"/>
    <n v="0.02"/>
    <n v="0.02"/>
    <n v="2.3E-2"/>
    <n v="1.9E-2"/>
    <n v="0.02"/>
    <n v="2.7E-2"/>
    <n v="2.3E-2"/>
    <n v="1.7999999999999999E-2"/>
    <n v="1.2999999999999999E-2"/>
    <n v="1.2999999999999999E-2"/>
    <n v="1.2999999999999999E-2"/>
    <n v="1.4E-2"/>
    <n v="2.1000000000000001E-2"/>
    <n v="2.7E-2"/>
    <n v="1.492"/>
  </r>
  <r>
    <x v="3"/>
    <s v="PEST CONTROL"/>
    <s v="SC JOHNSON"/>
    <x v="1"/>
    <x v="1"/>
    <x v="3"/>
    <x v="5"/>
    <x v="3"/>
    <n v="32.950000000000003"/>
    <n v="45.158000000000001"/>
    <n v="53.249000000000002"/>
    <n v="53.646999999999998"/>
    <n v="57.99"/>
    <n v="52.884"/>
    <n v="49.277999999999999"/>
    <n v="47.039000000000001"/>
    <n v="39.534999999999997"/>
    <n v="31.481000000000002"/>
    <n v="27.835000000000001"/>
    <n v="30.22"/>
    <n v="42.216000000000001"/>
    <n v="50.134"/>
    <n v="56.457999999999998"/>
    <n v="59.924999999999997"/>
    <n v="59.216000000000001"/>
    <n v="56.814999999999998"/>
    <n v="54.03"/>
    <n v="48.015000000000001"/>
    <n v="41.871000000000002"/>
    <n v="36.901000000000003"/>
    <n v="34.561999999999998"/>
    <n v="36.305"/>
    <n v="34.590000000000003"/>
    <n v="47.704999999999998"/>
    <n v="51.192"/>
    <n v="58.151000000000003"/>
    <n v="61.177999999999997"/>
    <n v="54.331000000000003"/>
    <n v="50.408999999999999"/>
    <n v="52.85"/>
    <n v="37.113"/>
    <n v="31.268000000000001"/>
    <n v="26.538"/>
    <n v="29.145"/>
    <n v="39.281999999999996"/>
    <n v="12776.638000000001"/>
  </r>
  <r>
    <x v="3"/>
    <s v="PEST CONTROL"/>
    <s v="SC JOHNSON"/>
    <x v="1"/>
    <x v="1"/>
    <x v="3"/>
    <x v="5"/>
    <x v="4"/>
    <n v="4.5255131999999998"/>
    <n v="5.0969914000000003"/>
    <n v="4.6667546"/>
    <n v="4.8751151999999998"/>
    <n v="4.9847758000000004"/>
    <n v="5.0314399999999999"/>
    <n v="5.0146844000000002"/>
    <n v="6.2434244999999997"/>
    <n v="6.2277563000000002"/>
    <n v="5.9048257"/>
    <n v="5.3392018999999999"/>
    <n v="5.5027495000000002"/>
    <n v="6.1244610000000002"/>
    <n v="6.0601815999999999"/>
    <n v="5.7109487999999997"/>
    <n v="6.0944476999999999"/>
    <n v="6.1213194"/>
    <n v="6.6331059999999997"/>
    <n v="6.3172439000000002"/>
    <n v="6.2833566999999997"/>
    <n v="6.4684679000000003"/>
    <n v="6.4686696000000001"/>
    <n v="6.3478213999999999"/>
    <n v="6.6064202999999999"/>
    <n v="6.5337972000000004"/>
    <n v="7.1995870000000002"/>
    <n v="7.0141033999999998"/>
    <n v="6.8409490000000002"/>
    <n v="6.9506730000000001"/>
    <n v="6.7810608999999999"/>
    <n v="6.6094834999999996"/>
    <n v="6.9135723000000002"/>
    <n v="6.7664363999999999"/>
    <n v="6.4703143000000001"/>
    <n v="6.5517478000000002"/>
    <n v="6.4763415000000002"/>
    <n v="6.0119233999999997"/>
    <n v="39.281999999999996"/>
  </r>
  <r>
    <x v="3"/>
    <s v="PEST CONTROL"/>
    <s v="SC JOHNSON"/>
    <x v="1"/>
    <x v="1"/>
    <x v="3"/>
    <x v="5"/>
    <x v="5"/>
    <n v="0.23699999999999999"/>
    <n v="0.28000000000000003"/>
    <n v="0.192"/>
    <n v="0.38500000000000001"/>
    <n v="0.24299999999999999"/>
    <n v="0.19800000000000001"/>
    <n v="0.30499999999999999"/>
    <n v="0.36699999999999999"/>
    <n v="0.438"/>
    <n v="0.33500000000000002"/>
    <n v="0.314"/>
    <n v="0.318"/>
    <n v="0.35299999999999998"/>
    <n v="0.29399999999999998"/>
    <n v="0.35699999999999998"/>
    <n v="0.35199999999999998"/>
    <n v="0.26200000000000001"/>
    <n v="0.39100000000000001"/>
    <n v="0.34"/>
    <n v="0.35199999999999998"/>
    <n v="0.40600000000000003"/>
    <n v="0.39"/>
    <n v="0.43"/>
    <n v="0.439"/>
    <n v="0.42"/>
    <n v="0.57999999999999996"/>
    <n v="0.55200000000000005"/>
    <n v="0.48299999999999998"/>
    <n v="0.4"/>
    <n v="0.39800000000000002"/>
    <n v="0.432"/>
    <n v="0.38400000000000001"/>
    <n v="0.50800000000000001"/>
    <n v="0.46600000000000003"/>
    <n v="0.47799999999999998"/>
    <n v="0.45300000000000001"/>
    <n v="0.41199999999999998"/>
    <n v="6.0119233999999997"/>
  </r>
  <r>
    <x v="3"/>
    <s v="PEST CONTROL"/>
    <s v="SC JOHNSON"/>
    <x v="1"/>
    <x v="2"/>
    <x v="3"/>
    <x v="0"/>
    <x v="0"/>
    <n v="2233.85"/>
    <n v="3014.9270000000001"/>
    <n v="4148.7939999999999"/>
    <n v="3857.933"/>
    <n v="5771.67"/>
    <n v="4004.4229999999998"/>
    <n v="4060.6010000000001"/>
    <n v="2473.8629999999998"/>
    <n v="2044.98"/>
    <n v="1389.915"/>
    <n v="1425.1020000000001"/>
    <n v="1762.921"/>
    <n v="1971.068"/>
    <n v="2198.4989999999998"/>
    <n v="3622.7959999999998"/>
    <n v="5185.875"/>
    <n v="4361.7809999999999"/>
    <n v="3962.9209999999998"/>
    <n v="4304.8010000000004"/>
    <n v="2946.027"/>
    <n v="2324.4180000000001"/>
    <n v="1981.5250000000001"/>
    <n v="1639.748"/>
    <n v="1654.134"/>
    <n v="1777.3150000000001"/>
    <n v="1586.954"/>
    <n v="2344.3530000000001"/>
    <n v="1971.8510000000001"/>
    <n v="2125.27"/>
    <n v="1897.4179999999999"/>
    <n v="1812.4849999999999"/>
    <n v="1054.421"/>
    <n v="865.44200000000001"/>
    <n v="714.40599999999995"/>
    <n v="666.56299999999999"/>
    <n v="634.37900000000002"/>
    <n v="733.27099999999996"/>
    <n v="733.27099999999996"/>
  </r>
  <r>
    <x v="3"/>
    <s v="PEST CONTROL"/>
    <s v="SC JOHNSON"/>
    <x v="1"/>
    <x v="2"/>
    <x v="3"/>
    <x v="0"/>
    <x v="1"/>
    <n v="603891.15899999999"/>
    <n v="796177.11600000004"/>
    <n v="1115268.1499999999"/>
    <n v="1045575.171"/>
    <n v="1544199.9809999999"/>
    <n v="1059365.5919999999"/>
    <n v="1089871.3929999999"/>
    <n v="661371.67000000004"/>
    <n v="547590.55500000005"/>
    <n v="360809.11099999998"/>
    <n v="369829.92300000001"/>
    <n v="465490.391"/>
    <n v="537167.54299999995"/>
    <n v="614936.05200000003"/>
    <n v="1003037.3909999999"/>
    <n v="1460509.122"/>
    <n v="1250470.527"/>
    <n v="1154290.99"/>
    <n v="1296850.922"/>
    <n v="881257.08200000005"/>
    <n v="694749.28500000003"/>
    <n v="597409.31000000006"/>
    <n v="495170.34899999999"/>
    <n v="492669.147"/>
    <n v="546414.51"/>
    <n v="486546.00300000003"/>
    <n v="717637.81299999997"/>
    <n v="592628.66099999996"/>
    <n v="645885.63600000006"/>
    <n v="550938.71200000006"/>
    <n v="527447.37800000003"/>
    <n v="312357.36700000003"/>
    <n v="243665.05499999999"/>
    <n v="206291.66899999999"/>
    <n v="194363.61600000001"/>
    <n v="199873.77499999999"/>
    <n v="222824.11300000001"/>
    <n v="222824.11300000001"/>
  </r>
  <r>
    <x v="3"/>
    <s v="PEST CONTROL"/>
    <s v="SC JOHNSON"/>
    <x v="1"/>
    <x v="2"/>
    <x v="3"/>
    <x v="0"/>
    <x v="2"/>
    <n v="1.306"/>
    <n v="1.226"/>
    <n v="1.208"/>
    <n v="0.86399999999999999"/>
    <n v="0.96899999999999997"/>
    <n v="0.68400000000000005"/>
    <n v="0.77900000000000003"/>
    <n v="0.66300000000000003"/>
    <n v="0.79800000000000004"/>
    <n v="0.83599999999999997"/>
    <n v="1.022"/>
    <n v="1.32"/>
    <n v="1.3080000000000001"/>
    <n v="1.087"/>
    <n v="1.163"/>
    <n v="1.18"/>
    <n v="0.85199999999999998"/>
    <n v="0.82699999999999996"/>
    <n v="0.86199999999999999"/>
    <n v="0.77700000000000002"/>
    <n v="0.79200000000000004"/>
    <n v="0.91200000000000003"/>
    <n v="0.95"/>
    <n v="1.0680000000000001"/>
    <n v="1.0780000000000001"/>
    <n v="0.72499999999999998"/>
    <n v="0.79700000000000004"/>
    <n v="0.44700000000000001"/>
    <n v="0.377"/>
    <n v="0.34300000000000003"/>
    <n v="0.28199999999999997"/>
    <n v="0.16600000000000001"/>
    <n v="0.21"/>
    <n v="0.24099999999999999"/>
    <n v="0.30399999999999999"/>
    <n v="0.41699999999999998"/>
    <n v="0.58599999999999997"/>
    <n v="8.3000000000000004E-2"/>
  </r>
  <r>
    <x v="3"/>
    <s v="PEST CONTROL"/>
    <s v="SC JOHNSON"/>
    <x v="1"/>
    <x v="2"/>
    <x v="3"/>
    <x v="0"/>
    <x v="3"/>
    <n v="41.295000000000002"/>
    <n v="50.417999999999999"/>
    <n v="58.959000000000003"/>
    <n v="58.104999999999997"/>
    <n v="62.395000000000003"/>
    <n v="55.951999999999998"/>
    <n v="53.441000000000003"/>
    <n v="48.604999999999997"/>
    <n v="40.243000000000002"/>
    <n v="31.134"/>
    <n v="31.64"/>
    <n v="35.790999999999997"/>
    <n v="44.076000000000001"/>
    <n v="51.750999999999998"/>
    <n v="59.134999999999998"/>
    <n v="61.182000000000002"/>
    <n v="60.006999999999998"/>
    <n v="59.877000000000002"/>
    <n v="58.384"/>
    <n v="52.673000000000002"/>
    <n v="46.002000000000002"/>
    <n v="36.594000000000001"/>
    <n v="30.260999999999999"/>
    <n v="32.209000000000003"/>
    <n v="31.725999999999999"/>
    <n v="31.741"/>
    <n v="22.600999999999999"/>
    <n v="16.655000000000001"/>
    <n v="13.317"/>
    <n v="12.356"/>
    <n v="11.069000000000001"/>
    <n v="10.167999999999999"/>
    <n v="12.459"/>
    <n v="14.961"/>
    <n v="14.2"/>
    <n v="13.619"/>
    <n v="11.625"/>
    <n v="1821.318"/>
  </r>
  <r>
    <x v="3"/>
    <s v="PEST CONTROL"/>
    <s v="SC JOHNSON"/>
    <x v="1"/>
    <x v="2"/>
    <x v="3"/>
    <x v="0"/>
    <x v="4"/>
    <n v="6.6162824000000002"/>
    <n v="6.6058813000000001"/>
    <n v="6.6348279999999997"/>
    <n v="6.6424411000000001"/>
    <n v="6.5288059000000001"/>
    <n v="6.1909989000000003"/>
    <n v="6.2104330000000001"/>
    <n v="6.2993731999999998"/>
    <n v="5.7376459000000004"/>
    <n v="5.8774534000000003"/>
    <n v="5.9526279000000004"/>
    <n v="6.1954701999999999"/>
    <n v="6.4396224000000002"/>
    <n v="6.6889946"/>
    <n v="7.4137972999999997"/>
    <n v="7.2400532999999996"/>
    <n v="6.8973440000000004"/>
    <n v="7.4695988"/>
    <n v="7.0506222000000003"/>
    <n v="6.7480935000000004"/>
    <n v="6.5451614999999999"/>
    <n v="6.2276739000000001"/>
    <n v="5.9280325999999999"/>
    <n v="6.2171099999999999"/>
    <n v="6.5922169000000004"/>
    <n v="6.4358633999999997"/>
    <n v="5.9891692000000001"/>
    <n v="5.7295521999999997"/>
    <n v="5.2135207000000001"/>
    <n v="4.9224116999999996"/>
    <n v="4.5773970000000004"/>
    <n v="4.1566422000000003"/>
    <n v="3.8165879"/>
    <n v="3.7551662000000001"/>
    <n v="3.6526987000000002"/>
    <n v="3.5202303000000001"/>
    <n v="3.9014468999999998"/>
    <n v="11.625"/>
  </r>
  <r>
    <x v="3"/>
    <s v="PEST CONTROL"/>
    <s v="SC JOHNSON"/>
    <x v="1"/>
    <x v="2"/>
    <x v="3"/>
    <x v="0"/>
    <x v="5"/>
    <n v="0.64900000000000002"/>
    <n v="0.54600000000000004"/>
    <n v="0.55700000000000005"/>
    <n v="0.53900000000000003"/>
    <n v="0.5"/>
    <n v="0.45800000000000002"/>
    <n v="0.44500000000000001"/>
    <n v="0.46899999999999997"/>
    <n v="0.50600000000000001"/>
    <n v="0.52200000000000002"/>
    <n v="0.497"/>
    <n v="0.50600000000000001"/>
    <n v="0.51200000000000001"/>
    <n v="0.52500000000000002"/>
    <n v="0.53600000000000003"/>
    <n v="0.47"/>
    <n v="0.44600000000000001"/>
    <n v="0.45900000000000002"/>
    <n v="0.47399999999999998"/>
    <n v="0.47299999999999998"/>
    <n v="0.48599999999999999"/>
    <n v="0.47699999999999998"/>
    <n v="0.51"/>
    <n v="0.56999999999999995"/>
    <n v="0.60199999999999998"/>
    <n v="0.65700000000000003"/>
    <n v="0.50600000000000001"/>
    <n v="0.46500000000000002"/>
    <n v="0.39500000000000002"/>
    <n v="0.41399999999999998"/>
    <n v="0.39100000000000001"/>
    <n v="0.32700000000000001"/>
    <n v="0.41899999999999998"/>
    <n v="0.39100000000000001"/>
    <n v="0.379"/>
    <n v="0.32"/>
    <n v="0.34300000000000003"/>
    <n v="3.9014468999999998"/>
  </r>
  <r>
    <x v="3"/>
    <s v="PEST CONTROL"/>
    <s v="SC JOHNSON"/>
    <x v="1"/>
    <x v="3"/>
    <x v="2"/>
    <x v="0"/>
    <x v="0"/>
    <n v="1532.412"/>
    <n v="2296.8209999999999"/>
    <n v="3777.607"/>
    <n v="4194.1869999999999"/>
    <n v="5504.4970000000003"/>
    <n v="4696.7240000000002"/>
    <n v="4677.4949999999999"/>
    <n v="3785.2249999999999"/>
    <n v="2301.3629999999998"/>
    <n v="1582.7850000000001"/>
    <n v="1542.4939999999999"/>
    <n v="1378.2249999999999"/>
    <n v="1922.3040000000001"/>
    <n v="2155.6509999999998"/>
    <n v="3874.8719999999998"/>
    <n v="5341.049"/>
    <n v="4959.3639999999996"/>
    <n v="2929.6190000000001"/>
    <n v="2386.5700000000002"/>
    <n v="1536.3810000000001"/>
    <n v="1705.91"/>
    <n v="1652.8150000000001"/>
    <n v="1429.1759999999999"/>
    <n v="1832.38"/>
    <n v="1869.146"/>
    <n v="2313.0239999999999"/>
    <n v="2705.605"/>
    <n v="2678.107"/>
    <n v="2526.3829999999998"/>
    <n v="3258.6930000000002"/>
    <n v="3123.6309999999999"/>
    <n v="2775.7829999999999"/>
    <n v="2006.902"/>
    <n v="1688.425"/>
    <n v="1227.8820000000001"/>
    <n v="619.93200000000002"/>
    <n v="288.25900000000001"/>
    <n v="288.25900000000001"/>
  </r>
  <r>
    <x v="3"/>
    <s v="PEST CONTROL"/>
    <s v="SC JOHNSON"/>
    <x v="1"/>
    <x v="3"/>
    <x v="2"/>
    <x v="0"/>
    <x v="1"/>
    <n v="189455.894"/>
    <n v="293089.37400000001"/>
    <n v="495047.13500000001"/>
    <n v="558383.03099999996"/>
    <n v="741264.897"/>
    <n v="629140.75100000005"/>
    <n v="628880.65700000001"/>
    <n v="508894.277"/>
    <n v="301669.11599999998"/>
    <n v="210167.59"/>
    <n v="204961.644"/>
    <n v="180347.11600000001"/>
    <n v="256653.26199999999"/>
    <n v="294708.84299999999"/>
    <n v="533807.05299999996"/>
    <n v="744919.22400000005"/>
    <n v="705513.68799999997"/>
    <n v="405596.364"/>
    <n v="324819.34899999999"/>
    <n v="218797.383"/>
    <n v="242000.31400000001"/>
    <n v="232156.37"/>
    <n v="191104.38099999999"/>
    <n v="245591.15"/>
    <n v="255112.092"/>
    <n v="316610.06400000001"/>
    <n v="386021.53100000002"/>
    <n v="348383.96500000003"/>
    <n v="332871.783"/>
    <n v="445391.28899999999"/>
    <n v="405971.97899999999"/>
    <n v="389289.09700000001"/>
    <n v="257485.79500000001"/>
    <n v="224296.30300000001"/>
    <n v="162045.024"/>
    <n v="81075.13"/>
    <n v="40808.538999999997"/>
    <n v="40808.538999999997"/>
  </r>
  <r>
    <x v="3"/>
    <s v="PEST CONTROL"/>
    <s v="SC JOHNSON"/>
    <x v="1"/>
    <x v="3"/>
    <x v="2"/>
    <x v="0"/>
    <x v="2"/>
    <n v="0.70599999999999996"/>
    <n v="0.73099999999999998"/>
    <n v="0.85499999999999998"/>
    <n v="0.72799999999999998"/>
    <n v="0.71599999999999997"/>
    <n v="0.622"/>
    <n v="0.69599999999999995"/>
    <n v="0.78400000000000003"/>
    <n v="0.70099999999999996"/>
    <n v="0.74099999999999999"/>
    <n v="0.86199999999999999"/>
    <n v="0.82499999999999996"/>
    <n v="0.996"/>
    <n v="0.82299999999999995"/>
    <n v="0.96199999999999997"/>
    <n v="0.94299999999999995"/>
    <n v="0.754"/>
    <n v="0.47699999999999998"/>
    <n v="0.376"/>
    <n v="0.313"/>
    <n v="0.44900000000000001"/>
    <n v="0.58699999999999997"/>
    <n v="0.64100000000000001"/>
    <n v="0.91700000000000004"/>
    <n v="0.878"/>
    <n v="0.81799999999999995"/>
    <n v="0.71099999999999997"/>
    <n v="0.47"/>
    <n v="0.34699999999999998"/>
    <n v="0.45600000000000002"/>
    <n v="0.377"/>
    <n v="0.34"/>
    <n v="0.38100000000000001"/>
    <n v="0.44800000000000001"/>
    <n v="0.438"/>
    <n v="0.318"/>
    <n v="0.17899999999999999"/>
    <n v="3.3000000000000002E-2"/>
  </r>
  <r>
    <x v="3"/>
    <s v="PEST CONTROL"/>
    <s v="SC JOHNSON"/>
    <x v="1"/>
    <x v="3"/>
    <x v="2"/>
    <x v="0"/>
    <x v="3"/>
    <n v="25.841999999999999"/>
    <n v="32.427999999999997"/>
    <n v="40.948"/>
    <n v="38.444000000000003"/>
    <n v="41.408999999999999"/>
    <n v="35.554000000000002"/>
    <n v="33.512"/>
    <n v="29.792000000000002"/>
    <n v="24.652000000000001"/>
    <n v="20.506"/>
    <n v="20.146999999999998"/>
    <n v="22.190999999999999"/>
    <n v="30.061"/>
    <n v="38.503"/>
    <n v="47.942"/>
    <n v="39.311"/>
    <n v="32.777000000000001"/>
    <n v="14.468"/>
    <n v="9.3409999999999993"/>
    <n v="7.7649999999999997"/>
    <n v="10.279"/>
    <n v="10.539"/>
    <n v="11.17"/>
    <n v="11.532"/>
    <n v="10.754"/>
    <n v="9.86"/>
    <n v="6.1660000000000004"/>
    <n v="4.63"/>
    <n v="5.38"/>
    <n v="6.282"/>
    <n v="6.0279999999999996"/>
    <n v="5.508"/>
    <n v="7.1520000000000001"/>
    <n v="7.66"/>
    <n v="6.4359999999999999"/>
    <n v="5.99"/>
    <n v="3.7679999999999998"/>
    <n v="991.34699999999998"/>
  </r>
  <r>
    <x v="3"/>
    <s v="PEST CONTROL"/>
    <s v="SC JOHNSON"/>
    <x v="1"/>
    <x v="3"/>
    <x v="2"/>
    <x v="0"/>
    <x v="4"/>
    <n v="3.4162425000000001"/>
    <n v="3.9146112"/>
    <n v="4.7156048999999998"/>
    <n v="4.9568507999999998"/>
    <n v="4.8577459999999997"/>
    <n v="4.3789325000000003"/>
    <n v="4.4548586999999999"/>
    <n v="4.2507212000000001"/>
    <n v="4.5231168999999998"/>
    <n v="4.2084754000000002"/>
    <n v="3.9842032000000001"/>
    <n v="4.5622555"/>
    <n v="5.0716039999999998"/>
    <n v="5.9461553"/>
    <n v="6.8807647000000003"/>
    <n v="6.7827298999999996"/>
    <n v="6.1773442000000003"/>
    <n v="4.9656874999999996"/>
    <n v="4.4113043999999997"/>
    <n v="4.0007843000000003"/>
    <n v="4.0022602999999997"/>
    <n v="4.5993664000000001"/>
    <n v="4.6147378000000003"/>
    <n v="4.8892524999999996"/>
    <n v="4.7241474999999999"/>
    <n v="5.0193640999999998"/>
    <n v="5.1014914999999998"/>
    <n v="5.1845026000000001"/>
    <n v="4.8620359999999998"/>
    <n v="4.2789397999999998"/>
    <n v="3.6142808999999998"/>
    <n v="3.4197668999999999"/>
    <n v="2.5319295999999998"/>
    <n v="2.2616415000000001"/>
    <n v="2.1876530999999999"/>
    <n v="2.1702466"/>
    <n v="2.3783629999999998"/>
    <n v="3.7679999999999998"/>
  </r>
  <r>
    <x v="3"/>
    <s v="PEST CONTROL"/>
    <s v="SC JOHNSON"/>
    <x v="1"/>
    <x v="3"/>
    <x v="2"/>
    <x v="0"/>
    <x v="5"/>
    <n v="0.33700000000000002"/>
    <n v="0.29399999999999998"/>
    <n v="0.57299999999999995"/>
    <n v="0.497"/>
    <n v="0.40400000000000003"/>
    <n v="0.48399999999999999"/>
    <n v="0.44900000000000001"/>
    <n v="0.502"/>
    <n v="0.53600000000000003"/>
    <n v="0.59699999999999998"/>
    <n v="0.501"/>
    <n v="0.55400000000000005"/>
    <n v="0.69"/>
    <n v="0.90300000000000002"/>
    <n v="0.71499999999999997"/>
    <n v="0.68400000000000005"/>
    <n v="0.71099999999999997"/>
    <n v="0.58599999999999997"/>
    <n v="0.497"/>
    <n v="0.48699999999999999"/>
    <n v="0.48399999999999999"/>
    <n v="0.60499999999999998"/>
    <n v="0.61499999999999999"/>
    <n v="0.66100000000000003"/>
    <n v="0.61399999999999999"/>
    <n v="0.6"/>
    <n v="0.57899999999999996"/>
    <n v="0.49399999999999999"/>
    <n v="0.41499999999999998"/>
    <n v="0.32100000000000001"/>
    <n v="0.33900000000000002"/>
    <n v="0.26700000000000002"/>
    <n v="0.25900000000000001"/>
    <n v="0.2"/>
    <n v="0.14799999999999999"/>
    <n v="0.152"/>
    <n v="0.19500000000000001"/>
    <n v="2.3783629999999998"/>
  </r>
  <r>
    <x v="3"/>
    <s v="PEST CONTROL"/>
    <s v="SC JOHNSON"/>
    <x v="1"/>
    <x v="4"/>
    <x v="2"/>
    <x v="0"/>
    <x v="0"/>
    <n v="1042.7550000000001"/>
    <n v="1126.758"/>
    <n v="1663.8420000000001"/>
    <n v="1463.3420000000001"/>
    <n v="1155.01"/>
    <n v="1712.6479999999999"/>
    <n v="2285.069"/>
    <n v="1734.59"/>
    <n v="897.99599999999998"/>
    <n v="597.88099999999997"/>
    <n v="649.27"/>
    <n v="387.89100000000002"/>
    <n v="542.51800000000003"/>
    <n v="731.22400000000005"/>
    <n v="1362.6189999999999"/>
    <n v="1563.452"/>
    <n v="2054.6"/>
    <n v="2653.6680000000001"/>
    <n v="2588.0830000000001"/>
    <n v="1797.3789999999999"/>
    <n v="1608.259"/>
    <n v="1100.5509999999999"/>
    <n v="1295.3879999999999"/>
    <n v="1294.0909999999999"/>
    <n v="878.08100000000002"/>
    <n v="1173.203"/>
    <n v="2003.2529999999999"/>
    <n v="4850.5119999999997"/>
    <n v="5846.3069999999998"/>
    <n v="6033.5410000000002"/>
    <n v="5074.2030000000004"/>
    <n v="5350.9859999999999"/>
    <n v="3897.6309999999999"/>
    <n v="2767.0140000000001"/>
    <n v="2600.2559999999999"/>
    <n v="1722.9490000000001"/>
    <n v="1960.296"/>
    <n v="1960.296"/>
  </r>
  <r>
    <x v="3"/>
    <s v="PEST CONTROL"/>
    <s v="SC JOHNSON"/>
    <x v="1"/>
    <x v="4"/>
    <x v="2"/>
    <x v="0"/>
    <x v="1"/>
    <n v="142472.54199999999"/>
    <n v="147809.56400000001"/>
    <n v="213926.12"/>
    <n v="178785.576"/>
    <n v="152542.09099999999"/>
    <n v="241189.364"/>
    <n v="259637.32399999999"/>
    <n v="204744.94099999999"/>
    <n v="100931.564"/>
    <n v="64916.159"/>
    <n v="66618.982000000004"/>
    <n v="36310.642"/>
    <n v="56602.557999999997"/>
    <n v="79843.331999999995"/>
    <n v="170615.8"/>
    <n v="205495.69399999999"/>
    <n v="288948.32900000003"/>
    <n v="400489.23200000002"/>
    <n v="391766.48800000001"/>
    <n v="271422.80599999998"/>
    <n v="237605.215"/>
    <n v="162578.69699999999"/>
    <n v="193374.30799999999"/>
    <n v="193609.19500000001"/>
    <n v="139796.91500000001"/>
    <n v="196227.851"/>
    <n v="324111.47899999999"/>
    <n v="776113.46299999999"/>
    <n v="949817.23600000003"/>
    <n v="986371.46200000006"/>
    <n v="836680.27"/>
    <n v="824393.14500000002"/>
    <n v="619559.84400000004"/>
    <n v="427062.28200000001"/>
    <n v="427087.85399999999"/>
    <n v="289017.62400000001"/>
    <n v="331240.98200000002"/>
    <n v="331240.98200000002"/>
  </r>
  <r>
    <x v="3"/>
    <s v="PEST CONTROL"/>
    <s v="SC JOHNSON"/>
    <x v="1"/>
    <x v="4"/>
    <x v="2"/>
    <x v="0"/>
    <x v="2"/>
    <n v="0.47099999999999997"/>
    <n v="0.35499999999999998"/>
    <n v="0.373"/>
    <n v="0.252"/>
    <n v="0.14899999999999999"/>
    <n v="0.23"/>
    <n v="0.34300000000000003"/>
    <n v="0.36599999999999999"/>
    <n v="0.27100000000000002"/>
    <n v="0.27800000000000002"/>
    <n v="0.36"/>
    <n v="0.224"/>
    <n v="0.28499999999999998"/>
    <n v="0.28100000000000003"/>
    <n v="0.35899999999999999"/>
    <n v="0.28599999999999998"/>
    <n v="0.31"/>
    <n v="0.43099999999999999"/>
    <n v="0.40200000000000002"/>
    <n v="0.36499999999999999"/>
    <n v="0.42299999999999999"/>
    <n v="0.39100000000000001"/>
    <n v="0.58099999999999996"/>
    <n v="0.65300000000000002"/>
    <n v="0.42199999999999999"/>
    <n v="0.41699999999999998"/>
    <n v="0.53200000000000003"/>
    <n v="0.85699999999999998"/>
    <n v="0.80700000000000005"/>
    <n v="0.84599999999999997"/>
    <n v="0.61299999999999999"/>
    <n v="0.65500000000000003"/>
    <n v="0.73899999999999999"/>
    <n v="0.73399999999999999"/>
    <n v="0.92700000000000005"/>
    <n v="0.88300000000000001"/>
    <n v="1.2150000000000001"/>
    <n v="0.222"/>
  </r>
  <r>
    <x v="3"/>
    <s v="PEST CONTROL"/>
    <s v="SC JOHNSON"/>
    <x v="1"/>
    <x v="4"/>
    <x v="2"/>
    <x v="0"/>
    <x v="3"/>
    <n v="9.1050000000000004"/>
    <n v="6.6239999999999997"/>
    <n v="4.6929999999999996"/>
    <n v="3.5009999999999999"/>
    <n v="2.7669999999999999"/>
    <n v="3.6749999999999998"/>
    <n v="5.4539999999999997"/>
    <n v="6.7759999999999998"/>
    <n v="7.2350000000000003"/>
    <n v="8.6440000000000001"/>
    <n v="8.407"/>
    <n v="8.11"/>
    <n v="6.6760000000000002"/>
    <n v="5.7750000000000004"/>
    <n v="10.096"/>
    <n v="11.723000000000001"/>
    <n v="30.696999999999999"/>
    <n v="32.656999999999996"/>
    <n v="31.413"/>
    <n v="27.084"/>
    <n v="23.009"/>
    <n v="20.817"/>
    <n v="17.561"/>
    <n v="19.923999999999999"/>
    <n v="20.526"/>
    <n v="26.553000000000001"/>
    <n v="32.15"/>
    <n v="39.853999999999999"/>
    <n v="40.572000000000003"/>
    <n v="34.191000000000003"/>
    <n v="32.588000000000001"/>
    <n v="36.125"/>
    <n v="25.427"/>
    <n v="20.475999999999999"/>
    <n v="18.853999999999999"/>
    <n v="19.942"/>
    <n v="31.079000000000001"/>
    <n v="2868.67"/>
  </r>
  <r>
    <x v="3"/>
    <s v="PEST CONTROL"/>
    <s v="SC JOHNSON"/>
    <x v="1"/>
    <x v="4"/>
    <x v="2"/>
    <x v="0"/>
    <x v="4"/>
    <n v="2.4289749"/>
    <n v="2.2672381000000001"/>
    <n v="2.3733498000000002"/>
    <n v="2.087167"/>
    <n v="1.2624206"/>
    <n v="1.7457199000000001"/>
    <n v="2.0796505999999999"/>
    <n v="2.0026115"/>
    <n v="1.3525872999999999"/>
    <n v="0.84871509999999994"/>
    <n v="0.78836280000000003"/>
    <n v="0.75996260000000004"/>
    <n v="0.86145490000000002"/>
    <n v="0.82558500000000001"/>
    <n v="1.0593566000000001"/>
    <n v="1.2673356"/>
    <n v="1.9128342"/>
    <n v="1.9695179"/>
    <n v="1.8421097"/>
    <n v="1.760089"/>
    <n v="2.0191422999999999"/>
    <n v="2.2499658"/>
    <n v="2.5430149000000002"/>
    <n v="2.6286496000000001"/>
    <n v="2.7832849"/>
    <n v="2.8829045"/>
    <n v="3.2847341999999999"/>
    <n v="4.0854274999999998"/>
    <n v="4.8370232"/>
    <n v="5.6550054000000003"/>
    <n v="5.7495576000000002"/>
    <n v="5.8023141000000003"/>
    <n v="5.5232697000000002"/>
    <n v="4.7680531999999998"/>
    <n v="4.5472142"/>
    <n v="4.6482047"/>
    <n v="5.0354267999999998"/>
    <n v="31.079000000000001"/>
  </r>
  <r>
    <x v="3"/>
    <s v="PEST CONTROL"/>
    <s v="SC JOHNSON"/>
    <x v="1"/>
    <x v="4"/>
    <x v="2"/>
    <x v="0"/>
    <x v="5"/>
    <n v="0.47799999999999998"/>
    <n v="0.35099999999999998"/>
    <n v="0.376"/>
    <n v="0.20499999999999999"/>
    <n v="0.19600000000000001"/>
    <n v="0.24299999999999999"/>
    <n v="0.28999999999999998"/>
    <n v="0.27"/>
    <n v="0.25900000000000001"/>
    <n v="0.20399999999999999"/>
    <n v="0.20499999999999999"/>
    <n v="0.157"/>
    <n v="0.154"/>
    <n v="0.114"/>
    <n v="0.129"/>
    <n v="0.128"/>
    <n v="0.13600000000000001"/>
    <n v="9.7000000000000003E-2"/>
    <n v="0.111"/>
    <n v="0.155"/>
    <n v="0.27"/>
    <n v="0.35499999999999998"/>
    <n v="0.32800000000000001"/>
    <n v="0.22"/>
    <n v="0.307"/>
    <n v="0.251"/>
    <n v="0.39300000000000002"/>
    <n v="0.38200000000000001"/>
    <n v="0.38600000000000001"/>
    <n v="0.61299999999999999"/>
    <n v="0.33100000000000002"/>
    <n v="0.46800000000000003"/>
    <n v="0.45900000000000002"/>
    <n v="0.59499999999999997"/>
    <n v="0.55200000000000005"/>
    <n v="0.51800000000000002"/>
    <n v="0.55100000000000005"/>
    <n v="5.0354267999999998"/>
  </r>
  <r>
    <x v="3"/>
    <s v="PEST CONTROL"/>
    <s v="SC JOHNSON"/>
    <x v="1"/>
    <x v="4"/>
    <x v="3"/>
    <x v="0"/>
    <x v="0"/>
    <n v="660.79300000000001"/>
    <n v="491.78899999999999"/>
    <n v="755.5"/>
    <n v="573.65"/>
    <n v="853.72500000000002"/>
    <n v="950.84400000000005"/>
    <n v="1627.731"/>
    <n v="1784.2170000000001"/>
    <n v="1587.6690000000001"/>
    <n v="1324.1130000000001"/>
    <n v="1172.473"/>
    <n v="982.93700000000001"/>
    <n v="1453.931"/>
    <n v="2442.6689999999999"/>
    <n v="4357.1940000000004"/>
    <n v="7264.55"/>
    <n v="8814.0949999999993"/>
    <n v="7807.2979999999998"/>
    <n v="8938.8670000000002"/>
    <n v="5786.683"/>
    <n v="4674.0789999999997"/>
    <n v="2640.8870000000002"/>
    <n v="2222.1950000000002"/>
    <n v="2356.6469999999999"/>
    <n v="2454.335"/>
    <n v="4866.1639999999998"/>
    <n v="7588.7629999999999"/>
    <n v="13511.03"/>
    <n v="15657.442999999999"/>
    <n v="13875.88"/>
    <n v="13356.145"/>
    <n v="11222.365"/>
    <n v="7319.6049999999996"/>
    <n v="5286.5320000000002"/>
    <n v="4298.9880000000003"/>
    <n v="3107.9659999999999"/>
    <n v="3172.1979999999999"/>
    <n v="3172.1979999999999"/>
  </r>
  <r>
    <x v="3"/>
    <s v="PEST CONTROL"/>
    <s v="SC JOHNSON"/>
    <x v="1"/>
    <x v="4"/>
    <x v="3"/>
    <x v="0"/>
    <x v="1"/>
    <n v="140610.25599999999"/>
    <n v="110655.932"/>
    <n v="178658.10699999999"/>
    <n v="137143.04500000001"/>
    <n v="218007.31099999999"/>
    <n v="221527.05900000001"/>
    <n v="406140.71"/>
    <n v="440804.08299999998"/>
    <n v="375384.43300000002"/>
    <n v="327872.59399999998"/>
    <n v="292441.217"/>
    <n v="236215.27900000001"/>
    <n v="334615.25099999999"/>
    <n v="562602.81400000001"/>
    <n v="1008421.116"/>
    <n v="1710690.8359999999"/>
    <n v="2072620.375"/>
    <n v="1834167.183"/>
    <n v="2064818.7"/>
    <n v="1347446.97"/>
    <n v="1027702.371"/>
    <n v="624105.41899999999"/>
    <n v="535360.87800000003"/>
    <n v="575243.929"/>
    <n v="595967.53500000003"/>
    <n v="1269734.419"/>
    <n v="2027685.9809999999"/>
    <n v="3635715.5079999999"/>
    <n v="4316096.4800000004"/>
    <n v="3896673.03"/>
    <n v="3696083.17"/>
    <n v="3101018.65"/>
    <n v="2041651.193"/>
    <n v="1493615.6470000001"/>
    <n v="1201495.7339999999"/>
    <n v="878955.51699999999"/>
    <n v="945227.05299999996"/>
    <n v="945227.05299999996"/>
  </r>
  <r>
    <x v="3"/>
    <s v="PEST CONTROL"/>
    <s v="SC JOHNSON"/>
    <x v="1"/>
    <x v="4"/>
    <x v="3"/>
    <x v="0"/>
    <x v="2"/>
    <n v="0.35799999999999998"/>
    <n v="0.185"/>
    <n v="0.20300000000000001"/>
    <n v="0.11899999999999999"/>
    <n v="0.13200000000000001"/>
    <n v="0.15"/>
    <n v="0.28899999999999998"/>
    <n v="0.443"/>
    <n v="0.57399999999999995"/>
    <n v="0.73899999999999999"/>
    <n v="0.78100000000000003"/>
    <n v="0.68200000000000005"/>
    <n v="0.89400000000000002"/>
    <n v="1.1180000000000001"/>
    <n v="1.294"/>
    <n v="1.528"/>
    <n v="1.593"/>
    <n v="1.506"/>
    <n v="1.6539999999999999"/>
    <n v="1.4119999999999999"/>
    <n v="1.476"/>
    <n v="1.1240000000000001"/>
    <n v="1.1950000000000001"/>
    <n v="1.4139999999999999"/>
    <n v="1.387"/>
    <n v="2.0939999999999999"/>
    <n v="2.4420000000000002"/>
    <n v="2.91"/>
    <n v="2.6480000000000001"/>
    <n v="2.387"/>
    <n v="1.978"/>
    <n v="1.68"/>
    <n v="1.7"/>
    <n v="1.7190000000000001"/>
    <n v="1.881"/>
    <n v="1.9670000000000001"/>
    <n v="2.4220000000000002"/>
    <n v="0.35899999999999999"/>
  </r>
  <r>
    <x v="3"/>
    <s v="PEST CONTROL"/>
    <s v="SC JOHNSON"/>
    <x v="1"/>
    <x v="4"/>
    <x v="3"/>
    <x v="0"/>
    <x v="3"/>
    <n v="6.8639999999999999"/>
    <n v="4.5640000000000001"/>
    <n v="3.524"/>
    <n v="2.9350000000000001"/>
    <n v="2.742"/>
    <n v="3.1539999999999999"/>
    <n v="20.843"/>
    <n v="22.584"/>
    <n v="21.106999999999999"/>
    <n v="17.457999999999998"/>
    <n v="15.701000000000001"/>
    <n v="18.556999999999999"/>
    <n v="26.762"/>
    <n v="37.292000000000002"/>
    <n v="48.982999999999997"/>
    <n v="55.081000000000003"/>
    <n v="58.606999999999999"/>
    <n v="57.088000000000001"/>
    <n v="55.874000000000002"/>
    <n v="52.384999999999998"/>
    <n v="45.774999999999999"/>
    <n v="34.039000000000001"/>
    <n v="28.760999999999999"/>
    <n v="30.792000000000002"/>
    <n v="31.498999999999999"/>
    <n v="48.155000000000001"/>
    <n v="56.04"/>
    <n v="63.091999999999999"/>
    <n v="66.168000000000006"/>
    <n v="58.085999999999999"/>
    <n v="55.249000000000002"/>
    <n v="58.44"/>
    <n v="44.048000000000002"/>
    <n v="37.378999999999998"/>
    <n v="32.313000000000002"/>
    <n v="37.554000000000002"/>
    <n v="47.845999999999997"/>
    <n v="3963.3470000000002"/>
  </r>
  <r>
    <x v="3"/>
    <s v="PEST CONTROL"/>
    <s v="SC JOHNSON"/>
    <x v="1"/>
    <x v="4"/>
    <x v="3"/>
    <x v="0"/>
    <x v="4"/>
    <n v="1.7257241000000001"/>
    <n v="1.4186171000000001"/>
    <n v="1.4503009"/>
    <n v="1.4070910999999999"/>
    <n v="1.5158952000000001"/>
    <n v="1.3950477999999999"/>
    <n v="1.856989"/>
    <n v="2.0477042999999999"/>
    <n v="2.0600049999999999"/>
    <n v="2.2651496999999998"/>
    <n v="2.1965819999999998"/>
    <n v="2.2547356000000001"/>
    <n v="2.5083595000000001"/>
    <n v="3.2289952"/>
    <n v="4.3903695999999997"/>
    <n v="4.7716079000000002"/>
    <n v="6.1045002999999998"/>
    <n v="6.9121589999999999"/>
    <n v="7.7885293000000004"/>
    <n v="6.9043350999999999"/>
    <n v="7.0760699999999996"/>
    <n v="6.2306749000000003"/>
    <n v="5.4641544"/>
    <n v="5.7146485"/>
    <n v="6.2391489"/>
    <n v="7.0061540000000004"/>
    <n v="7.0814396999999998"/>
    <n v="6.8371955"/>
    <n v="7.2540822"/>
    <n v="7.0157229000000001"/>
    <n v="7.6422135999999998"/>
    <n v="8.1039007999999999"/>
    <n v="7.9152239"/>
    <n v="7.2339256000000001"/>
    <n v="7.1531669000000004"/>
    <n v="7.5405493999999997"/>
    <n v="7.3892037999999998"/>
    <n v="47.845999999999997"/>
  </r>
  <r>
    <x v="3"/>
    <s v="PEST CONTROL"/>
    <s v="SC JOHNSON"/>
    <x v="1"/>
    <x v="4"/>
    <x v="3"/>
    <x v="0"/>
    <x v="5"/>
    <n v="0.13400000000000001"/>
    <n v="0.112"/>
    <n v="8.5000000000000006E-2"/>
    <n v="0.09"/>
    <n v="0.11700000000000001"/>
    <n v="7.4999999999999997E-2"/>
    <n v="7.9000000000000001E-2"/>
    <n v="8.4000000000000005E-2"/>
    <n v="0.122"/>
    <n v="0.17299999999999999"/>
    <n v="0.16600000000000001"/>
    <n v="0.19"/>
    <n v="0.17799999999999999"/>
    <n v="0.308"/>
    <n v="0.45100000000000001"/>
    <n v="0.40699999999999997"/>
    <n v="0.498"/>
    <n v="0.52100000000000002"/>
    <n v="0.51900000000000002"/>
    <n v="0.48799999999999999"/>
    <n v="0.44500000000000001"/>
    <n v="0.46899999999999997"/>
    <n v="0.50600000000000001"/>
    <n v="0.56399999999999995"/>
    <n v="0.628"/>
    <n v="0.69"/>
    <n v="0.67500000000000004"/>
    <n v="0.51"/>
    <n v="0.63900000000000001"/>
    <n v="0.56699999999999995"/>
    <n v="0.76900000000000002"/>
    <n v="0.746"/>
    <n v="0.68899999999999995"/>
    <n v="0.68300000000000005"/>
    <n v="0.70799999999999996"/>
    <n v="0.82099999999999995"/>
    <n v="0.77300000000000002"/>
    <n v="7.3892037999999998"/>
  </r>
  <r>
    <x v="3"/>
    <s v="PEST CONTROL"/>
    <s v="SC JOHNSON"/>
    <x v="2"/>
    <x v="0"/>
    <x v="2"/>
    <x v="0"/>
    <x v="0"/>
    <n v="10714.985000000001"/>
    <n v="16573.511999999999"/>
    <n v="25489.243999999999"/>
    <n v="37747.264000000003"/>
    <n v="49224.347000000002"/>
    <n v="55553.512000000002"/>
    <n v="44817.008000000002"/>
    <n v="34883.067000000003"/>
    <n v="22483.387999999999"/>
    <n v="11554.232"/>
    <n v="10096.065000000001"/>
    <n v="11066.387000000001"/>
    <n v="11202.076999999999"/>
    <n v="23608.606"/>
    <n v="32062.46"/>
    <n v="38485.358"/>
    <n v="48418.472999999998"/>
    <n v="44480.930999999997"/>
    <n v="37972.962"/>
    <n v="26731.269"/>
    <n v="20484.763999999999"/>
    <n v="16707.673999999999"/>
    <n v="12937.379000000001"/>
    <n v="11074.833000000001"/>
    <n v="10348.694"/>
    <n v="14074.558999999999"/>
    <n v="19559.526999999998"/>
    <n v="28573.156999999999"/>
    <n v="39784.839"/>
    <n v="41563.563999999998"/>
    <n v="46204.516000000003"/>
    <n v="47662.885999999999"/>
    <n v="27136.835999999999"/>
    <n v="19860.077000000001"/>
    <n v="15359.357"/>
    <n v="10255.279"/>
    <n v="9121.0079999999998"/>
    <n v="9121.0079999999998"/>
  </r>
  <r>
    <x v="3"/>
    <s v="PEST CONTROL"/>
    <s v="SC JOHNSON"/>
    <x v="2"/>
    <x v="0"/>
    <x v="2"/>
    <x v="0"/>
    <x v="1"/>
    <n v="948753.18200000003"/>
    <n v="1461797.5279999999"/>
    <n v="2280268.8909999998"/>
    <n v="3449212.176"/>
    <n v="4417806.392"/>
    <n v="4899798.6670000004"/>
    <n v="4071111.9019999998"/>
    <n v="3114716.9640000002"/>
    <n v="2055713.129"/>
    <n v="1083658.642"/>
    <n v="939841.12699999998"/>
    <n v="1074484.9469999999"/>
    <n v="1080004.801"/>
    <n v="2195907.6800000002"/>
    <n v="3025982.7779999999"/>
    <n v="3664674.5"/>
    <n v="4650859.0659999996"/>
    <n v="4382112.97"/>
    <n v="3849902.9780000001"/>
    <n v="2828550.213"/>
    <n v="2160609.7850000001"/>
    <n v="1790803.8459999999"/>
    <n v="1397348.639"/>
    <n v="1196467.5319999999"/>
    <n v="1103208.943"/>
    <n v="1495346.2960000001"/>
    <n v="2102429.844"/>
    <n v="3101039.17"/>
    <n v="4252746.1849999996"/>
    <n v="4448105.6330000004"/>
    <n v="5017278.6670000004"/>
    <n v="5165592.5279999999"/>
    <n v="3057859.5279999999"/>
    <n v="2319940.73"/>
    <n v="1768179.558"/>
    <n v="1177854.9720000001"/>
    <n v="1052420.3089999999"/>
    <n v="1052420.3089999999"/>
  </r>
  <r>
    <x v="3"/>
    <s v="PEST CONTROL"/>
    <s v="SC JOHNSON"/>
    <x v="2"/>
    <x v="0"/>
    <x v="2"/>
    <x v="0"/>
    <x v="2"/>
    <n v="4.9429999999999996"/>
    <n v="5.282"/>
    <n v="5.782"/>
    <n v="6.5880000000000001"/>
    <n v="6.4429999999999996"/>
    <n v="7.3789999999999996"/>
    <n v="6.702"/>
    <n v="7.3"/>
    <n v="6.8540000000000001"/>
    <n v="5.4669999999999996"/>
    <n v="5.6820000000000004"/>
    <n v="6.4489999999999998"/>
    <n v="5.7610000000000001"/>
    <n v="9.0440000000000005"/>
    <n v="7.97"/>
    <n v="6.7960000000000003"/>
    <n v="7.3440000000000003"/>
    <n v="7.2169999999999996"/>
    <n v="5.8949999999999996"/>
    <n v="5.4649999999999999"/>
    <n v="5.4249999999999998"/>
    <n v="5.9960000000000004"/>
    <n v="5.8470000000000004"/>
    <n v="5.5659999999999998"/>
    <n v="4.9080000000000004"/>
    <n v="5.0060000000000002"/>
    <n v="5.1769999999999996"/>
    <n v="5.056"/>
    <n v="5.5110000000000001"/>
    <n v="5.84"/>
    <n v="5.5979999999999999"/>
    <n v="5.8689999999999998"/>
    <n v="5.2009999999999996"/>
    <n v="5.3369999999999997"/>
    <n v="5.5570000000000004"/>
    <n v="5.3259999999999996"/>
    <n v="5.7149999999999999"/>
    <n v="1.034"/>
  </r>
  <r>
    <x v="3"/>
    <s v="PEST CONTROL"/>
    <s v="SC JOHNSON"/>
    <x v="2"/>
    <x v="0"/>
    <x v="2"/>
    <x v="0"/>
    <x v="3"/>
    <n v="56.908000000000001"/>
    <n v="66.441999999999993"/>
    <n v="74.415999999999997"/>
    <n v="75.328999999999994"/>
    <n v="76.495000000000005"/>
    <n v="74.481999999999999"/>
    <n v="74.587999999999994"/>
    <n v="71.459000000000003"/>
    <n v="66.373999999999995"/>
    <n v="58.517000000000003"/>
    <n v="58.814"/>
    <n v="60.198999999999998"/>
    <n v="64.176000000000002"/>
    <n v="70.429000000000002"/>
    <n v="73.144999999999996"/>
    <n v="75.185000000000002"/>
    <n v="75.004999999999995"/>
    <n v="75.837999999999994"/>
    <n v="73.051000000000002"/>
    <n v="63.746000000000002"/>
    <n v="60.091999999999999"/>
    <n v="56.401000000000003"/>
    <n v="55.22"/>
    <n v="57.02"/>
    <n v="54.828000000000003"/>
    <n v="58.390999999999998"/>
    <n v="58.203000000000003"/>
    <n v="60.631"/>
    <n v="58.686999999999998"/>
    <n v="54.652000000000001"/>
    <n v="53.335000000000001"/>
    <n v="53.616999999999997"/>
    <n v="47.787999999999997"/>
    <n v="48.438000000000002"/>
    <n v="45.601999999999997"/>
    <n v="46"/>
    <n v="50.798000000000002"/>
    <n v="16984.202000000001"/>
  </r>
  <r>
    <x v="3"/>
    <s v="PEST CONTROL"/>
    <s v="SC JOHNSON"/>
    <x v="2"/>
    <x v="0"/>
    <x v="2"/>
    <x v="0"/>
    <x v="4"/>
    <n v="22.138224699999999"/>
    <n v="23.6719705"/>
    <n v="26.778611600000001"/>
    <n v="27.7984343"/>
    <n v="29.143628499999998"/>
    <n v="29.073602300000001"/>
    <n v="28.008404500000001"/>
    <n v="25.5602163"/>
    <n v="23.188916599999999"/>
    <n v="22.331811200000001"/>
    <n v="21.650178799999999"/>
    <n v="21.641512200000001"/>
    <n v="21.624146"/>
    <n v="23.690745100000001"/>
    <n v="23.9024368"/>
    <n v="25.408711700000001"/>
    <n v="25.8637713"/>
    <n v="25.9524872"/>
    <n v="26.2084802"/>
    <n v="24.043805899999999"/>
    <n v="23.071971399999999"/>
    <n v="21.787771500000002"/>
    <n v="21.382295299999999"/>
    <n v="21.665581299999999"/>
    <n v="21.398858100000002"/>
    <n v="21.7046457"/>
    <n v="21.599543799999999"/>
    <n v="22.680476299999999"/>
    <n v="22.9277771"/>
    <n v="23.548880199999999"/>
    <n v="24.660663799999998"/>
    <n v="22.486377600000001"/>
    <n v="20.698788700000001"/>
    <n v="20.294988100000001"/>
    <n v="19.434290300000001"/>
    <n v="17.883923599999999"/>
    <n v="17.963595000000002"/>
    <n v="50.798000000000002"/>
  </r>
  <r>
    <x v="3"/>
    <s v="PEST CONTROL"/>
    <s v="SC JOHNSON"/>
    <x v="2"/>
    <x v="0"/>
    <x v="2"/>
    <x v="0"/>
    <x v="5"/>
    <n v="3.6659999999999999"/>
    <n v="3.84"/>
    <n v="4.6909999999999998"/>
    <n v="4.9000000000000004"/>
    <n v="4.3659999999999997"/>
    <n v="4.53"/>
    <n v="3.7010000000000001"/>
    <n v="3.7930000000000001"/>
    <n v="3.75"/>
    <n v="3.8889999999999998"/>
    <n v="3.7519999999999998"/>
    <n v="3.492"/>
    <n v="3.3889999999999998"/>
    <n v="3.4129999999999998"/>
    <n v="4.2130000000000001"/>
    <n v="4.718"/>
    <n v="4.8550000000000004"/>
    <n v="3.7450000000000001"/>
    <n v="3.3370000000000002"/>
    <n v="3.49"/>
    <n v="3.39"/>
    <n v="3.3039999999999998"/>
    <n v="3.1459999999999999"/>
    <n v="3.0979999999999999"/>
    <n v="2.9169999999999998"/>
    <n v="2.9220000000000002"/>
    <n v="3.4239999999999999"/>
    <n v="3.6709999999999998"/>
    <n v="3.8879999999999999"/>
    <n v="3.9780000000000002"/>
    <n v="4.0510000000000002"/>
    <n v="4.0880000000000001"/>
    <n v="3.1549999999999998"/>
    <n v="3.262"/>
    <n v="3.7429999999999999"/>
    <n v="3.4220000000000002"/>
    <n v="3.2829999999999999"/>
    <n v="17.963595000000002"/>
  </r>
  <r>
    <x v="3"/>
    <s v="PEST CONTROL"/>
    <s v="SC JOHNSON"/>
    <x v="2"/>
    <x v="0"/>
    <x v="0"/>
    <x v="0"/>
    <x v="0"/>
    <n v="11780.221"/>
    <n v="21558.383999999998"/>
    <n v="37202.614000000001"/>
    <n v="39489.970999999998"/>
    <n v="58006.743999999999"/>
    <n v="54221.161999999997"/>
    <n v="49861.057000000001"/>
    <n v="39232.921999999999"/>
    <n v="25343.054"/>
    <n v="13744.692999999999"/>
    <n v="11446.616"/>
    <n v="11371.496999999999"/>
    <n v="13906.094999999999"/>
    <n v="18097.663"/>
    <n v="28629.807000000001"/>
    <n v="36792.506999999998"/>
    <n v="43697.372000000003"/>
    <n v="39844.94"/>
    <n v="40951.828999999998"/>
    <n v="33019.317999999999"/>
    <n v="27884.027999999998"/>
    <n v="18344.871999999999"/>
    <n v="13000.393"/>
    <n v="12388.645"/>
    <n v="14181.882"/>
    <n v="21793.83"/>
    <n v="27459.169000000002"/>
    <n v="39565.847999999998"/>
    <n v="47460.447"/>
    <n v="46183.415999999997"/>
    <n v="51144.101999999999"/>
    <n v="51409.582999999999"/>
    <n v="32827.887000000002"/>
    <n v="24581.058000000001"/>
    <n v="15522.973"/>
    <n v="11238.861000000001"/>
    <n v="7807.13"/>
    <n v="9021.1270000000004"/>
  </r>
  <r>
    <x v="3"/>
    <s v="PEST CONTROL"/>
    <s v="SC JOHNSON"/>
    <x v="2"/>
    <x v="0"/>
    <x v="0"/>
    <x v="0"/>
    <x v="1"/>
    <n v="1544428.5149999999"/>
    <n v="2788669.199"/>
    <n v="4575225.216"/>
    <n v="4980790.4380000001"/>
    <n v="7059250.1069999998"/>
    <n v="6795998.8629999999"/>
    <n v="6430426.7319999998"/>
    <n v="5142947.4460000005"/>
    <n v="3345380.4759999998"/>
    <n v="1845753.4790000001"/>
    <n v="1519252.0190000001"/>
    <n v="1540085.808"/>
    <n v="1877958.054"/>
    <n v="2592638.068"/>
    <n v="4364788.0650000004"/>
    <n v="5809580.6679999996"/>
    <n v="7006944.1040000003"/>
    <n v="6392668.3600000003"/>
    <n v="6619522.9979999997"/>
    <n v="5228535.4989999998"/>
    <n v="4264709.0489999996"/>
    <n v="2833696.83"/>
    <n v="1975641.993"/>
    <n v="1894666.936"/>
    <n v="2267489.3450000002"/>
    <n v="3643924.5819999999"/>
    <n v="4807605.6519999998"/>
    <n v="7072279.574"/>
    <n v="8658306.6659999993"/>
    <n v="8355877.6320000002"/>
    <n v="9215584.1260000002"/>
    <n v="9196268.7609999999"/>
    <n v="5701526.4989999998"/>
    <n v="3898391.4180000001"/>
    <n v="2468985.0520000001"/>
    <n v="1825115.9310000001"/>
    <n v="1372396.567"/>
    <n v="1372396.567"/>
  </r>
  <r>
    <x v="3"/>
    <s v="PEST CONTROL"/>
    <s v="SC JOHNSON"/>
    <x v="2"/>
    <x v="0"/>
    <x v="0"/>
    <x v="0"/>
    <x v="2"/>
    <n v="6.3639999999999999"/>
    <n v="8.1140000000000008"/>
    <n v="10.015000000000001"/>
    <n v="8.173"/>
    <n v="9.0050000000000008"/>
    <n v="8.5670000000000002"/>
    <n v="8.8569999999999993"/>
    <n v="9.734"/>
    <n v="9.1669999999999998"/>
    <n v="7.6769999999999996"/>
    <n v="7.6470000000000002"/>
    <n v="7.9029999999999996"/>
    <n v="8.5609999999999999"/>
    <n v="8.282"/>
    <n v="8.4849999999999994"/>
    <n v="7.7409999999999997"/>
    <n v="7.8959999999999999"/>
    <n v="7.6790000000000003"/>
    <n v="7.5590000000000002"/>
    <n v="8.0540000000000003"/>
    <n v="8.8059999999999992"/>
    <n v="7.81"/>
    <n v="6.9820000000000002"/>
    <n v="7.3150000000000004"/>
    <n v="7.7839999999999998"/>
    <n v="9.0969999999999995"/>
    <n v="8.5969999999999995"/>
    <n v="8.218"/>
    <n v="7.7220000000000004"/>
    <n v="7.6879999999999997"/>
    <n v="7.3730000000000002"/>
    <n v="7.5350000000000001"/>
    <n v="7.4329999999999998"/>
    <n v="7.7960000000000003"/>
    <n v="6.56"/>
    <n v="6.7880000000000003"/>
    <n v="5.806"/>
    <n v="1.022"/>
  </r>
  <r>
    <x v="3"/>
    <s v="PEST CONTROL"/>
    <s v="SC JOHNSON"/>
    <x v="2"/>
    <x v="0"/>
    <x v="0"/>
    <x v="0"/>
    <x v="3"/>
    <n v="69.856999999999999"/>
    <n v="78.887"/>
    <n v="83.266000000000005"/>
    <n v="81.772999999999996"/>
    <n v="83.84"/>
    <n v="82.055000000000007"/>
    <n v="79.960999999999999"/>
    <n v="77.757999999999996"/>
    <n v="74.536000000000001"/>
    <n v="67.417000000000002"/>
    <n v="64.212999999999994"/>
    <n v="66.147999999999996"/>
    <n v="71.786000000000001"/>
    <n v="76.355999999999995"/>
    <n v="81.242000000000004"/>
    <n v="83.007000000000005"/>
    <n v="83.534999999999997"/>
    <n v="82.307000000000002"/>
    <n v="80.974000000000004"/>
    <n v="78.534000000000006"/>
    <n v="77.864000000000004"/>
    <n v="75.433999999999997"/>
    <n v="71.715999999999994"/>
    <n v="71.968999999999994"/>
    <n v="73.606999999999999"/>
    <n v="78.858000000000004"/>
    <n v="81.259"/>
    <n v="82.653999999999996"/>
    <n v="82.95"/>
    <n v="80.206000000000003"/>
    <n v="78.658000000000001"/>
    <n v="79.251000000000005"/>
    <n v="69.819000000000003"/>
    <n v="64.171000000000006"/>
    <n v="60.014000000000003"/>
    <n v="60.091000000000001"/>
    <n v="63.567999999999998"/>
    <n v="19462.831999999999"/>
  </r>
  <r>
    <x v="3"/>
    <s v="PEST CONTROL"/>
    <s v="SC JOHNSON"/>
    <x v="2"/>
    <x v="0"/>
    <x v="0"/>
    <x v="0"/>
    <x v="4"/>
    <n v="23.573515700000002"/>
    <n v="26.7409429"/>
    <n v="28.711675100000001"/>
    <n v="28.638892299999998"/>
    <n v="28.957225099999999"/>
    <n v="28.451205300000002"/>
    <n v="28.366096500000001"/>
    <n v="27.5431779"/>
    <n v="26.6742135"/>
    <n v="25.3672191"/>
    <n v="25.253007"/>
    <n v="25.625689000000001"/>
    <n v="26.3812909"/>
    <n v="24.780526099999999"/>
    <n v="26.0406087"/>
    <n v="27.0948104"/>
    <n v="27.351381700000001"/>
    <n v="26.2949871"/>
    <n v="25.903345600000002"/>
    <n v="25.808224599999999"/>
    <n v="26.6976838"/>
    <n v="25.218508799999999"/>
    <n v="23.131399699999999"/>
    <n v="23.4593068"/>
    <n v="23.747671"/>
    <n v="25.245832400000001"/>
    <n v="28.024828899999999"/>
    <n v="27.780968300000001"/>
    <n v="28.749864599999999"/>
    <n v="29.019822300000001"/>
    <n v="29.797609900000001"/>
    <n v="28.930627900000001"/>
    <n v="27.153945100000001"/>
    <n v="25.384573700000001"/>
    <n v="24.167292799999998"/>
    <n v="23.8144165"/>
    <n v="23.652948800000001"/>
    <n v="63.567999999999998"/>
  </r>
  <r>
    <x v="3"/>
    <s v="PEST CONTROL"/>
    <s v="SC JOHNSON"/>
    <x v="2"/>
    <x v="0"/>
    <x v="0"/>
    <x v="0"/>
    <x v="5"/>
    <n v="3.2909999999999999"/>
    <n v="3.9510000000000001"/>
    <n v="4.1219999999999999"/>
    <n v="4.9509999999999996"/>
    <n v="4.5549999999999997"/>
    <n v="4.1669999999999998"/>
    <n v="3.89"/>
    <n v="3.798"/>
    <n v="3.6579999999999999"/>
    <n v="3.7160000000000002"/>
    <n v="3.59"/>
    <n v="3.8079999999999998"/>
    <n v="3.726"/>
    <n v="3.4910000000000001"/>
    <n v="4.1859999999999999"/>
    <n v="4.3280000000000003"/>
    <n v="4.4480000000000004"/>
    <n v="4.25"/>
    <n v="4.3449999999999998"/>
    <n v="4.2939999999999996"/>
    <n v="4.1210000000000004"/>
    <n v="4.093"/>
    <n v="4.1989999999999998"/>
    <n v="4.4450000000000003"/>
    <n v="4.0270000000000001"/>
    <n v="4.3019999999999996"/>
    <n v="4.2770000000000001"/>
    <n v="3.9830000000000001"/>
    <n v="3.7570000000000001"/>
    <n v="3.9359999999999999"/>
    <n v="3.9430000000000001"/>
    <n v="3.5819999999999999"/>
    <n v="3.4340000000000002"/>
    <n v="3.351"/>
    <n v="3.4470000000000001"/>
    <n v="3.4329999999999998"/>
    <n v="3.4630000000000001"/>
    <n v="23.652948800000001"/>
  </r>
  <r>
    <x v="3"/>
    <s v="PEST CONTROL"/>
    <s v="SC JOHNSON"/>
    <x v="2"/>
    <x v="0"/>
    <x v="3"/>
    <x v="0"/>
    <x v="0"/>
    <n v="28793.760999999999"/>
    <n v="48106.235999999997"/>
    <n v="69596.585999999996"/>
    <n v="90321.225999999995"/>
    <n v="123520.524"/>
    <n v="115447.41499999999"/>
    <n v="104878.299"/>
    <n v="72571.131999999998"/>
    <n v="45385.178999999996"/>
    <n v="27839.326000000001"/>
    <n v="22130.66"/>
    <n v="20927.304"/>
    <n v="24535.046999999999"/>
    <n v="37036.034"/>
    <n v="64188.326000000001"/>
    <n v="92652.62"/>
    <n v="111987.58900000001"/>
    <n v="98213.98"/>
    <n v="105571.519"/>
    <n v="80985.879000000001"/>
    <n v="62736.061999999998"/>
    <n v="41155.830999999998"/>
    <n v="30106.483"/>
    <n v="26765.195"/>
    <n v="26919.368999999999"/>
    <n v="40337.402000000002"/>
    <n v="55399.756999999998"/>
    <n v="93397.385999999999"/>
    <n v="113558.09"/>
    <n v="106295.28200000001"/>
    <n v="120691.674"/>
    <n v="115672.264"/>
    <n v="72756.021999999997"/>
    <n v="43678.462"/>
    <n v="30935.289000000001"/>
    <n v="19101.805"/>
    <n v="18065.473000000002"/>
    <n v="19877.332999999999"/>
  </r>
  <r>
    <x v="3"/>
    <s v="PEST CONTROL"/>
    <s v="SC JOHNSON"/>
    <x v="2"/>
    <x v="0"/>
    <x v="3"/>
    <x v="0"/>
    <x v="1"/>
    <n v="5967736.3990000002"/>
    <n v="10259410.861"/>
    <n v="15192299.450999999"/>
    <n v="19555002.761"/>
    <n v="26830410.081999999"/>
    <n v="24854982.627999999"/>
    <n v="22634851.679000001"/>
    <n v="15664316.591"/>
    <n v="9760101.4800000004"/>
    <n v="5881135.8229999999"/>
    <n v="4679953.8099999996"/>
    <n v="4513696.9910000004"/>
    <n v="5443681.8959999997"/>
    <n v="8326861.3810000001"/>
    <n v="15054485.139"/>
    <n v="21608311.346999999"/>
    <n v="26735988.699000001"/>
    <n v="23282207.539999999"/>
    <n v="25071943.976"/>
    <n v="19482188.390999999"/>
    <n v="14965307.536"/>
    <n v="9754708.0460000001"/>
    <n v="6975910.0530000003"/>
    <n v="6213099.9479999999"/>
    <n v="6468949.8590000002"/>
    <n v="10107756.426999999"/>
    <n v="14261253.607000001"/>
    <n v="24678261.028000001"/>
    <n v="30736886.061000001"/>
    <n v="28721066.377"/>
    <n v="32181197.546999998"/>
    <n v="31100254.671"/>
    <n v="19373287.688999999"/>
    <n v="11120230.879000001"/>
    <n v="7694005.6780000003"/>
    <n v="4807527.2960000001"/>
    <n v="4788290.3090000004"/>
    <n v="4788290.3090000004"/>
  </r>
  <r>
    <x v="3"/>
    <s v="PEST CONTROL"/>
    <s v="SC JOHNSON"/>
    <x v="2"/>
    <x v="0"/>
    <x v="3"/>
    <x v="0"/>
    <x v="2"/>
    <n v="16.498000000000001"/>
    <n v="19.338999999999999"/>
    <n v="20.097999999999999"/>
    <n v="20.143000000000001"/>
    <n v="20.710999999999999"/>
    <n v="19.728000000000002"/>
    <n v="20.123999999999999"/>
    <n v="19.433"/>
    <n v="17.513999999999999"/>
    <n v="16.463000000000001"/>
    <n v="15.689"/>
    <n v="15.454000000000001"/>
    <n v="16.233000000000001"/>
    <n v="18.100000000000001"/>
    <n v="20.611999999999998"/>
    <n v="21.155999999999999"/>
    <n v="21.94"/>
    <n v="20.472000000000001"/>
    <n v="21.062999999999999"/>
    <n v="21.277000000000001"/>
    <n v="21.259"/>
    <n v="18.698"/>
    <n v="17.206"/>
    <n v="17.079000000000001"/>
    <n v="16.228000000000002"/>
    <n v="18.271000000000001"/>
    <n v="18.727"/>
    <n v="21.222000000000001"/>
    <n v="20.122"/>
    <n v="19.175999999999998"/>
    <n v="18.747"/>
    <n v="18.225000000000001"/>
    <n v="17.747"/>
    <n v="14.772"/>
    <n v="13.975"/>
    <n v="12.478999999999999"/>
    <n v="14.393000000000001"/>
    <n v="2.2530000000000001"/>
  </r>
  <r>
    <x v="3"/>
    <s v="PEST CONTROL"/>
    <s v="SC JOHNSON"/>
    <x v="2"/>
    <x v="0"/>
    <x v="3"/>
    <x v="0"/>
    <x v="3"/>
    <n v="79.179000000000002"/>
    <n v="84.971000000000004"/>
    <n v="88.927999999999997"/>
    <n v="88.855000000000004"/>
    <n v="90.311000000000007"/>
    <n v="88.706000000000003"/>
    <n v="87.777000000000001"/>
    <n v="85.34"/>
    <n v="83.325999999999993"/>
    <n v="78.370999999999995"/>
    <n v="77.790000000000006"/>
    <n v="80.070999999999998"/>
    <n v="80.176000000000002"/>
    <n v="83.378"/>
    <n v="88.057000000000002"/>
    <n v="89.840999999999994"/>
    <n v="89.781000000000006"/>
    <n v="88.766000000000005"/>
    <n v="88.691000000000003"/>
    <n v="87.738"/>
    <n v="85.619"/>
    <n v="82.8"/>
    <n v="80.483999999999995"/>
    <n v="80.477000000000004"/>
    <n v="80.462000000000003"/>
    <n v="84.156000000000006"/>
    <n v="86.983999999999995"/>
    <n v="89.802999999999997"/>
    <n v="91.397999999999996"/>
    <n v="89.546999999999997"/>
    <n v="89.616"/>
    <n v="90.328999999999994"/>
    <n v="85.13"/>
    <n v="79.337000000000003"/>
    <n v="75.736000000000004"/>
    <n v="74.629000000000005"/>
    <n v="80.766000000000005"/>
    <n v="41650.218999999997"/>
  </r>
  <r>
    <x v="3"/>
    <s v="PEST CONTROL"/>
    <s v="SC JOHNSON"/>
    <x v="2"/>
    <x v="0"/>
    <x v="3"/>
    <x v="0"/>
    <x v="4"/>
    <n v="31.472376300000001"/>
    <n v="32.987044400000002"/>
    <n v="34.477354900000002"/>
    <n v="34.506071599999999"/>
    <n v="34.658749399999998"/>
    <n v="33.692241000000003"/>
    <n v="35.070566599999999"/>
    <n v="33.3919687"/>
    <n v="32.678365200000002"/>
    <n v="31.819846699999999"/>
    <n v="30.978817500000002"/>
    <n v="31.6707699"/>
    <n v="31.470057099999998"/>
    <n v="31.142633700000001"/>
    <n v="33.780383899999997"/>
    <n v="35.775410899999997"/>
    <n v="38.001870199999999"/>
    <n v="35.802615799999998"/>
    <n v="35.633420999999998"/>
    <n v="36.205873500000003"/>
    <n v="35.214289800000003"/>
    <n v="34.489779800000001"/>
    <n v="32.266060899999999"/>
    <n v="31.754609299999998"/>
    <n v="33.174473900000002"/>
    <n v="35.2880094"/>
    <n v="36.968099700000003"/>
    <n v="38.623974400000002"/>
    <n v="39.471034099999997"/>
    <n v="39.104996800000002"/>
    <n v="38.631753699999997"/>
    <n v="37.275074199999999"/>
    <n v="37.2525531"/>
    <n v="36.541435"/>
    <n v="34.375672999999999"/>
    <n v="33.0060942"/>
    <n v="32.322764399999997"/>
    <n v="80.766000000000005"/>
  </r>
  <r>
    <x v="3"/>
    <s v="PEST CONTROL"/>
    <s v="SC JOHNSON"/>
    <x v="2"/>
    <x v="0"/>
    <x v="3"/>
    <x v="0"/>
    <x v="5"/>
    <n v="7.5910000000000002"/>
    <n v="8.6660000000000004"/>
    <n v="7.9770000000000003"/>
    <n v="8.577"/>
    <n v="8.2550000000000008"/>
    <n v="7.8120000000000003"/>
    <n v="8.3610000000000007"/>
    <n v="7.8179999999999996"/>
    <n v="7.6660000000000004"/>
    <n v="7.9450000000000003"/>
    <n v="7.8529999999999998"/>
    <n v="7.601"/>
    <n v="8.4920000000000009"/>
    <n v="9.016"/>
    <n v="8.9550000000000001"/>
    <n v="9.1649999999999991"/>
    <n v="8.2840000000000007"/>
    <n v="8.0510000000000002"/>
    <n v="7.74"/>
    <n v="7.8979999999999997"/>
    <n v="7.2389999999999999"/>
    <n v="7.024"/>
    <n v="7.4530000000000003"/>
    <n v="7.45"/>
    <n v="7.3920000000000003"/>
    <n v="8.7249999999999996"/>
    <n v="9.3629999999999995"/>
    <n v="8.6530000000000005"/>
    <n v="9.0269999999999992"/>
    <n v="8.1310000000000002"/>
    <n v="8.2390000000000008"/>
    <n v="7.6109999999999998"/>
    <n v="7.6260000000000003"/>
    <n v="7.3470000000000004"/>
    <n v="7.0330000000000004"/>
    <n v="7.5119999999999996"/>
    <n v="7.335"/>
    <n v="32.322764399999997"/>
  </r>
  <r>
    <x v="3"/>
    <s v="PEST CONTROL"/>
    <s v="SC JOHNSON"/>
    <x v="2"/>
    <x v="0"/>
    <x v="3"/>
    <x v="6"/>
    <x v="0"/>
    <n v="56.225999999999999"/>
    <n v="49.198999999999998"/>
    <n v="144.89400000000001"/>
    <n v="397.81"/>
    <n v="483.63"/>
    <n v="173.339"/>
    <n v="940.87"/>
    <n v="1086.643"/>
    <n v="685.30499999999995"/>
    <n v="450.33300000000003"/>
    <n v="406.11200000000002"/>
    <n v="316.21100000000001"/>
    <n v="545.25"/>
    <n v="84.046999999999997"/>
    <n v="187.06800000000001"/>
    <n v="248.57400000000001"/>
    <n v="125.242"/>
    <n v="105.30800000000001"/>
    <n v="234.249"/>
    <n v="219.90299999999999"/>
    <n v="93.596000000000004"/>
    <n v="10.88"/>
    <n v="6.1840000000000002"/>
    <n v="5.742"/>
    <n v="29.928999999999998"/>
    <n v="69.552000000000007"/>
    <n v="17.355"/>
    <n v="49.780999999999999"/>
    <n v="0"/>
    <n v="74.38"/>
    <n v="539.875"/>
    <n v="317.197"/>
    <n v="65.552000000000007"/>
    <n v="215.30600000000001"/>
    <n v="310.04500000000002"/>
    <n v="365.78899999999999"/>
    <n v="166.316"/>
    <n v="1995.797"/>
  </r>
  <r>
    <x v="3"/>
    <s v="PEST CONTROL"/>
    <s v="SC JOHNSON"/>
    <x v="2"/>
    <x v="0"/>
    <x v="3"/>
    <x v="6"/>
    <x v="1"/>
    <n v="2314.732"/>
    <n v="2410.5079999999998"/>
    <n v="5982.0820000000003"/>
    <n v="17868.72"/>
    <n v="13667.550999999999"/>
    <n v="11194.547"/>
    <n v="81180.047999999995"/>
    <n v="93717.471000000005"/>
    <n v="61240.027999999998"/>
    <n v="48952.411"/>
    <n v="42327.629000000001"/>
    <n v="36072.932999999997"/>
    <n v="32595.152999999998"/>
    <n v="3229.7950000000001"/>
    <n v="7279.3879999999999"/>
    <n v="9391.6119999999992"/>
    <n v="4981.9520000000002"/>
    <n v="4614.2870000000003"/>
    <n v="15559.907999999999"/>
    <n v="12916.823"/>
    <n v="6222.1809999999996"/>
    <n v="1229.4190000000001"/>
    <n v="698.76700000000005"/>
    <n v="648.85599999999999"/>
    <n v="1552.1279999999999"/>
    <n v="2962.2629999999999"/>
    <n v="694.18100000000004"/>
    <n v="1991.2560000000001"/>
    <n v="0"/>
    <n v="2082.6489999999999"/>
    <n v="18862.219000000001"/>
    <n v="10263.441000000001"/>
    <n v="2294.375"/>
    <n v="8273.2649999999994"/>
    <n v="8681.2669999999998"/>
    <n v="10630.245999999999"/>
    <n v="5921.3720000000003"/>
    <n v="5921.3720000000003"/>
  </r>
  <r>
    <x v="3"/>
    <s v="PEST CONTROL"/>
    <s v="SC JOHNSON"/>
    <x v="2"/>
    <x v="0"/>
    <x v="3"/>
    <x v="6"/>
    <x v="2"/>
    <n v="1E-3"/>
    <n v="1E-3"/>
    <n v="1E-3"/>
    <n v="6.0000000000000001E-3"/>
    <n v="3.0000000000000001E-3"/>
    <n v="4.0000000000000001E-3"/>
    <n v="6.0000000000000001E-3"/>
    <n v="8.9999999999999993E-3"/>
    <n v="8.0000000000000002E-3"/>
    <n v="8.0000000000000002E-3"/>
    <n v="8.9999999999999993E-3"/>
    <n v="7.0000000000000001E-3"/>
    <n v="1.0999999999999999E-2"/>
    <n v="1E-3"/>
    <n v="2E-3"/>
    <n v="2E-3"/>
    <n v="1E-3"/>
    <n v="1E-3"/>
    <n v="1E-3"/>
    <n v="2E-3"/>
    <n v="1E-3"/>
    <n v="0"/>
    <n v="0"/>
    <n v="0"/>
    <n v="1E-3"/>
    <n v="1E-3"/>
    <n v="0"/>
    <n v="0"/>
    <n v="0"/>
    <n v="0"/>
    <n v="3.0000000000000001E-3"/>
    <n v="2E-3"/>
    <n v="0"/>
    <n v="2E-3"/>
    <n v="4.0000000000000001E-3"/>
    <n v="7.0000000000000001E-3"/>
    <n v="4.0000000000000001E-3"/>
    <n v="0.22600000000000001"/>
  </r>
  <r>
    <x v="3"/>
    <s v="PEST CONTROL"/>
    <s v="SC JOHNSON"/>
    <x v="2"/>
    <x v="0"/>
    <x v="3"/>
    <x v="6"/>
    <x v="3"/>
    <n v="2.8119999999999998"/>
    <n v="3.6669999999999998"/>
    <n v="4.0199999999999996"/>
    <n v="3.1080000000000001"/>
    <n v="4"/>
    <n v="2.2599999999999998"/>
    <n v="2.851"/>
    <n v="2.61"/>
    <n v="3.6160000000000001"/>
    <n v="3.2040000000000002"/>
    <n v="3.6160000000000001"/>
    <n v="3.137"/>
    <n v="2.1949999999999998"/>
    <n v="0.877"/>
    <n v="1.65"/>
    <n v="0.77300000000000002"/>
    <n v="1.2689999999999999"/>
    <n v="1.0329999999999999"/>
    <n v="1.2070000000000001"/>
    <n v="1.196"/>
    <n v="0.49199999999999999"/>
    <n v="0.153"/>
    <n v="0.29599999999999999"/>
    <n v="0.55400000000000005"/>
    <n v="0.68700000000000006"/>
    <n v="0.69099999999999995"/>
    <n v="0.41499999999999998"/>
    <n v="0.434"/>
    <n v="0.29599999999999999"/>
    <n v="0.3"/>
    <n v="0.38400000000000001"/>
    <n v="0.33"/>
    <n v="0.39500000000000002"/>
    <n v="0.63800000000000001"/>
    <n v="0.77900000000000003"/>
    <n v="1.381"/>
    <n v="1.1140000000000001"/>
    <n v="7632.1509999999998"/>
  </r>
  <r>
    <x v="3"/>
    <s v="PEST CONTROL"/>
    <s v="SC JOHNSON"/>
    <x v="2"/>
    <x v="0"/>
    <x v="3"/>
    <x v="6"/>
    <x v="4"/>
    <n v="0.53842540000000005"/>
    <n v="0.54310590000000003"/>
    <n v="0.54264310000000004"/>
    <n v="0.69413720000000001"/>
    <n v="0.72783169999999997"/>
    <n v="0.90740129999999997"/>
    <n v="1.1211709999999999"/>
    <n v="1.1679609"/>
    <n v="1.2646902"/>
    <n v="1.062867"/>
    <n v="1.090562"/>
    <n v="1.0903328999999999"/>
    <n v="0.9786726"/>
    <n v="0.67207340000000004"/>
    <n v="0.87024369999999995"/>
    <n v="0.86255029999999999"/>
    <n v="0.38253569999999998"/>
    <n v="0.2400669"/>
    <n v="0.87175619999999998"/>
    <n v="0.82407560000000002"/>
    <n v="0.76237339999999998"/>
    <n v="0.6199848"/>
    <n v="0.62545550000000005"/>
    <n v="0.65072739999999996"/>
    <n v="0.65073590000000003"/>
    <n v="0.66220920000000005"/>
    <n v="0.59582380000000001"/>
    <n v="0.44052629999999998"/>
    <n v="0.41231210000000001"/>
    <n v="0.4394113"/>
    <n v="0.43631500000000001"/>
    <n v="0.43634650000000003"/>
    <n v="0.1664889"/>
    <n v="0.17586660000000001"/>
    <n v="0.18428059999999999"/>
    <n v="0.1899294"/>
    <n v="0.37646619999999997"/>
    <n v="1.1140000000000001"/>
  </r>
  <r>
    <x v="3"/>
    <s v="PEST CONTROL"/>
    <s v="SC JOHNSON"/>
    <x v="2"/>
    <x v="0"/>
    <x v="3"/>
    <x v="6"/>
    <x v="5"/>
    <n v="9.2999999999999999E-2"/>
    <n v="0.08"/>
    <n v="5.0999999999999997E-2"/>
    <n v="0.12"/>
    <n v="0.17599999999999999"/>
    <n v="0.23200000000000001"/>
    <n v="0.192"/>
    <n v="0.30399999999999999"/>
    <n v="0.28100000000000003"/>
    <n v="0.28100000000000003"/>
    <n v="0.26700000000000002"/>
    <n v="0.26100000000000001"/>
    <n v="0.16600000000000001"/>
    <n v="6.7000000000000004E-2"/>
    <n v="0.11799999999999999"/>
    <n v="7.5999999999999998E-2"/>
    <n v="5.2999999999999999E-2"/>
    <n v="0.03"/>
    <n v="0.246"/>
    <n v="0.215"/>
    <n v="0.217"/>
    <n v="0.216"/>
    <n v="0.22900000000000001"/>
    <n v="0.24099999999999999"/>
    <n v="0.22700000000000001"/>
    <n v="0.27400000000000002"/>
    <n v="0.24099999999999999"/>
    <n v="0.20499999999999999"/>
    <n v="0.183"/>
    <n v="0.185"/>
    <n v="0.156"/>
    <n v="9.6000000000000002E-2"/>
    <n v="8.7999999999999995E-2"/>
    <n v="5.1999999999999998E-2"/>
    <n v="0.105"/>
    <n v="0.1"/>
    <n v="0.125"/>
    <n v="0.37646619999999997"/>
  </r>
  <r>
    <x v="3"/>
    <s v="PEST CONTROL"/>
    <s v="SC JOHNSON"/>
    <x v="2"/>
    <x v="5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292000000000002"/>
    <n v="80.730999999999995"/>
    <n v="0"/>
    <n v="0"/>
    <n v="0"/>
    <n v="0"/>
    <n v="0"/>
    <n v="0"/>
    <n v="0"/>
    <n v="0"/>
    <n v="0"/>
    <n v="0"/>
    <n v="0"/>
  </r>
  <r>
    <x v="3"/>
    <s v="PEST CONTROL"/>
    <s v="SC JOHNSON"/>
    <x v="2"/>
    <x v="5"/>
    <x v="0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16.1419999999998"/>
    <n v="15258.120999999999"/>
    <n v="0"/>
    <n v="0"/>
    <n v="0"/>
    <n v="0"/>
    <n v="0"/>
    <n v="0"/>
    <n v="0"/>
    <n v="0"/>
    <n v="0"/>
    <n v="0"/>
    <n v="0"/>
  </r>
  <r>
    <x v="3"/>
    <s v="PEST CONTROL"/>
    <s v="SC JOHNSON"/>
    <x v="2"/>
    <x v="5"/>
    <x v="0"/>
    <x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999999999999999E-2"/>
    <n v="3.1E-2"/>
    <n v="0"/>
    <n v="0"/>
    <n v="0"/>
    <n v="0"/>
    <n v="0"/>
    <n v="0"/>
    <n v="0"/>
    <n v="0"/>
    <n v="0"/>
    <n v="0"/>
    <n v="0"/>
  </r>
  <r>
    <x v="3"/>
    <s v="PEST CONTROL"/>
    <s v="SC JOHNSON"/>
    <x v="2"/>
    <x v="5"/>
    <x v="0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E-2"/>
    <n v="0.11"/>
    <n v="0"/>
    <n v="0"/>
    <n v="0"/>
    <n v="0"/>
    <n v="0"/>
    <n v="0"/>
    <n v="0"/>
    <n v="0"/>
    <n v="0"/>
    <n v="0"/>
    <n v="0"/>
  </r>
  <r>
    <x v="3"/>
    <s v="PEST CONTROL"/>
    <s v="SC JOHNSON"/>
    <x v="2"/>
    <x v="5"/>
    <x v="0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5620310000000001"/>
    <n v="0.15616769999999999"/>
    <n v="0"/>
    <n v="0"/>
    <n v="0"/>
    <n v="0"/>
    <n v="0"/>
    <n v="0"/>
    <n v="0"/>
    <n v="0"/>
    <n v="0"/>
    <n v="0"/>
    <n v="0"/>
  </r>
  <r>
    <x v="3"/>
    <s v="PEST CONTROL"/>
    <s v="SC JOHNSON"/>
    <x v="2"/>
    <x v="5"/>
    <x v="0"/>
    <x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"/>
    <n v="0"/>
    <n v="0"/>
    <n v="0"/>
    <n v="0"/>
    <n v="0"/>
    <n v="0"/>
    <n v="0"/>
  </r>
  <r>
    <x v="3"/>
    <s v="PEST CONTROL"/>
    <s v="SC JOHNSON"/>
    <x v="2"/>
    <x v="5"/>
    <x v="3"/>
    <x v="0"/>
    <x v="0"/>
    <n v="4107.5249999999996"/>
    <n v="7039.35"/>
    <n v="7787.1869999999999"/>
    <n v="6406.0780000000004"/>
    <n v="6171.9179999999997"/>
    <n v="5981.9840000000004"/>
    <n v="6288.4719999999998"/>
    <n v="4872.826"/>
    <n v="3463.0709999999999"/>
    <n v="2640.3580000000002"/>
    <n v="2520.12"/>
    <n v="2754.2979999999998"/>
    <n v="3210.4050000000002"/>
    <n v="4069.0659999999998"/>
    <n v="6110.8590000000004"/>
    <n v="6257.04"/>
    <n v="5734.86"/>
    <n v="5511.2479999999996"/>
    <n v="6137.5290000000005"/>
    <n v="5007.4629999999997"/>
    <n v="3423.6689999999999"/>
    <n v="2535.4380000000001"/>
    <n v="2515.0320000000002"/>
    <n v="2037.798"/>
    <n v="2140.1060000000002"/>
    <n v="2930.886"/>
    <n v="4697.3249999999998"/>
    <n v="6219.4430000000002"/>
    <n v="6035.7470000000003"/>
    <n v="5209.2020000000002"/>
    <n v="6356.44"/>
    <n v="5783.0550000000003"/>
    <n v="4533.3819999999996"/>
    <n v="3782.1729999999998"/>
    <n v="3094.4949999999999"/>
    <n v="2330.2849999999999"/>
    <n v="2531.913"/>
    <n v="2531.913"/>
  </r>
  <r>
    <x v="3"/>
    <s v="PEST CONTROL"/>
    <s v="SC JOHNSON"/>
    <x v="2"/>
    <x v="5"/>
    <x v="3"/>
    <x v="0"/>
    <x v="1"/>
    <n v="924660.28200000001"/>
    <n v="1614721.7620000001"/>
    <n v="1895216.2849999999"/>
    <n v="1552461.9580000001"/>
    <n v="1490820.777"/>
    <n v="1422590.3910000001"/>
    <n v="1478514.068"/>
    <n v="1158665.8089999999"/>
    <n v="828400.85400000005"/>
    <n v="595555.03799999994"/>
    <n v="565701.64899999998"/>
    <n v="624521.03099999996"/>
    <n v="785917.68"/>
    <n v="1063506.831"/>
    <n v="1643290.9950000001"/>
    <n v="1661309.03"/>
    <n v="1562526.1850000001"/>
    <n v="1519143.277"/>
    <n v="1735681.3670000001"/>
    <n v="1420444.0149999999"/>
    <n v="967951.12699999998"/>
    <n v="708033.103"/>
    <n v="713752.69499999995"/>
    <n v="597384.799"/>
    <n v="638618.91799999995"/>
    <n v="915996.55700000003"/>
    <n v="1475290.172"/>
    <n v="1970957.652"/>
    <n v="1878076.129"/>
    <n v="1618665.1089999999"/>
    <n v="1943340.243"/>
    <n v="1744673.4820000001"/>
    <n v="1354232.34"/>
    <n v="1144959.6259999999"/>
    <n v="933892.94700000004"/>
    <n v="712584.98699999996"/>
    <n v="771642.201"/>
    <n v="771642.201"/>
  </r>
  <r>
    <x v="3"/>
    <s v="PEST CONTROL"/>
    <s v="SC JOHNSON"/>
    <x v="2"/>
    <x v="5"/>
    <x v="3"/>
    <x v="0"/>
    <x v="2"/>
    <n v="2.3860000000000001"/>
    <n v="2.8450000000000002"/>
    <n v="2.2530000000000001"/>
    <n v="1.423"/>
    <n v="1.028"/>
    <n v="1.012"/>
    <n v="1.2030000000000001"/>
    <n v="1.3"/>
    <n v="1.341"/>
    <n v="1.583"/>
    <n v="1.8009999999999999"/>
    <n v="2.0489999999999999"/>
    <n v="2.073"/>
    <n v="1.9419999999999999"/>
    <n v="1.8680000000000001"/>
    <n v="1.353"/>
    <n v="1.0669999999999999"/>
    <n v="1.0940000000000001"/>
    <n v="1.159"/>
    <n v="1.238"/>
    <n v="1.1020000000000001"/>
    <n v="1.1040000000000001"/>
    <n v="1.383"/>
    <n v="1.248"/>
    <n v="1.2330000000000001"/>
    <n v="1.2589999999999999"/>
    <n v="1.5009999999999999"/>
    <n v="1.3320000000000001"/>
    <n v="1.0149999999999999"/>
    <n v="0.88700000000000001"/>
    <n v="0.93500000000000005"/>
    <n v="0.86499999999999999"/>
    <n v="1.0509999999999999"/>
    <n v="1.2250000000000001"/>
    <n v="1.345"/>
    <n v="1.456"/>
    <n v="1.907"/>
    <n v="0.28699999999999998"/>
  </r>
  <r>
    <x v="3"/>
    <s v="PEST CONTROL"/>
    <s v="SC JOHNSON"/>
    <x v="2"/>
    <x v="5"/>
    <x v="3"/>
    <x v="0"/>
    <x v="3"/>
    <n v="50.491999999999997"/>
    <n v="58.911999999999999"/>
    <n v="64.228999999999999"/>
    <n v="63.945"/>
    <n v="65.64"/>
    <n v="60.146000000000001"/>
    <n v="58.389000000000003"/>
    <n v="50.332000000000001"/>
    <n v="44.281999999999996"/>
    <n v="36.225999999999999"/>
    <n v="35.594000000000001"/>
    <n v="38.231999999999999"/>
    <n v="45.637"/>
    <n v="51.996000000000002"/>
    <n v="62.018000000000001"/>
    <n v="64.677999999999997"/>
    <n v="65.349000000000004"/>
    <n v="63.381999999999998"/>
    <n v="63.451000000000001"/>
    <n v="58.399000000000001"/>
    <n v="51.631999999999998"/>
    <n v="42.454999999999998"/>
    <n v="37.456000000000003"/>
    <n v="36.082999999999998"/>
    <n v="37.406999999999996"/>
    <n v="49.725999999999999"/>
    <n v="57.073"/>
    <n v="62.692999999999998"/>
    <n v="65.38"/>
    <n v="59.496000000000002"/>
    <n v="58.966999999999999"/>
    <n v="62.521000000000001"/>
    <n v="47.564999999999998"/>
    <n v="40.122999999999998"/>
    <n v="37.393000000000001"/>
    <n v="39.744999999999997"/>
    <n v="47.098999999999997"/>
    <n v="4502.4589999999998"/>
  </r>
  <r>
    <x v="3"/>
    <s v="PEST CONTROL"/>
    <s v="SC JOHNSON"/>
    <x v="2"/>
    <x v="5"/>
    <x v="3"/>
    <x v="0"/>
    <x v="4"/>
    <n v="11.2660061"/>
    <n v="11.4700977"/>
    <n v="10.7396034"/>
    <n v="10.213346100000001"/>
    <n v="10.6296119"/>
    <n v="10.489724900000001"/>
    <n v="10.1916332"/>
    <n v="9.6619583999999996"/>
    <n v="9.8212949999999992"/>
    <n v="9.2124997000000004"/>
    <n v="9.1431652999999997"/>
    <n v="9.1755741999999998"/>
    <n v="9.0902209999999997"/>
    <n v="9.4869240000000001"/>
    <n v="10.3204341"/>
    <n v="10.3921823"/>
    <n v="10.7684689"/>
    <n v="10.7084999"/>
    <n v="11.570416"/>
    <n v="10.067605199999999"/>
    <n v="9.7474887999999993"/>
    <n v="9.3505635999999992"/>
    <n v="9.1136561999999994"/>
    <n v="8.8273399000000001"/>
    <n v="8.9382473000000005"/>
    <n v="9.7315258999999994"/>
    <n v="9.9215432999999997"/>
    <n v="9.8808323999999992"/>
    <n v="10.389938600000001"/>
    <n v="9.9821810000000006"/>
    <n v="10.4983457"/>
    <n v="10.5661618"/>
    <n v="10.144271699999999"/>
    <n v="9.5741250999999998"/>
    <n v="10.0872367"/>
    <n v="10.004985100000001"/>
    <n v="8.9382064000000003"/>
    <n v="47.098999999999997"/>
  </r>
  <r>
    <x v="3"/>
    <s v="PEST CONTROL"/>
    <s v="SC JOHNSON"/>
    <x v="2"/>
    <x v="5"/>
    <x v="3"/>
    <x v="0"/>
    <x v="5"/>
    <n v="1.077"/>
    <n v="0.86199999999999999"/>
    <n v="0.747"/>
    <n v="0.76"/>
    <n v="0.77300000000000002"/>
    <n v="0.69199999999999995"/>
    <n v="0.70499999999999996"/>
    <n v="0.81200000000000006"/>
    <n v="0.82499999999999996"/>
    <n v="0.89700000000000002"/>
    <n v="0.86299999999999999"/>
    <n v="0.74299999999999999"/>
    <n v="0.71899999999999997"/>
    <n v="0.83"/>
    <n v="0.84"/>
    <n v="0.78300000000000003"/>
    <n v="0.80100000000000005"/>
    <n v="0.73299999999999998"/>
    <n v="0.77400000000000002"/>
    <n v="0.8"/>
    <n v="0.83099999999999996"/>
    <n v="0.8"/>
    <n v="0.71699999999999997"/>
    <n v="0.75800000000000001"/>
    <n v="0.76400000000000001"/>
    <n v="0.78900000000000003"/>
    <n v="0.77800000000000002"/>
    <n v="0.74399999999999999"/>
    <n v="0.79300000000000004"/>
    <n v="0.747"/>
    <n v="0.83099999999999996"/>
    <n v="0.876"/>
    <n v="0.96399999999999997"/>
    <n v="0.995"/>
    <n v="1.004"/>
    <n v="0.96199999999999997"/>
    <n v="0.88100000000000001"/>
    <n v="8.9382064000000003"/>
  </r>
  <r>
    <x v="3"/>
    <s v="PEST CONTROL"/>
    <s v="SC JOHNSON"/>
    <x v="2"/>
    <x v="5"/>
    <x v="3"/>
    <x v="7"/>
    <x v="0"/>
    <n v="894.39300000000003"/>
    <n v="1533.096"/>
    <n v="2098.326"/>
    <n v="1501.0150000000001"/>
    <n v="1305.2739999999999"/>
    <n v="1148.7760000000001"/>
    <n v="1184.425"/>
    <n v="1040.0050000000001"/>
    <n v="799.14700000000005"/>
    <n v="577.29600000000005"/>
    <n v="366.40199999999999"/>
    <n v="434.53"/>
    <n v="515.38"/>
    <n v="1017.2190000000001"/>
    <n v="1531.6679999999999"/>
    <n v="1492.463"/>
    <n v="965.58399999999995"/>
    <n v="857.58399999999995"/>
    <n v="1006.139"/>
    <n v="936.68200000000002"/>
    <n v="927.69200000000001"/>
    <n v="653.86599999999999"/>
    <n v="587.41600000000005"/>
    <n v="474.43700000000001"/>
    <n v="503.49799999999999"/>
    <n v="731.14200000000005"/>
    <n v="917.322"/>
    <n v="759.70799999999997"/>
    <n v="295.71499999999997"/>
    <n v="259.33499999999998"/>
    <n v="185.92400000000001"/>
    <n v="128.946"/>
    <n v="106.80800000000001"/>
    <n v="98.043999999999997"/>
    <n v="103.017"/>
    <n v="67.751999999999995"/>
    <n v="73.988"/>
    <n v="147.976"/>
  </r>
  <r>
    <x v="3"/>
    <s v="PEST CONTROL"/>
    <s v="SC JOHNSON"/>
    <x v="2"/>
    <x v="5"/>
    <x v="3"/>
    <x v="7"/>
    <x v="1"/>
    <n v="169355.16899999999"/>
    <n v="280505.97100000002"/>
    <n v="413558.04800000001"/>
    <n v="291789.96999999997"/>
    <n v="264100.03700000001"/>
    <n v="223520.095"/>
    <n v="245259.535"/>
    <n v="217371.64300000001"/>
    <n v="164321.99299999999"/>
    <n v="120936.16800000001"/>
    <n v="76357.376999999993"/>
    <n v="97999.07"/>
    <n v="120173.035"/>
    <n v="228617.36600000001"/>
    <n v="342672.56400000001"/>
    <n v="344200.89600000001"/>
    <n v="217880.07500000001"/>
    <n v="208526.883"/>
    <n v="248067.902"/>
    <n v="226185.21100000001"/>
    <n v="219317.948"/>
    <n v="159221.45499999999"/>
    <n v="138094.245"/>
    <n v="121296.849"/>
    <n v="128821.21400000001"/>
    <n v="188955.72"/>
    <n v="235907.54800000001"/>
    <n v="188262.05799999999"/>
    <n v="71542.751999999993"/>
    <n v="62405.038"/>
    <n v="39899.24"/>
    <n v="28730.65"/>
    <n v="24041.255000000001"/>
    <n v="20423.823"/>
    <n v="19596.482"/>
    <n v="11132.715"/>
    <n v="11696.79"/>
    <n v="11696.79"/>
  </r>
  <r>
    <x v="3"/>
    <s v="PEST CONTROL"/>
    <s v="SC JOHNSON"/>
    <x v="2"/>
    <x v="5"/>
    <x v="3"/>
    <x v="7"/>
    <x v="2"/>
    <n v="3.0000000000000001E-3"/>
    <n v="3.0000000000000001E-3"/>
    <n v="3.0000000000000001E-3"/>
    <n v="2E-3"/>
    <n v="1E-3"/>
    <n v="1E-3"/>
    <n v="1E-3"/>
    <n v="1E-3"/>
    <n v="2E-3"/>
    <n v="2E-3"/>
    <n v="1E-3"/>
    <n v="2E-3"/>
    <n v="2E-3"/>
    <n v="3.0000000000000001E-3"/>
    <n v="3.0000000000000001E-3"/>
    <n v="2E-3"/>
    <n v="1E-3"/>
    <n v="1E-3"/>
    <n v="1E-3"/>
    <n v="1E-3"/>
    <n v="2E-3"/>
    <n v="2E-3"/>
    <n v="2E-3"/>
    <n v="2E-3"/>
    <n v="2E-3"/>
    <n v="2E-3"/>
    <n v="2E-3"/>
    <n v="1E-3"/>
    <n v="0"/>
    <n v="0"/>
    <n v="0"/>
    <n v="0"/>
    <n v="0"/>
    <n v="0"/>
    <n v="0"/>
    <n v="0"/>
    <n v="0"/>
    <n v="1.7000000000000001E-2"/>
  </r>
  <r>
    <x v="3"/>
    <s v="PEST CONTROL"/>
    <s v="SC JOHNSON"/>
    <x v="2"/>
    <x v="5"/>
    <x v="3"/>
    <x v="7"/>
    <x v="3"/>
    <n v="16.158000000000001"/>
    <n v="23.227"/>
    <n v="26.756"/>
    <n v="23.138000000000002"/>
    <n v="27.719000000000001"/>
    <n v="22.422999999999998"/>
    <n v="20.495000000000001"/>
    <n v="18.117999999999999"/>
    <n v="13.829000000000001"/>
    <n v="7.9660000000000002"/>
    <n v="10.198"/>
    <n v="12.154999999999999"/>
    <n v="14.595000000000001"/>
    <n v="20.018000000000001"/>
    <n v="26.172999999999998"/>
    <n v="27.14"/>
    <n v="25.077999999999999"/>
    <n v="22.574000000000002"/>
    <n v="21.638999999999999"/>
    <n v="20.079000000000001"/>
    <n v="18.556000000000001"/>
    <n v="13.536"/>
    <n v="9.5909999999999993"/>
    <n v="9.7729999999999997"/>
    <n v="12.603"/>
    <n v="17.846"/>
    <n v="18.577000000000002"/>
    <n v="19.096"/>
    <n v="15.144"/>
    <n v="10.218999999999999"/>
    <n v="6.6520000000000001"/>
    <n v="7.1050000000000004"/>
    <n v="3.3359999999999999"/>
    <n v="1.367"/>
    <n v="0.97899999999999998"/>
    <n v="0.83"/>
    <n v="0.88600000000000001"/>
    <n v="152.53"/>
  </r>
  <r>
    <x v="3"/>
    <s v="PEST CONTROL"/>
    <s v="SC JOHNSON"/>
    <x v="2"/>
    <x v="5"/>
    <x v="3"/>
    <x v="7"/>
    <x v="4"/>
    <n v="1.0694402000000001"/>
    <n v="1.4523585999999999"/>
    <n v="1.4945463000000001"/>
    <n v="1.2130535"/>
    <n v="1.2170418999999999"/>
    <n v="1.1573606000000001"/>
    <n v="1.2101938000000001"/>
    <n v="1.1300741000000001"/>
    <n v="1.2007896"/>
    <n v="1.1353610999999999"/>
    <n v="1.2766554999999999"/>
    <n v="1.2518895999999999"/>
    <n v="1.2697141000000001"/>
    <n v="1.4044844000000001"/>
    <n v="1.7950668999999999"/>
    <n v="1.5911552"/>
    <n v="1.5249257000000001"/>
    <n v="1.3483371"/>
    <n v="1.2373771"/>
    <n v="1.3358582999999999"/>
    <n v="1.5752257000000001"/>
    <n v="1.0641524"/>
    <n v="0.95171819999999996"/>
    <n v="0.79939260000000001"/>
    <n v="0.97984530000000003"/>
    <n v="1.1739763000000001"/>
    <n v="1.080014"/>
    <n v="1.1285856000000001"/>
    <n v="0.84986039999999996"/>
    <n v="0.80493619999999999"/>
    <n v="0.7550616"/>
    <n v="0.62242180000000003"/>
    <n v="0.54257849999999996"/>
    <n v="0.4281488"/>
    <n v="0.41736790000000001"/>
    <n v="0.43660019999999999"/>
    <n v="0.41806290000000002"/>
    <n v="0.88600000000000001"/>
  </r>
  <r>
    <x v="3"/>
    <s v="PEST CONTROL"/>
    <s v="SC JOHNSON"/>
    <x v="2"/>
    <x v="5"/>
    <x v="3"/>
    <x v="7"/>
    <x v="5"/>
    <n v="8.7999999999999995E-2"/>
    <n v="4.9000000000000002E-2"/>
    <n v="6.2E-2"/>
    <n v="6.9000000000000006E-2"/>
    <n v="7.0000000000000007E-2"/>
    <n v="4.8000000000000001E-2"/>
    <n v="5.5E-2"/>
    <n v="4.3999999999999997E-2"/>
    <n v="5.0999999999999997E-2"/>
    <n v="4.8000000000000001E-2"/>
    <n v="7.3999999999999996E-2"/>
    <n v="7.5999999999999998E-2"/>
    <n v="7.9000000000000001E-2"/>
    <n v="7.6999999999999999E-2"/>
    <n v="6.3E-2"/>
    <n v="6.8000000000000005E-2"/>
    <n v="5.0999999999999997E-2"/>
    <n v="4.9000000000000002E-2"/>
    <n v="3.5999999999999997E-2"/>
    <n v="0.05"/>
    <n v="4.9000000000000002E-2"/>
    <n v="4.3999999999999997E-2"/>
    <n v="3.2000000000000001E-2"/>
    <n v="4.2000000000000003E-2"/>
    <n v="4.5999999999999999E-2"/>
    <n v="3.2000000000000001E-2"/>
    <n v="2.4E-2"/>
    <n v="1.9E-2"/>
    <n v="0.02"/>
    <n v="3.1E-2"/>
    <n v="2.7E-2"/>
    <n v="3.3000000000000002E-2"/>
    <n v="4.1000000000000002E-2"/>
    <n v="3.6999999999999998E-2"/>
    <n v="2.5000000000000001E-2"/>
    <n v="1.4999999999999999E-2"/>
    <n v="1.4999999999999999E-2"/>
    <n v="0.41806290000000002"/>
  </r>
  <r>
    <x v="3"/>
    <s v="PEST CONTROL"/>
    <s v="SC JOHNSON"/>
    <x v="3"/>
    <x v="0"/>
    <x v="0"/>
    <x v="8"/>
    <x v="0"/>
    <n v="0"/>
    <n v="0"/>
    <n v="243.53800000000001"/>
    <n v="400.73"/>
    <n v="254.095"/>
    <n v="413.17500000000001"/>
    <n v="105.664"/>
    <n v="0"/>
    <n v="0"/>
    <n v="0"/>
    <n v="0"/>
    <n v="0"/>
    <n v="0"/>
    <n v="0"/>
    <n v="0"/>
    <n v="0"/>
    <n v="64.483000000000004"/>
    <n v="0"/>
    <n v="0"/>
    <n v="0"/>
    <n v="0"/>
    <n v="0"/>
    <n v="0"/>
    <n v="0"/>
    <n v="0"/>
    <n v="0"/>
    <n v="0"/>
    <n v="0"/>
    <n v="0"/>
    <n v="0"/>
    <n v="45.411000000000001"/>
    <n v="27.276"/>
    <n v="24.777000000000001"/>
    <n v="0"/>
    <n v="0"/>
    <n v="0"/>
    <n v="0"/>
    <n v="0"/>
  </r>
  <r>
    <x v="3"/>
    <s v="PEST CONTROL"/>
    <s v="SC JOHNSON"/>
    <x v="3"/>
    <x v="0"/>
    <x v="0"/>
    <x v="8"/>
    <x v="1"/>
    <n v="0"/>
    <n v="0"/>
    <n v="25220.911"/>
    <n v="20175.848000000002"/>
    <n v="23633.578000000001"/>
    <n v="72961.028000000006"/>
    <n v="29585.806"/>
    <n v="0"/>
    <n v="0"/>
    <n v="0"/>
    <n v="0"/>
    <n v="0"/>
    <n v="0"/>
    <n v="0"/>
    <n v="0"/>
    <n v="0"/>
    <n v="11607.012000000001"/>
    <n v="0"/>
    <n v="0"/>
    <n v="0"/>
    <n v="0"/>
    <n v="0"/>
    <n v="0"/>
    <n v="0"/>
    <n v="0"/>
    <n v="0"/>
    <n v="0"/>
    <n v="0"/>
    <n v="0"/>
    <n v="0"/>
    <n v="8900.5110000000004"/>
    <n v="5346.0429999999997"/>
    <n v="4856.3459999999995"/>
    <n v="0"/>
    <n v="0"/>
    <n v="0"/>
    <n v="0"/>
    <n v="0"/>
  </r>
  <r>
    <x v="3"/>
    <s v="PEST CONTROL"/>
    <s v="SC JOHNSON"/>
    <x v="3"/>
    <x v="0"/>
    <x v="0"/>
    <x v="8"/>
    <x v="2"/>
    <n v="0"/>
    <n v="0"/>
    <n v="2E-3"/>
    <n v="1E-3"/>
    <n v="1E-3"/>
    <n v="3.000000000000000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EST CONTROL"/>
    <s v="SC JOHNSON"/>
    <x v="3"/>
    <x v="0"/>
    <x v="0"/>
    <x v="8"/>
    <x v="3"/>
    <n v="0"/>
    <n v="0.22700000000000001"/>
    <n v="0.36299999999999999"/>
    <n v="0.34599999999999997"/>
    <n v="0.36899999999999999"/>
    <n v="0.51400000000000001"/>
    <n v="0.19"/>
    <n v="0"/>
    <n v="0"/>
    <n v="1.9E-2"/>
    <n v="4.0000000000000001E-3"/>
    <n v="2.8000000000000001E-2"/>
    <n v="5.1999999999999998E-2"/>
    <n v="2.4E-2"/>
    <n v="2.7E-2"/>
    <n v="1.7999999999999999E-2"/>
    <n v="2.1000000000000001E-2"/>
    <n v="0"/>
    <n v="0"/>
    <n v="0"/>
    <n v="0"/>
    <n v="0"/>
    <n v="0"/>
    <n v="0"/>
    <n v="0"/>
    <n v="0"/>
    <n v="0"/>
    <n v="0"/>
    <n v="0"/>
    <n v="0"/>
    <n v="1.4999999999999999E-2"/>
    <n v="5.0000000000000001E-3"/>
    <n v="8.9999999999999993E-3"/>
    <n v="0"/>
    <n v="0"/>
    <n v="0"/>
    <n v="0"/>
    <n v="0"/>
  </r>
  <r>
    <x v="3"/>
    <s v="PEST CONTROL"/>
    <s v="SC JOHNSON"/>
    <x v="3"/>
    <x v="0"/>
    <x v="0"/>
    <x v="8"/>
    <x v="4"/>
    <n v="0.4363225"/>
    <n v="0.58746889999999996"/>
    <n v="0.56182940000000003"/>
    <n v="0.5605019"/>
    <n v="0.61626979999999998"/>
    <n v="0.25484259999999997"/>
    <n v="0.17667540000000001"/>
    <n v="0"/>
    <n v="0"/>
    <n v="0.27919149999999998"/>
    <n v="0.2791575"/>
    <n v="0.27909889999999998"/>
    <n v="0.27909"/>
    <n v="0.26636320000000002"/>
    <n v="0.27901280000000001"/>
    <n v="0.27775080000000002"/>
    <n v="0.29134989999999999"/>
    <n v="0"/>
    <n v="0"/>
    <n v="0"/>
    <n v="0"/>
    <n v="0"/>
    <n v="0"/>
    <n v="0"/>
    <n v="0"/>
    <n v="0"/>
    <n v="0"/>
    <n v="0"/>
    <n v="0"/>
    <n v="0"/>
    <n v="0.1163624"/>
    <n v="0.1163708"/>
    <n v="0.1163739"/>
    <n v="0"/>
    <n v="0"/>
    <n v="0"/>
    <n v="0"/>
    <n v="0"/>
  </r>
  <r>
    <x v="3"/>
    <s v="PEST CONTROL"/>
    <s v="SC JOHNSON"/>
    <x v="3"/>
    <x v="0"/>
    <x v="0"/>
    <x v="8"/>
    <x v="5"/>
    <n v="0.108"/>
    <n v="0.17199999999999999"/>
    <n v="8.5999999999999993E-2"/>
    <n v="1.6E-2"/>
    <n v="5.5E-2"/>
    <n v="1.6E-2"/>
    <n v="0"/>
    <n v="0"/>
    <n v="0"/>
    <n v="1.4999999999999999E-2"/>
    <n v="1.6E-2"/>
    <n v="1.4999999999999999E-2"/>
    <n v="1.4999999999999999E-2"/>
    <n v="1.2E-2"/>
    <n v="1.0999999999999999E-2"/>
    <n v="1.0999999999999999E-2"/>
    <n v="0"/>
    <n v="0"/>
    <n v="0"/>
    <n v="0"/>
    <n v="0"/>
    <n v="0"/>
    <n v="0"/>
    <n v="0"/>
    <n v="0"/>
    <n v="0"/>
    <n v="0"/>
    <n v="0"/>
    <n v="0"/>
    <n v="0"/>
    <n v="5.0000000000000001E-3"/>
    <n v="0"/>
    <n v="0"/>
    <n v="0"/>
    <n v="0"/>
    <n v="0"/>
    <n v="0"/>
    <n v="0"/>
  </r>
  <r>
    <x v="3"/>
    <s v="PEST CONTROL"/>
    <s v="SC JOHNSON"/>
    <x v="3"/>
    <x v="0"/>
    <x v="0"/>
    <x v="9"/>
    <x v="0"/>
    <n v="343.58600000000001"/>
    <n v="1073.886"/>
    <n v="2041.0609999999999"/>
    <n v="2545.549"/>
    <n v="3636.7620000000002"/>
    <n v="2267.0390000000002"/>
    <n v="2027.252"/>
    <n v="1277.001"/>
    <n v="685.15700000000004"/>
    <n v="480.85599999999999"/>
    <n v="262.536"/>
    <n v="226.13300000000001"/>
    <n v="439.64100000000002"/>
    <n v="886.505"/>
    <n v="2011.2270000000001"/>
    <n v="3119.5790000000002"/>
    <n v="3744.0729999999999"/>
    <n v="3148.5390000000002"/>
    <n v="2723.2150000000001"/>
    <n v="1619.645"/>
    <n v="1148.2619999999999"/>
    <n v="905.09"/>
    <n v="674.55"/>
    <n v="447.27699999999999"/>
    <n v="698.07299999999998"/>
    <n v="1462.47"/>
    <n v="2488.0189999999998"/>
    <n v="4102.8739999999998"/>
    <n v="5535.192"/>
    <n v="4101.1260000000002"/>
    <n v="4931.1279999999997"/>
    <n v="4995.3860000000004"/>
    <n v="2427.558"/>
    <n v="1515.242"/>
    <n v="1367.327"/>
    <n v="643.86"/>
    <n v="558.80200000000002"/>
    <n v="558.80200000000002"/>
  </r>
  <r>
    <x v="3"/>
    <s v="PEST CONTROL"/>
    <s v="SC JOHNSON"/>
    <x v="3"/>
    <x v="0"/>
    <x v="0"/>
    <x v="9"/>
    <x v="1"/>
    <n v="88653.131999999998"/>
    <n v="264465.77299999999"/>
    <n v="549799.06599999999"/>
    <n v="718782.554"/>
    <n v="1004545.382"/>
    <n v="568346.24800000002"/>
    <n v="504321.86300000001"/>
    <n v="299564.79700000002"/>
    <n v="164609.533"/>
    <n v="118860.32399999999"/>
    <n v="62807.608"/>
    <n v="58382.175999999999"/>
    <n v="116284.329"/>
    <n v="223182.185"/>
    <n v="521455.38799999998"/>
    <n v="813751.33200000005"/>
    <n v="1020633.711"/>
    <n v="878585.17"/>
    <n v="750788.47100000002"/>
    <n v="443886.67800000001"/>
    <n v="314297.39500000002"/>
    <n v="246360.87899999999"/>
    <n v="177782.58499999999"/>
    <n v="142534.03099999999"/>
    <n v="200610.53899999999"/>
    <n v="408035.321"/>
    <n v="728669.05299999996"/>
    <n v="1229828.784"/>
    <n v="1720000.057"/>
    <n v="1244039.598"/>
    <n v="1480789.9140000001"/>
    <n v="1584809.88"/>
    <n v="730675.799"/>
    <n v="425610.17599999998"/>
    <n v="415457.962"/>
    <n v="176778.54500000001"/>
    <n v="174968.52900000001"/>
    <n v="174968.52900000001"/>
  </r>
  <r>
    <x v="3"/>
    <s v="PEST CONTROL"/>
    <s v="SC JOHNSON"/>
    <x v="3"/>
    <x v="0"/>
    <x v="0"/>
    <x v="9"/>
    <x v="2"/>
    <n v="2.3E-2"/>
    <n v="5.0999999999999997E-2"/>
    <n v="6.9000000000000006E-2"/>
    <n v="6.6000000000000003E-2"/>
    <n v="7.0999999999999994E-2"/>
    <n v="4.4999999999999998E-2"/>
    <n v="4.4999999999999998E-2"/>
    <n v="0.04"/>
    <n v="3.1E-2"/>
    <n v="3.4000000000000002E-2"/>
    <n v="2.1999999999999999E-2"/>
    <n v="0.02"/>
    <n v="3.4000000000000002E-2"/>
    <n v="5.0999999999999997E-2"/>
    <n v="7.4999999999999997E-2"/>
    <n v="8.2000000000000003E-2"/>
    <n v="8.5000000000000006E-2"/>
    <n v="7.5999999999999998E-2"/>
    <n v="6.3E-2"/>
    <n v="4.9000000000000002E-2"/>
    <n v="4.4999999999999998E-2"/>
    <n v="4.8000000000000001E-2"/>
    <n v="4.4999999999999998E-2"/>
    <n v="3.4000000000000002E-2"/>
    <n v="4.9000000000000002E-2"/>
    <n v="7.6999999999999999E-2"/>
    <n v="9.8000000000000004E-2"/>
    <n v="0.108"/>
    <n v="0.114"/>
    <n v="8.5999999999999993E-2"/>
    <n v="8.8999999999999996E-2"/>
    <n v="9.1999999999999998E-2"/>
    <n v="6.9000000000000006E-2"/>
    <n v="0.06"/>
    <n v="7.2999999999999995E-2"/>
    <n v="4.9000000000000002E-2"/>
    <n v="5.1999999999999998E-2"/>
    <n v="6.3E-2"/>
  </r>
  <r>
    <x v="3"/>
    <s v="PEST CONTROL"/>
    <s v="SC JOHNSON"/>
    <x v="3"/>
    <x v="0"/>
    <x v="0"/>
    <x v="9"/>
    <x v="3"/>
    <n v="13.789"/>
    <n v="23.498000000000001"/>
    <n v="35.154000000000003"/>
    <n v="36.325000000000003"/>
    <n v="41.345999999999997"/>
    <n v="32.752000000000002"/>
    <n v="30.414000000000001"/>
    <n v="25.545999999999999"/>
    <n v="19.268999999999998"/>
    <n v="13.068"/>
    <n v="10.573"/>
    <n v="11.887"/>
    <n v="14.968"/>
    <n v="22.875"/>
    <n v="37.679000000000002"/>
    <n v="39.729999999999997"/>
    <n v="41.55"/>
    <n v="39.290999999999997"/>
    <n v="37.963999999999999"/>
    <n v="33.898000000000003"/>
    <n v="28.177"/>
    <n v="20.262"/>
    <n v="15.86"/>
    <n v="18.981000000000002"/>
    <n v="19.042000000000002"/>
    <n v="31.54"/>
    <n v="40.265000000000001"/>
    <n v="46.865000000000002"/>
    <n v="50.536999999999999"/>
    <n v="44.753"/>
    <n v="44.438000000000002"/>
    <n v="48.725999999999999"/>
    <n v="29.2"/>
    <n v="20.268000000000001"/>
    <n v="16.66"/>
    <n v="14.885999999999999"/>
    <n v="22.414999999999999"/>
    <n v="1212.6210000000001"/>
  </r>
  <r>
    <x v="3"/>
    <s v="PEST CONTROL"/>
    <s v="SC JOHNSON"/>
    <x v="3"/>
    <x v="0"/>
    <x v="0"/>
    <x v="9"/>
    <x v="4"/>
    <n v="1.4830121999999999"/>
    <n v="1.8270617"/>
    <n v="2.3912466999999999"/>
    <n v="2.4559641999999999"/>
    <n v="2.4718289000000002"/>
    <n v="2.1012753000000002"/>
    <n v="2.0097470999999998"/>
    <n v="2.079367"/>
    <n v="1.7465778000000001"/>
    <n v="1.4108708999999999"/>
    <n v="1.2213061000000001"/>
    <n v="1.3794025999999999"/>
    <n v="1.4484885000000001"/>
    <n v="1.6397491"/>
    <n v="2.1658819999999999"/>
    <n v="2.5290938999999999"/>
    <n v="2.8967748000000002"/>
    <n v="2.4759380000000002"/>
    <n v="2.9404211999999998"/>
    <n v="2.7668162000000001"/>
    <n v="2.4588158999999998"/>
    <n v="2.1474479999999998"/>
    <n v="1.968855"/>
    <n v="2.3130354999999998"/>
    <n v="2.4867580999999999"/>
    <n v="3.1187493000000002"/>
    <n v="3.5322380999999998"/>
    <n v="3.632733"/>
    <n v="3.7858556000000001"/>
    <n v="3.8435747999999998"/>
    <n v="4.1716565000000001"/>
    <n v="4.4569101"/>
    <n v="3.7402115"/>
    <n v="3.0964923999999998"/>
    <n v="3.2598511000000001"/>
    <n v="3.0389255999999998"/>
    <n v="3.1108604"/>
    <n v="22.414999999999999"/>
  </r>
  <r>
    <x v="3"/>
    <s v="PEST CONTROL"/>
    <s v="SC JOHNSON"/>
    <x v="3"/>
    <x v="0"/>
    <x v="0"/>
    <x v="9"/>
    <x v="5"/>
    <n v="0.157"/>
    <n v="0.17299999999999999"/>
    <n v="0.183"/>
    <n v="0.13100000000000001"/>
    <n v="0.14000000000000001"/>
    <n v="0.11799999999999999"/>
    <n v="0.114"/>
    <n v="0.16300000000000001"/>
    <n v="0.14099999999999999"/>
    <n v="7.9000000000000001E-2"/>
    <n v="0.11899999999999999"/>
    <n v="0.123"/>
    <n v="0.108"/>
    <n v="0.125"/>
    <n v="0.111"/>
    <n v="0.11799999999999999"/>
    <n v="0.14899999999999999"/>
    <n v="0.14799999999999999"/>
    <n v="0.17399999999999999"/>
    <n v="0.16500000000000001"/>
    <n v="0.16600000000000001"/>
    <n v="0.13800000000000001"/>
    <n v="0.14299999999999999"/>
    <n v="0.17499999999999999"/>
    <n v="0.20699999999999999"/>
    <n v="0.20599999999999999"/>
    <n v="0.18"/>
    <n v="0.182"/>
    <n v="0.19600000000000001"/>
    <n v="0.18"/>
    <n v="0.20399999999999999"/>
    <n v="0.22900000000000001"/>
    <n v="0.19800000000000001"/>
    <n v="0.222"/>
    <n v="0.25700000000000001"/>
    <n v="0.24399999999999999"/>
    <n v="0.23899999999999999"/>
    <n v="3.1108604"/>
  </r>
  <r>
    <x v="3"/>
    <s v="PEST CONTROL"/>
    <s v="SC JOHNSON"/>
    <x v="3"/>
    <x v="0"/>
    <x v="0"/>
    <x v="10"/>
    <x v="0"/>
    <n v="4046.19"/>
    <n v="12567.005999999999"/>
    <n v="20116.914000000001"/>
    <n v="33717.485000000001"/>
    <n v="53810.790999999997"/>
    <n v="42810.042999999998"/>
    <n v="46679.555999999997"/>
    <n v="30081.715"/>
    <n v="17330.951000000001"/>
    <n v="7436.7939999999999"/>
    <n v="5498.9610000000002"/>
    <n v="5365.4279999999999"/>
    <n v="6694.0569999999998"/>
    <n v="12393.392"/>
    <n v="21559.119999999999"/>
    <n v="31937.463"/>
    <n v="37198.588000000003"/>
    <n v="34698.275999999998"/>
    <n v="31809.631000000001"/>
    <n v="20633.455999999998"/>
    <n v="16026.504000000001"/>
    <n v="9176.3340000000007"/>
    <n v="4906.5290000000005"/>
    <n v="4919.4939999999997"/>
    <n v="4711.5010000000002"/>
    <n v="9588.9380000000001"/>
    <n v="16546.185000000001"/>
    <n v="29365.915000000001"/>
    <n v="37052.413999999997"/>
    <n v="33573.360999999997"/>
    <n v="37110.154999999999"/>
    <n v="37151.548999999999"/>
    <n v="19833.964"/>
    <n v="14052.742"/>
    <n v="9091.857"/>
    <n v="5805.643"/>
    <n v="4807.0010000000002"/>
    <n v="85371.428"/>
  </r>
  <r>
    <x v="3"/>
    <s v="PEST CONTROL"/>
    <s v="SC JOHNSON"/>
    <x v="3"/>
    <x v="0"/>
    <x v="0"/>
    <x v="10"/>
    <x v="1"/>
    <n v="651577.53099999996"/>
    <n v="1896228.929"/>
    <n v="3010450.6639999999"/>
    <n v="4829415.1979999999"/>
    <n v="7054193.2750000004"/>
    <n v="5677004.4879999999"/>
    <n v="6075129.3710000003"/>
    <n v="4022055.2719999999"/>
    <n v="2534157.0869999998"/>
    <n v="1062917.3019999999"/>
    <n v="771193.96200000006"/>
    <n v="770002.63800000004"/>
    <n v="944663.81700000004"/>
    <n v="1640158.4890000001"/>
    <n v="2970160.3560000001"/>
    <n v="4444383.2010000004"/>
    <n v="5329113.2410000004"/>
    <n v="5097540.0539999995"/>
    <n v="4715024.0659999996"/>
    <n v="3216370.2009999999"/>
    <n v="2436166.2000000002"/>
    <n v="1366746.9779999999"/>
    <n v="740249.58200000005"/>
    <n v="753169.08799999999"/>
    <n v="736763.77599999995"/>
    <n v="1472478.3189999999"/>
    <n v="2599687.3459999999"/>
    <n v="4669082.2319999998"/>
    <n v="6043904.8130000001"/>
    <n v="5481091.1739999996"/>
    <n v="6089310.0630000001"/>
    <n v="6194929.5060000001"/>
    <n v="3313392.2820000001"/>
    <n v="2338865.3429999999"/>
    <n v="1498890.5930000001"/>
    <n v="953310.12100000004"/>
    <n v="792522.32700000005"/>
    <n v="792522.32700000005"/>
  </r>
  <r>
    <x v="3"/>
    <s v="PEST CONTROL"/>
    <s v="SC JOHNSON"/>
    <x v="3"/>
    <x v="0"/>
    <x v="0"/>
    <x v="10"/>
    <x v="2"/>
    <n v="0.13100000000000001"/>
    <n v="0.26200000000000001"/>
    <n v="0.29299999999999998"/>
    <n v="0.36699999999999999"/>
    <n v="0.41699999999999998"/>
    <n v="0.34100000000000003"/>
    <n v="0.42499999999999999"/>
    <n v="0.38800000000000001"/>
    <n v="0.32900000000000001"/>
    <n v="0.22"/>
    <n v="0.188"/>
    <n v="0.19900000000000001"/>
    <n v="0.218"/>
    <n v="0.28000000000000003"/>
    <n v="0.32100000000000001"/>
    <n v="0.33600000000000002"/>
    <n v="0.33200000000000002"/>
    <n v="0.33800000000000002"/>
    <n v="0.29799999999999999"/>
    <n v="0.26800000000000002"/>
    <n v="0.27300000000000002"/>
    <n v="0.20899999999999999"/>
    <n v="0.14299999999999999"/>
    <n v="0.16"/>
    <n v="0.14499999999999999"/>
    <n v="0.20799999999999999"/>
    <n v="0.27"/>
    <n v="0.32700000000000001"/>
    <n v="0.313"/>
    <n v="0.28699999999999998"/>
    <n v="0.27100000000000002"/>
    <n v="0.27900000000000003"/>
    <n v="0.23"/>
    <n v="0.22900000000000001"/>
    <n v="0.21099999999999999"/>
    <n v="0.19500000000000001"/>
    <n v="0.17599999999999999"/>
    <n v="9.6739999999999995"/>
  </r>
  <r>
    <x v="3"/>
    <s v="PEST CONTROL"/>
    <s v="SC JOHNSON"/>
    <x v="3"/>
    <x v="0"/>
    <x v="0"/>
    <x v="10"/>
    <x v="3"/>
    <n v="52.338999999999999"/>
    <n v="63.298999999999999"/>
    <n v="72.793999999999997"/>
    <n v="74.372"/>
    <n v="76.763000000000005"/>
    <n v="73.290999999999997"/>
    <n v="72.649000000000001"/>
    <n v="67.718999999999994"/>
    <n v="63.295000000000002"/>
    <n v="54.558"/>
    <n v="52.68"/>
    <n v="54.713000000000001"/>
    <n v="60.951999999999998"/>
    <n v="64.173000000000002"/>
    <n v="70.436999999999998"/>
    <n v="70.491"/>
    <n v="71.183999999999997"/>
    <n v="70.498999999999995"/>
    <n v="70.222999999999999"/>
    <n v="68.311999999999998"/>
    <n v="63.540999999999997"/>
    <n v="56.765999999999998"/>
    <n v="50.92"/>
    <n v="47.947000000000003"/>
    <n v="51.259"/>
    <n v="60.896000000000001"/>
    <n v="67.807000000000002"/>
    <n v="73.956999999999994"/>
    <n v="75.543999999999997"/>
    <n v="71.539000000000001"/>
    <n v="70.513999999999996"/>
    <n v="71.617000000000004"/>
    <n v="57.188000000000002"/>
    <n v="49.722999999999999"/>
    <n v="43.613999999999997"/>
    <n v="44.177999999999997"/>
    <n v="51.273000000000003"/>
    <n v="209841.883"/>
  </r>
  <r>
    <x v="3"/>
    <s v="PEST CONTROL"/>
    <s v="SC JOHNSON"/>
    <x v="3"/>
    <x v="0"/>
    <x v="0"/>
    <x v="10"/>
    <x v="4"/>
    <n v="14.752467299999999"/>
    <n v="15.169852300000001"/>
    <n v="17.0940607"/>
    <n v="19.293391799999998"/>
    <n v="19.099602699999998"/>
    <n v="19.214388899999999"/>
    <n v="19.5496534"/>
    <n v="18.660954400000001"/>
    <n v="17.203786699999998"/>
    <n v="16.4952471"/>
    <n v="15.3684814"/>
    <n v="15.0011466"/>
    <n v="14.3771779"/>
    <n v="14.6475864"/>
    <n v="15.6961438"/>
    <n v="16.434992600000001"/>
    <n v="17.029035"/>
    <n v="17.246932999999999"/>
    <n v="17.5294095"/>
    <n v="17.573070099999999"/>
    <n v="17.233890500000001"/>
    <n v="15.5272381"/>
    <n v="15.007740999999999"/>
    <n v="14.8075046"/>
    <n v="15.572197600000001"/>
    <n v="16.782636499999999"/>
    <n v="18.683672600000001"/>
    <n v="18.947087499999999"/>
    <n v="19.730830399999999"/>
    <n v="20.543565999999998"/>
    <n v="20.131437200000001"/>
    <n v="19.971473700000001"/>
    <n v="17.449172999999998"/>
    <n v="16.5448989"/>
    <n v="16.584614899999998"/>
    <n v="15.5351505"/>
    <n v="14.785987499999999"/>
    <n v="51.273000000000003"/>
  </r>
  <r>
    <x v="3"/>
    <s v="PEST CONTROL"/>
    <s v="SC JOHNSON"/>
    <x v="3"/>
    <x v="0"/>
    <x v="0"/>
    <x v="10"/>
    <x v="5"/>
    <n v="1.72"/>
    <n v="2.0569999999999999"/>
    <n v="2.4049999999999998"/>
    <n v="2.621"/>
    <n v="3.0870000000000002"/>
    <n v="2.62"/>
    <n v="3.0760000000000001"/>
    <n v="2.8050000000000002"/>
    <n v="2.99"/>
    <n v="2.8109999999999999"/>
    <n v="2.7130000000000001"/>
    <n v="2.782"/>
    <n v="2.64"/>
    <n v="2.8340000000000001"/>
    <n v="2.3540000000000001"/>
    <n v="1.984"/>
    <n v="2.14"/>
    <n v="1.823"/>
    <n v="1.849"/>
    <n v="2.0219999999999998"/>
    <n v="2.286"/>
    <n v="2.1920000000000002"/>
    <n v="1.92"/>
    <n v="2.012"/>
    <n v="1.9990000000000001"/>
    <n v="1.9930000000000001"/>
    <n v="1.738"/>
    <n v="1.948"/>
    <n v="2.2530000000000001"/>
    <n v="2.4420000000000002"/>
    <n v="2.226"/>
    <n v="2.1509999999999998"/>
    <n v="2.3330000000000002"/>
    <n v="2.1539999999999999"/>
    <n v="2.149"/>
    <n v="2.3359999999999999"/>
    <n v="2.0409999999999999"/>
    <n v="14.785987499999999"/>
  </r>
  <r>
    <x v="3"/>
    <s v="PEST CONTROL"/>
    <s v="SC JOHNSON"/>
    <x v="3"/>
    <x v="0"/>
    <x v="3"/>
    <x v="11"/>
    <x v="0"/>
    <n v="266.34300000000002"/>
    <n v="348.25099999999998"/>
    <n v="554.58600000000001"/>
    <n v="749.51599999999996"/>
    <n v="490.47"/>
    <n v="444.22800000000001"/>
    <n v="377.43400000000003"/>
    <n v="321.10399999999998"/>
    <n v="294.68700000000001"/>
    <n v="239.54400000000001"/>
    <n v="232.46199999999999"/>
    <n v="219.90899999999999"/>
    <n v="166.34100000000001"/>
    <n v="186.197"/>
    <n v="266.7"/>
    <n v="227.95099999999999"/>
    <n v="193.47800000000001"/>
    <n v="412.03199999999998"/>
    <n v="442.529"/>
    <n v="421.279"/>
    <n v="329.51799999999997"/>
    <n v="214.518"/>
    <n v="188.39699999999999"/>
    <n v="225.58600000000001"/>
    <n v="226.54400000000001"/>
    <n v="232.28399999999999"/>
    <n v="298.101"/>
    <n v="468.16300000000001"/>
    <n v="421.77499999999998"/>
    <n v="249.108"/>
    <n v="240.16"/>
    <n v="420.43"/>
    <n v="238.398"/>
    <n v="496.62599999999998"/>
    <n v="248.054"/>
    <n v="147.16300000000001"/>
    <n v="25.116"/>
    <n v="25.116"/>
  </r>
  <r>
    <x v="3"/>
    <s v="PEST CONTROL"/>
    <s v="SC JOHNSON"/>
    <x v="3"/>
    <x v="0"/>
    <x v="3"/>
    <x v="11"/>
    <x v="1"/>
    <n v="117479.24"/>
    <n v="157708.67000000001"/>
    <n v="219109.82699999999"/>
    <n v="286383.46399999998"/>
    <n v="201656.53099999999"/>
    <n v="183673.071"/>
    <n v="160483.05499999999"/>
    <n v="131879.75200000001"/>
    <n v="119698.031"/>
    <n v="102461.965"/>
    <n v="100538.185"/>
    <n v="100886.8"/>
    <n v="75841.225999999995"/>
    <n v="81103.115000000005"/>
    <n v="126913.363"/>
    <n v="116679.38800000001"/>
    <n v="88213.34"/>
    <n v="212666.12899999999"/>
    <n v="218474.853"/>
    <n v="207594.20699999999"/>
    <n v="161046.75899999999"/>
    <n v="91171.667000000001"/>
    <n v="85897.532999999996"/>
    <n v="114360.492"/>
    <n v="115033.639"/>
    <n v="102474.38499999999"/>
    <n v="148307.85699999999"/>
    <n v="210704.71400000001"/>
    <n v="194745.70300000001"/>
    <n v="112784.912"/>
    <n v="109362.037"/>
    <n v="168407.70600000001"/>
    <n v="112360.906"/>
    <n v="217627.66099999999"/>
    <n v="100229.565"/>
    <n v="58903.158000000003"/>
    <n v="7418.9780000000001"/>
    <n v="7418.9780000000001"/>
  </r>
  <r>
    <x v="3"/>
    <s v="PEST CONTROL"/>
    <s v="SC JOHNSON"/>
    <x v="3"/>
    <x v="0"/>
    <x v="3"/>
    <x v="11"/>
    <x v="2"/>
    <n v="0.11700000000000001"/>
    <n v="0.106"/>
    <n v="0.121"/>
    <n v="0.125"/>
    <n v="6.2E-2"/>
    <n v="5.7000000000000002E-2"/>
    <n v="5.3999999999999999E-2"/>
    <n v="6.4000000000000001E-2"/>
    <n v="8.5999999999999993E-2"/>
    <n v="0.108"/>
    <n v="0.125"/>
    <n v="0.123"/>
    <n v="8.3000000000000004E-2"/>
    <n v="6.9000000000000006E-2"/>
    <n v="6.4000000000000001E-2"/>
    <n v="3.9E-2"/>
    <n v="2.8000000000000001E-2"/>
    <n v="6.4000000000000001E-2"/>
    <n v="6.6000000000000003E-2"/>
    <n v="8.3000000000000004E-2"/>
    <n v="8.4000000000000005E-2"/>
    <n v="7.3999999999999996E-2"/>
    <n v="8.2000000000000003E-2"/>
    <n v="0.109"/>
    <n v="0.10299999999999999"/>
    <n v="0.08"/>
    <n v="7.5999999999999998E-2"/>
    <n v="0.08"/>
    <n v="5.6000000000000001E-2"/>
    <n v="3.4000000000000002E-2"/>
    <n v="2.8000000000000001E-2"/>
    <n v="0.05"/>
    <n v="4.3999999999999997E-2"/>
    <n v="0.128"/>
    <n v="8.5999999999999993E-2"/>
    <n v="7.2999999999999995E-2"/>
    <n v="1.4999999999999999E-2"/>
    <n v="3.0000000000000001E-3"/>
  </r>
  <r>
    <x v="3"/>
    <s v="PEST CONTROL"/>
    <s v="SC JOHNSON"/>
    <x v="3"/>
    <x v="0"/>
    <x v="3"/>
    <x v="11"/>
    <x v="3"/>
    <n v="8.1969999999999992"/>
    <n v="7.7539999999999996"/>
    <n v="6.4009999999999998"/>
    <n v="6.1879999999999997"/>
    <n v="4.7069999999999999"/>
    <n v="4.665"/>
    <n v="4.125"/>
    <n v="4.3259999999999996"/>
    <n v="5.3659999999999997"/>
    <n v="6.2619999999999996"/>
    <n v="6.827"/>
    <n v="6.3040000000000003"/>
    <n v="5.3440000000000003"/>
    <n v="4.1609999999999996"/>
    <n v="3.3559999999999999"/>
    <n v="2.9710000000000001"/>
    <n v="2.2730000000000001"/>
    <n v="3.18"/>
    <n v="3.415"/>
    <n v="3.504"/>
    <n v="4.1829999999999998"/>
    <n v="4.25"/>
    <n v="5.016"/>
    <n v="5.1289999999999996"/>
    <n v="4.03"/>
    <n v="3.7269999999999999"/>
    <n v="2.9020000000000001"/>
    <n v="2.452"/>
    <n v="2.0609999999999999"/>
    <n v="2.4220000000000002"/>
    <n v="1.9470000000000001"/>
    <n v="2.2930000000000001"/>
    <n v="3.1480000000000001"/>
    <n v="4.2709999999999999"/>
    <n v="3.6739999999999999"/>
    <n v="3.8439999999999999"/>
    <n v="1.1659999999999999"/>
    <n v="323.29300000000001"/>
  </r>
  <r>
    <x v="3"/>
    <s v="PEST CONTROL"/>
    <s v="SC JOHNSON"/>
    <x v="3"/>
    <x v="0"/>
    <x v="3"/>
    <x v="11"/>
    <x v="4"/>
    <n v="1.3881657000000001"/>
    <n v="1.6227279999999999"/>
    <n v="1.7356235"/>
    <n v="1.5741257"/>
    <n v="1.4847931000000001"/>
    <n v="1.238216"/>
    <n v="1.2597913000000001"/>
    <n v="1.2461679000000001"/>
    <n v="1.1817070000000001"/>
    <n v="1.0566310000000001"/>
    <n v="0.95784930000000001"/>
    <n v="0.92618389999999995"/>
    <n v="0.81231359999999997"/>
    <n v="0.8121834"/>
    <n v="0.83826040000000002"/>
    <n v="0.82927720000000005"/>
    <n v="0.71194919999999995"/>
    <n v="1.0055518000000001"/>
    <n v="0.9476019"/>
    <n v="0.79293800000000003"/>
    <n v="0.94572100000000003"/>
    <n v="0.75251679999999999"/>
    <n v="0.61621309999999996"/>
    <n v="0.60355250000000005"/>
    <n v="0.61594130000000002"/>
    <n v="0.68280079999999999"/>
    <n v="0.62796099999999999"/>
    <n v="0.65216439999999998"/>
    <n v="0.61678759999999999"/>
    <n v="0.53031989999999996"/>
    <n v="0.44108530000000001"/>
    <n v="0.62026159999999997"/>
    <n v="0.62582289999999996"/>
    <n v="0.64702110000000002"/>
    <n v="0.66668510000000003"/>
    <n v="0.64763230000000005"/>
    <n v="0.57894749999999995"/>
    <n v="1.1659999999999999"/>
  </r>
  <r>
    <x v="3"/>
    <s v="PEST CONTROL"/>
    <s v="SC JOHNSON"/>
    <x v="3"/>
    <x v="0"/>
    <x v="3"/>
    <x v="11"/>
    <x v="5"/>
    <n v="0.17399999999999999"/>
    <n v="0.17899999999999999"/>
    <n v="0.16800000000000001"/>
    <n v="0.14000000000000001"/>
    <n v="0.13300000000000001"/>
    <n v="0.11799999999999999"/>
    <n v="0.115"/>
    <n v="0.11799999999999999"/>
    <n v="0.105"/>
    <n v="0.104"/>
    <n v="0.1"/>
    <n v="9.9000000000000005E-2"/>
    <n v="9.9000000000000005E-2"/>
    <n v="9.2999999999999999E-2"/>
    <n v="7.9000000000000001E-2"/>
    <n v="7.3999999999999996E-2"/>
    <n v="7.3999999999999996E-2"/>
    <n v="9.8000000000000004E-2"/>
    <n v="7.0999999999999994E-2"/>
    <n v="9.8000000000000004E-2"/>
    <n v="9.2999999999999999E-2"/>
    <n v="8.4000000000000005E-2"/>
    <n v="8.6999999999999994E-2"/>
    <n v="8.5000000000000006E-2"/>
    <n v="9.0999999999999998E-2"/>
    <n v="0.10100000000000001"/>
    <n v="7.3999999999999996E-2"/>
    <n v="7.9000000000000001E-2"/>
    <n v="7.0000000000000007E-2"/>
    <n v="7.6999999999999999E-2"/>
    <n v="7.9000000000000001E-2"/>
    <n v="8.1000000000000003E-2"/>
    <n v="8.6999999999999994E-2"/>
    <n v="8.5999999999999993E-2"/>
    <n v="8.1000000000000003E-2"/>
    <n v="7.1999999999999995E-2"/>
    <n v="6.4000000000000001E-2"/>
    <n v="0.57894749999999995"/>
  </r>
  <r>
    <x v="3"/>
    <s v="PEST CONTROL"/>
    <s v="SC JOHNSON"/>
    <x v="3"/>
    <x v="0"/>
    <x v="3"/>
    <x v="8"/>
    <x v="0"/>
    <n v="3538.4340000000002"/>
    <n v="6252.7349999999997"/>
    <n v="10477.066999999999"/>
    <n v="17449.109"/>
    <n v="34754.491999999998"/>
    <n v="32986.642999999996"/>
    <n v="26115.269"/>
    <n v="19100.282999999999"/>
    <n v="8971.2440000000006"/>
    <n v="3662.7570000000001"/>
    <n v="3586.3049999999998"/>
    <n v="3573.7510000000002"/>
    <n v="2863.9859999999999"/>
    <n v="3677.6709999999998"/>
    <n v="15494.225"/>
    <n v="19945.909"/>
    <n v="25880.155999999999"/>
    <n v="30379.688999999998"/>
    <n v="25668.246999999999"/>
    <n v="15185.704"/>
    <n v="11120.03"/>
    <n v="5274.3490000000002"/>
    <n v="3994.913"/>
    <n v="2836.2139999999999"/>
    <n v="2972.49"/>
    <n v="5959.8149999999996"/>
    <n v="8948.0619999999999"/>
    <n v="20725.829000000002"/>
    <n v="32036.812000000002"/>
    <n v="28942.977999999999"/>
    <n v="31343.545999999998"/>
    <n v="35778.675000000003"/>
    <n v="15077.271000000001"/>
    <n v="11915.401"/>
    <n v="5298.4859999999999"/>
    <n v="3014.0650000000001"/>
    <n v="2717.3910000000001"/>
    <n v="30264.921999999999"/>
  </r>
  <r>
    <x v="3"/>
    <s v="PEST CONTROL"/>
    <s v="SC JOHNSON"/>
    <x v="3"/>
    <x v="0"/>
    <x v="3"/>
    <x v="8"/>
    <x v="1"/>
    <n v="379503.65500000003"/>
    <n v="673970.71600000001"/>
    <n v="1135389.375"/>
    <n v="1934292.8640000001"/>
    <n v="3493848.1269999999"/>
    <n v="2898799.952"/>
    <n v="2307008.3590000002"/>
    <n v="1402433.588"/>
    <n v="741249.13100000005"/>
    <n v="400527.30300000001"/>
    <n v="310527.73599999998"/>
    <n v="331889.761"/>
    <n v="247286.698"/>
    <n v="367309.478"/>
    <n v="1218774.145"/>
    <n v="2250958.3190000001"/>
    <n v="2893855.13"/>
    <n v="3093300.446"/>
    <n v="2790036.432"/>
    <n v="1775824.925"/>
    <n v="1304398.9450000001"/>
    <n v="638584.429"/>
    <n v="470210.98499999999"/>
    <n v="362816.26400000002"/>
    <n v="382354.78700000001"/>
    <n v="792406.43400000001"/>
    <n v="1188137.2949999999"/>
    <n v="2891766.503"/>
    <n v="4567765.4539999999"/>
    <n v="4117446.1630000002"/>
    <n v="4566400.426"/>
    <n v="5314174.2369999997"/>
    <n v="2116438.659"/>
    <n v="1473425.5970000001"/>
    <n v="684765.68500000006"/>
    <n v="398401.929"/>
    <n v="387370.64799999999"/>
    <n v="387370.64799999999"/>
  </r>
  <r>
    <x v="3"/>
    <s v="PEST CONTROL"/>
    <s v="SC JOHNSON"/>
    <x v="3"/>
    <x v="0"/>
    <x v="3"/>
    <x v="8"/>
    <x v="2"/>
    <n v="6.3E-2"/>
    <n v="7.6999999999999999E-2"/>
    <n v="9.0999999999999998E-2"/>
    <n v="0.11799999999999999"/>
    <n v="0.158"/>
    <n v="0.13400000000000001"/>
    <n v="0.12"/>
    <n v="0.106"/>
    <n v="7.6999999999999999E-2"/>
    <n v="6.2E-2"/>
    <n v="5.8999999999999997E-2"/>
    <n v="6.6000000000000003E-2"/>
    <n v="4.4999999999999998E-2"/>
    <n v="4.7E-2"/>
    <n v="0.104"/>
    <n v="0.123"/>
    <n v="0.13400000000000001"/>
    <n v="0.154"/>
    <n v="0.128"/>
    <n v="0.10199999999999999"/>
    <n v="9.6000000000000002E-2"/>
    <n v="6.2E-2"/>
    <n v="5.8000000000000003E-2"/>
    <n v="5.0999999999999997E-2"/>
    <n v="4.9000000000000002E-2"/>
    <n v="7.5999999999999998E-2"/>
    <n v="8.6999999999999994E-2"/>
    <n v="0.13600000000000001"/>
    <n v="0.16500000000000001"/>
    <n v="0.152"/>
    <n v="0.14399999999999999"/>
    <n v="0.16700000000000001"/>
    <n v="0.105"/>
    <n v="0.11600000000000001"/>
    <n v="7.0999999999999994E-2"/>
    <n v="5.8000000000000003E-2"/>
    <n v="6.3E-2"/>
    <n v="3.43"/>
  </r>
  <r>
    <x v="3"/>
    <s v="PEST CONTROL"/>
    <s v="SC JOHNSON"/>
    <x v="3"/>
    <x v="0"/>
    <x v="3"/>
    <x v="8"/>
    <x v="3"/>
    <n v="42.456000000000003"/>
    <n v="56.563000000000002"/>
    <n v="66.209999999999994"/>
    <n v="68.302000000000007"/>
    <n v="72.968000000000004"/>
    <n v="67.947999999999993"/>
    <n v="65.036000000000001"/>
    <n v="61.514000000000003"/>
    <n v="53.042000000000002"/>
    <n v="40.719000000000001"/>
    <n v="39.173000000000002"/>
    <n v="41.344000000000001"/>
    <n v="44.917000000000002"/>
    <n v="53.676000000000002"/>
    <n v="65.119"/>
    <n v="68.438000000000002"/>
    <n v="69.546000000000006"/>
    <n v="70.736000000000004"/>
    <n v="65.593999999999994"/>
    <n v="56.847999999999999"/>
    <n v="50.994999999999997"/>
    <n v="40.613999999999997"/>
    <n v="35.948999999999998"/>
    <n v="33.695999999999998"/>
    <n v="34.688000000000002"/>
    <n v="49.643999999999998"/>
    <n v="57.667999999999999"/>
    <n v="66.194000000000003"/>
    <n v="72.575000000000003"/>
    <n v="66.525999999999996"/>
    <n v="65.289000000000001"/>
    <n v="66.885000000000005"/>
    <n v="50.981999999999999"/>
    <n v="38.954999999999998"/>
    <n v="30.33"/>
    <n v="30.745000000000001"/>
    <n v="40.89"/>
    <n v="125246.016"/>
  </r>
  <r>
    <x v="3"/>
    <s v="PEST CONTROL"/>
    <s v="SC JOHNSON"/>
    <x v="3"/>
    <x v="0"/>
    <x v="3"/>
    <x v="8"/>
    <x v="4"/>
    <n v="13.046724899999999"/>
    <n v="13.843423100000001"/>
    <n v="14.4259217"/>
    <n v="15.303353700000001"/>
    <n v="16.486386199999998"/>
    <n v="15.9521332"/>
    <n v="16.0942492"/>
    <n v="16.523760299999999"/>
    <n v="14.855296299999999"/>
    <n v="13.8423143"/>
    <n v="13.667350799999999"/>
    <n v="13.5386486"/>
    <n v="13.382622"/>
    <n v="13.780348999999999"/>
    <n v="15.429035900000001"/>
    <n v="16.128658300000001"/>
    <n v="17.090501799999998"/>
    <n v="17.695767400000001"/>
    <n v="17.919537999999999"/>
    <n v="15.597349299999999"/>
    <n v="13.968511100000001"/>
    <n v="13.0303092"/>
    <n v="13.515875599999999"/>
    <n v="13.1920334"/>
    <n v="13.3394034"/>
    <n v="14.0604326"/>
    <n v="15.4281804"/>
    <n v="16.176266999999999"/>
    <n v="17.995448499999998"/>
    <n v="17.726770900000002"/>
    <n v="18.141639300000001"/>
    <n v="16.656371700000001"/>
    <n v="14.614613800000001"/>
    <n v="13.104977399999999"/>
    <n v="12.106897500000001"/>
    <n v="11.7014935"/>
    <n v="11.394367000000001"/>
    <n v="40.89"/>
  </r>
  <r>
    <x v="3"/>
    <s v="PEST CONTROL"/>
    <s v="SC JOHNSON"/>
    <x v="3"/>
    <x v="0"/>
    <x v="3"/>
    <x v="8"/>
    <x v="5"/>
    <n v="2.4830000000000001"/>
    <n v="2.0009999999999999"/>
    <n v="2.0219999999999998"/>
    <n v="2.4239999999999999"/>
    <n v="2.4209999999999998"/>
    <n v="2.044"/>
    <n v="2.0019999999999998"/>
    <n v="2.4529999999999998"/>
    <n v="2.0339999999999998"/>
    <n v="2.1720000000000002"/>
    <n v="2.1480000000000001"/>
    <n v="2.0590000000000002"/>
    <n v="2.101"/>
    <n v="1.887"/>
    <n v="2.1139999999999999"/>
    <n v="2.109"/>
    <n v="2.42"/>
    <n v="2.347"/>
    <n v="2.758"/>
    <n v="2.5590000000000002"/>
    <n v="2.5030000000000001"/>
    <n v="2.5009999999999999"/>
    <n v="2.4689999999999999"/>
    <n v="2.6890000000000001"/>
    <n v="2.65"/>
    <n v="3.0739999999999998"/>
    <n v="2.984"/>
    <n v="2.4249999999999998"/>
    <n v="2.5449999999999999"/>
    <n v="2.754"/>
    <n v="2.6789999999999998"/>
    <n v="2.2170000000000001"/>
    <n v="2.0539999999999998"/>
    <n v="1.956"/>
    <n v="1.879"/>
    <n v="1.8049999999999999"/>
    <n v="2.1360000000000001"/>
    <n v="11.394367000000001"/>
  </r>
  <r>
    <x v="3"/>
    <s v="PEST CONTROL"/>
    <s v="SC JOHNSON"/>
    <x v="3"/>
    <x v="0"/>
    <x v="3"/>
    <x v="9"/>
    <x v="0"/>
    <n v="1965.1479999999999"/>
    <n v="5798.8370000000004"/>
    <n v="9727.2070000000003"/>
    <n v="12591.922"/>
    <n v="17613.563999999998"/>
    <n v="13495.796"/>
    <n v="10361.316999999999"/>
    <n v="5852.3469999999998"/>
    <n v="3129.3159999999998"/>
    <n v="1430.9929999999999"/>
    <n v="979.26"/>
    <n v="1150.069"/>
    <n v="2205.9209999999998"/>
    <n v="4964.8149999999996"/>
    <n v="13165.849"/>
    <n v="19150.155999999999"/>
    <n v="20266.437000000002"/>
    <n v="15830.155000000001"/>
    <n v="14091.811"/>
    <n v="8147.45"/>
    <n v="5624.9279999999999"/>
    <n v="3432.9090000000001"/>
    <n v="2047.7470000000001"/>
    <n v="1814.374"/>
    <n v="2505.183"/>
    <n v="5033.259"/>
    <n v="10451.147000000001"/>
    <n v="23003.212"/>
    <n v="25875.88"/>
    <n v="18297.874"/>
    <n v="17899.553"/>
    <n v="17904.001"/>
    <n v="8945.7469999999994"/>
    <n v="4512.8819999999996"/>
    <n v="2971.4760000000001"/>
    <n v="2046.3140000000001"/>
    <n v="2708.8420000000001"/>
    <n v="2708.8420000000001"/>
  </r>
  <r>
    <x v="3"/>
    <s v="PEST CONTROL"/>
    <s v="SC JOHNSON"/>
    <x v="3"/>
    <x v="0"/>
    <x v="3"/>
    <x v="9"/>
    <x v="1"/>
    <n v="541347.72600000002"/>
    <n v="1657187.2960000001"/>
    <n v="2730666.1090000002"/>
    <n v="3609569.5269999998"/>
    <n v="4961881.7379999999"/>
    <n v="3766395.2949999999"/>
    <n v="2866105.193"/>
    <n v="1596837.125"/>
    <n v="840982.505"/>
    <n v="383585.34399999998"/>
    <n v="292247.45"/>
    <n v="323252.25300000003"/>
    <n v="605569.16799999995"/>
    <n v="1365902.7679999999"/>
    <n v="3661187.1060000001"/>
    <n v="5332604.3490000004"/>
    <n v="5847150.0109999999"/>
    <n v="4687997.0420000004"/>
    <n v="4152395.1970000002"/>
    <n v="2426420.9539999999"/>
    <n v="1650117.7120000001"/>
    <n v="1029875.885"/>
    <n v="601629.11199999996"/>
    <n v="549147.09900000005"/>
    <n v="741299.98300000001"/>
    <n v="1575109.9569999999"/>
    <n v="3255638.7549999999"/>
    <n v="7135235.4280000003"/>
    <n v="8185008.9210000001"/>
    <n v="5826914.8650000002"/>
    <n v="5843302.3099999996"/>
    <n v="5894390.2960000001"/>
    <n v="2968853.8810000001"/>
    <n v="1449821.8430000001"/>
    <n v="942919.652"/>
    <n v="651947.29599999997"/>
    <n v="896234.61"/>
    <n v="896234.61"/>
  </r>
  <r>
    <x v="3"/>
    <s v="PEST CONTROL"/>
    <s v="SC JOHNSON"/>
    <x v="3"/>
    <x v="0"/>
    <x v="3"/>
    <x v="9"/>
    <x v="2"/>
    <n v="0.13300000000000001"/>
    <n v="0.27300000000000002"/>
    <n v="0.32700000000000001"/>
    <n v="0.32600000000000001"/>
    <n v="0.34200000000000003"/>
    <n v="0.26600000000000001"/>
    <n v="0.23"/>
    <n v="0.182"/>
    <n v="0.14099999999999999"/>
    <n v="0.1"/>
    <n v="8.2000000000000003E-2"/>
    <n v="0.1"/>
    <n v="0.17"/>
    <n v="0.28399999999999997"/>
    <n v="0.48899999999999999"/>
    <n v="0.504"/>
    <n v="0.45800000000000002"/>
    <n v="0.38200000000000001"/>
    <n v="0.32600000000000001"/>
    <n v="0.248"/>
    <n v="0.222"/>
    <n v="0.183"/>
    <n v="0.13800000000000001"/>
    <n v="0.13600000000000001"/>
    <n v="0.17599999999999999"/>
    <n v="0.26700000000000002"/>
    <n v="0.41199999999999998"/>
    <n v="0.60599999999999998"/>
    <n v="0.53300000000000003"/>
    <n v="0.38400000000000001"/>
    <n v="0.32400000000000001"/>
    <n v="0.32900000000000001"/>
    <n v="0.252"/>
    <n v="0.17399999999999999"/>
    <n v="0.155"/>
    <n v="0.157"/>
    <n v="0.252"/>
    <n v="0.307"/>
  </r>
  <r>
    <x v="3"/>
    <s v="PEST CONTROL"/>
    <s v="SC JOHNSON"/>
    <x v="3"/>
    <x v="0"/>
    <x v="3"/>
    <x v="9"/>
    <x v="3"/>
    <n v="40.753"/>
    <n v="53.287999999999997"/>
    <n v="62.231999999999999"/>
    <n v="61.314"/>
    <n v="65.418999999999997"/>
    <n v="58.302"/>
    <n v="55.997999999999998"/>
    <n v="50.52"/>
    <n v="43.997"/>
    <n v="31.388000000000002"/>
    <n v="29.582000000000001"/>
    <n v="34.734000000000002"/>
    <n v="45.402999999999999"/>
    <n v="56.856000000000002"/>
    <n v="67.614000000000004"/>
    <n v="70.400999999999996"/>
    <n v="68.988"/>
    <n v="67.975999999999999"/>
    <n v="63.561"/>
    <n v="59.274999999999999"/>
    <n v="53.317999999999998"/>
    <n v="44.734000000000002"/>
    <n v="39.167999999999999"/>
    <n v="38.610999999999997"/>
    <n v="40.741"/>
    <n v="58.478999999999999"/>
    <n v="65.497"/>
    <n v="74.245999999999995"/>
    <n v="77.63"/>
    <n v="73.052999999999997"/>
    <n v="72.260000000000005"/>
    <n v="71.637"/>
    <n v="56.723999999999997"/>
    <n v="45.232999999999997"/>
    <n v="39.389000000000003"/>
    <n v="39.418999999999997"/>
    <n v="48.186999999999998"/>
    <n v="6506.9250000000002"/>
  </r>
  <r>
    <x v="3"/>
    <s v="PEST CONTROL"/>
    <s v="SC JOHNSON"/>
    <x v="3"/>
    <x v="0"/>
    <x v="3"/>
    <x v="9"/>
    <x v="4"/>
    <n v="6.4924147999999997"/>
    <n v="7.2438016000000003"/>
    <n v="8.0436122999999995"/>
    <n v="7.8129049000000004"/>
    <n v="7.9603092000000002"/>
    <n v="8.4196399999999993"/>
    <n v="8.2415149000000003"/>
    <n v="8.2787062000000002"/>
    <n v="7.8748443999999997"/>
    <n v="7.2121266999999998"/>
    <n v="6.4578873999999997"/>
    <n v="6.7229580999999996"/>
    <n v="7.2862688999999996"/>
    <n v="8.2362242000000006"/>
    <n v="9.4121875999999993"/>
    <n v="10.1824283"/>
    <n v="10.200386399999999"/>
    <n v="10.628935999999999"/>
    <n v="10.3172383"/>
    <n v="10.3884188"/>
    <n v="9.6581571000000004"/>
    <n v="8.7434432999999991"/>
    <n v="8.0835767000000001"/>
    <n v="8.1330232999999996"/>
    <n v="9.0895785"/>
    <n v="10.489387499999999"/>
    <n v="11.5554308"/>
    <n v="13.014645099999999"/>
    <n v="13.467693300000001"/>
    <n v="13.700915200000001"/>
    <n v="13.7928944"/>
    <n v="13.6313347"/>
    <n v="14.0642896"/>
    <n v="12.642586100000001"/>
    <n v="11.815759"/>
    <n v="11.3556027"/>
    <n v="10.7204446"/>
    <n v="48.186999999999998"/>
  </r>
  <r>
    <x v="3"/>
    <s v="PEST CONTROL"/>
    <s v="SC JOHNSON"/>
    <x v="3"/>
    <x v="0"/>
    <x v="3"/>
    <x v="9"/>
    <x v="5"/>
    <n v="1.1399999999999999"/>
    <n v="0.96799999999999997"/>
    <n v="0.77800000000000002"/>
    <n v="0.747"/>
    <n v="0.879"/>
    <n v="0.90500000000000003"/>
    <n v="0.89200000000000002"/>
    <n v="0.89"/>
    <n v="0.89400000000000002"/>
    <n v="0.88600000000000001"/>
    <n v="0.90300000000000002"/>
    <n v="0.89"/>
    <n v="0.97899999999999998"/>
    <n v="1.0840000000000001"/>
    <n v="1.17"/>
    <n v="1.0660000000000001"/>
    <n v="1.107"/>
    <n v="1.196"/>
    <n v="1.113"/>
    <n v="1.161"/>
    <n v="1.1419999999999999"/>
    <n v="1.1240000000000001"/>
    <n v="1.133"/>
    <n v="1.1479999999999999"/>
    <n v="1.2470000000000001"/>
    <n v="1.256"/>
    <n v="1.2529999999999999"/>
    <n v="1.169"/>
    <n v="1.2889999999999999"/>
    <n v="1.1819999999999999"/>
    <n v="1.1890000000000001"/>
    <n v="1.4430000000000001"/>
    <n v="1.355"/>
    <n v="1.302"/>
    <n v="1.3560000000000001"/>
    <n v="1.3169999999999999"/>
    <n v="1.2729999999999999"/>
    <n v="10.7204446"/>
  </r>
  <r>
    <x v="3"/>
    <s v="PEST CONTROL"/>
    <s v="SC JOHNSON"/>
    <x v="3"/>
    <x v="0"/>
    <x v="3"/>
    <x v="10"/>
    <x v="0"/>
    <n v="10254.451999999999"/>
    <n v="20980.021000000001"/>
    <n v="44041.099000000002"/>
    <n v="60188.021999999997"/>
    <n v="84594.872000000003"/>
    <n v="65103.042000000001"/>
    <n v="42043.525000000001"/>
    <n v="28071.985000000001"/>
    <n v="15763.764999999999"/>
    <n v="9780.1329999999998"/>
    <n v="8155.7709999999997"/>
    <n v="8141.1809999999996"/>
    <n v="9729.7189999999991"/>
    <n v="13136.525"/>
    <n v="30888.991999999998"/>
    <n v="47803.241000000002"/>
    <n v="57839.974999999999"/>
    <n v="48910.008000000002"/>
    <n v="43746.796000000002"/>
    <n v="29130.027999999998"/>
    <n v="21884.153999999999"/>
    <n v="14946.514999999999"/>
    <n v="12941.643"/>
    <n v="9684.9509999999991"/>
    <n v="10712.941000000001"/>
    <n v="15469.973"/>
    <n v="26198.043000000001"/>
    <n v="48851.942999999999"/>
    <n v="67482.164000000004"/>
    <n v="56186.875999999997"/>
    <n v="66168.942999999999"/>
    <n v="64373.394999999997"/>
    <n v="40374.230000000003"/>
    <n v="26726.192999999999"/>
    <n v="17576.366999999998"/>
    <n v="13927.77"/>
    <n v="11758.38"/>
    <n v="210108.65700000001"/>
  </r>
  <r>
    <x v="3"/>
    <s v="PEST CONTROL"/>
    <s v="SC JOHNSON"/>
    <x v="3"/>
    <x v="0"/>
    <x v="3"/>
    <x v="10"/>
    <x v="1"/>
    <n v="1875387.2109999999"/>
    <n v="3546055.1690000002"/>
    <n v="7232756.1150000002"/>
    <n v="9881894.6410000008"/>
    <n v="14253857.370999999"/>
    <n v="11222747.880999999"/>
    <n v="8024755.0719999997"/>
    <n v="5590941.5439999998"/>
    <n v="3096018.2349999999"/>
    <n v="1934245.3870000001"/>
    <n v="1553874.764"/>
    <n v="1467363.8959999999"/>
    <n v="1868348.4879999999"/>
    <n v="2579309.273"/>
    <n v="6188445.568"/>
    <n v="9919677.3729999997"/>
    <n v="12563876.293"/>
    <n v="10715296.932"/>
    <n v="9540109.7229999993"/>
    <n v="6159522.7659999998"/>
    <n v="4636772.6220000004"/>
    <n v="3001057.3319999999"/>
    <n v="2370366.6379999998"/>
    <n v="1911625.051"/>
    <n v="2157668.5630000001"/>
    <n v="3264639.25"/>
    <n v="5741607.3669999996"/>
    <n v="10902312.18"/>
    <n v="14864123.993000001"/>
    <n v="12106198.165999999"/>
    <n v="14127061.426999999"/>
    <n v="13923286.856000001"/>
    <n v="8592496.8100000005"/>
    <n v="5584692.6380000003"/>
    <n v="3654919.5410000002"/>
    <n v="2749275.9589999998"/>
    <n v="2380306.0260000001"/>
    <n v="2380306.0260000001"/>
  </r>
  <r>
    <x v="3"/>
    <s v="PEST CONTROL"/>
    <s v="SC JOHNSON"/>
    <x v="3"/>
    <x v="0"/>
    <x v="3"/>
    <x v="10"/>
    <x v="2"/>
    <n v="0.33300000000000002"/>
    <n v="0.41299999999999998"/>
    <n v="0.623"/>
    <n v="0.66800000000000004"/>
    <n v="0.68400000000000005"/>
    <n v="0.55100000000000005"/>
    <n v="0.43"/>
    <n v="0.41"/>
    <n v="0.33700000000000002"/>
    <n v="0.33"/>
    <n v="0.32900000000000001"/>
    <n v="0.35399999999999998"/>
    <n v="0.35499999999999998"/>
    <n v="0.32900000000000001"/>
    <n v="0.45200000000000001"/>
    <n v="0.49"/>
    <n v="0.51900000000000002"/>
    <n v="0.48"/>
    <n v="0.42699999999999999"/>
    <n v="0.379"/>
    <n v="0.38900000000000001"/>
    <n v="0.36099999999999999"/>
    <n v="0.377"/>
    <n v="0.34499999999999997"/>
    <n v="0.33600000000000002"/>
    <n v="0.33300000000000002"/>
    <n v="0.39800000000000002"/>
    <n v="0.47099999999999997"/>
    <n v="0.50600000000000001"/>
    <n v="0.45800000000000002"/>
    <n v="0.46600000000000003"/>
    <n v="0.47499999999999998"/>
    <n v="0.49099999999999999"/>
    <n v="0.46899999999999997"/>
    <n v="0.433"/>
    <n v="0.46800000000000003"/>
    <n v="0.443"/>
    <n v="23.81"/>
  </r>
  <r>
    <x v="3"/>
    <s v="PEST CONTROL"/>
    <s v="SC JOHNSON"/>
    <x v="3"/>
    <x v="0"/>
    <x v="3"/>
    <x v="10"/>
    <x v="3"/>
    <n v="72.171999999999997"/>
    <n v="78.218999999999994"/>
    <n v="82.894999999999996"/>
    <n v="83.358000000000004"/>
    <n v="86.221000000000004"/>
    <n v="82.531000000000006"/>
    <n v="80.653000000000006"/>
    <n v="76.509"/>
    <n v="69.646000000000001"/>
    <n v="61.137"/>
    <n v="61.475999999999999"/>
    <n v="63.643999999999998"/>
    <n v="68.292000000000002"/>
    <n v="76.055000000000007"/>
    <n v="84.545000000000002"/>
    <n v="84.953000000000003"/>
    <n v="85.477000000000004"/>
    <n v="84.521000000000001"/>
    <n v="83.275999999999996"/>
    <n v="79.316000000000003"/>
    <n v="75.602000000000004"/>
    <n v="70.061999999999998"/>
    <n v="68.171000000000006"/>
    <n v="64.671999999999997"/>
    <n v="67.248000000000005"/>
    <n v="73.98"/>
    <n v="81.212000000000003"/>
    <n v="85.855000000000004"/>
    <n v="89.503"/>
    <n v="88.27"/>
    <n v="88.683000000000007"/>
    <n v="87.847999999999999"/>
    <n v="78.87"/>
    <n v="73.323999999999998"/>
    <n v="69.007000000000005"/>
    <n v="65.734999999999999"/>
    <n v="70.722999999999999"/>
    <n v="579241.53399999999"/>
  </r>
  <r>
    <x v="3"/>
    <s v="PEST CONTROL"/>
    <s v="SC JOHNSON"/>
    <x v="3"/>
    <x v="0"/>
    <x v="3"/>
    <x v="10"/>
    <x v="4"/>
    <n v="27.739409999999999"/>
    <n v="28.5420783"/>
    <n v="29.121834799999998"/>
    <n v="30.3461833"/>
    <n v="30.774099799999998"/>
    <n v="30.5145415"/>
    <n v="30.370409599999999"/>
    <n v="29.075825900000002"/>
    <n v="26.643191300000002"/>
    <n v="24.857106300000002"/>
    <n v="24.190139200000001"/>
    <n v="24.927805200000002"/>
    <n v="25.2385266"/>
    <n v="26.327369999999998"/>
    <n v="28.4280376"/>
    <n v="30.325618800000001"/>
    <n v="32.737257900000003"/>
    <n v="32.558355400000003"/>
    <n v="31.056743999999998"/>
    <n v="30.749079399999999"/>
    <n v="29.132412899999999"/>
    <n v="28.953621299999998"/>
    <n v="28.068781900000001"/>
    <n v="26.531797099999999"/>
    <n v="27.863842900000002"/>
    <n v="29.433055"/>
    <n v="31.0700298"/>
    <n v="32.565237600000003"/>
    <n v="37.547460399999999"/>
    <n v="38.8493967"/>
    <n v="38.555065300000003"/>
    <n v="35.841621400000001"/>
    <n v="34.107235899999999"/>
    <n v="31.956769399999999"/>
    <n v="30.2885484"/>
    <n v="29.472531199999999"/>
    <n v="29.6239743"/>
    <n v="70.722999999999999"/>
  </r>
  <r>
    <x v="3"/>
    <s v="PEST CONTROL"/>
    <s v="SC JOHNSON"/>
    <x v="3"/>
    <x v="0"/>
    <x v="3"/>
    <x v="10"/>
    <x v="5"/>
    <n v="5.3079999999999998"/>
    <n v="5.1239999999999997"/>
    <n v="4.8449999999999998"/>
    <n v="4.49"/>
    <n v="5.2130000000000001"/>
    <n v="4.7329999999999997"/>
    <n v="5.2510000000000003"/>
    <n v="4.8620000000000001"/>
    <n v="4.6470000000000002"/>
    <n v="5.1630000000000003"/>
    <n v="5.0270000000000001"/>
    <n v="5.0430000000000001"/>
    <n v="4.9219999999999997"/>
    <n v="4.9989999999999997"/>
    <n v="4.8879999999999999"/>
    <n v="5.3029999999999999"/>
    <n v="5.3959999999999999"/>
    <n v="5.1589999999999998"/>
    <n v="5.2469999999999999"/>
    <n v="5.4089999999999998"/>
    <n v="5.6829999999999998"/>
    <n v="5.19"/>
    <n v="5.423"/>
    <n v="5.2850000000000001"/>
    <n v="5.4820000000000002"/>
    <n v="4.665"/>
    <n v="4.7039999999999997"/>
    <n v="5.1920000000000002"/>
    <n v="5.3520000000000003"/>
    <n v="5.274"/>
    <n v="5.6059999999999999"/>
    <n v="5.7469999999999999"/>
    <n v="5.6"/>
    <n v="5.5339999999999998"/>
    <n v="5.4820000000000002"/>
    <n v="5.5750000000000002"/>
    <n v="5.8070000000000004"/>
    <n v="29.6239743"/>
  </r>
  <r>
    <x v="3"/>
    <s v="PEST CONTROL"/>
    <s v="SC JOHNSON"/>
    <x v="4"/>
    <x v="6"/>
    <x v="3"/>
    <x v="0"/>
    <x v="0"/>
    <n v="3289.5189999999998"/>
    <n v="5823.4740000000002"/>
    <n v="7044.0230000000001"/>
    <n v="9718.9150000000009"/>
    <n v="13207.521000000001"/>
    <n v="10766.895"/>
    <n v="9672.2980000000007"/>
    <n v="6881.3950000000004"/>
    <n v="5032.6109999999999"/>
    <n v="2330.875"/>
    <n v="2088.0529999999999"/>
    <n v="2733.357"/>
    <n v="2914.096"/>
    <n v="5015.4440000000004"/>
    <n v="7392.1629999999996"/>
    <n v="9104.0419999999995"/>
    <n v="11819.592000000001"/>
    <n v="9907.4570000000003"/>
    <n v="9928.3989999999994"/>
    <n v="7701.4750000000004"/>
    <n v="5100.4380000000001"/>
    <n v="3408.44"/>
    <n v="2551.3829999999998"/>
    <n v="1799.4449999999999"/>
    <n v="2071.462"/>
    <n v="4407.2039999999997"/>
    <n v="5586.7449999999999"/>
    <n v="9142.9670000000006"/>
    <n v="11561.203"/>
    <n v="9882.5789999999997"/>
    <n v="11993.742"/>
    <n v="10448.666999999999"/>
    <n v="6566.33"/>
    <n v="3442.1309999999999"/>
    <n v="2231.165"/>
    <n v="2267.768"/>
    <n v="2243.3510000000001"/>
    <n v="2243.3510000000001"/>
  </r>
  <r>
    <x v="3"/>
    <s v="PEST CONTROL"/>
    <s v="SC JOHNSON"/>
    <x v="4"/>
    <x v="6"/>
    <x v="3"/>
    <x v="0"/>
    <x v="1"/>
    <n v="649133.098"/>
    <n v="1134990.4569999999"/>
    <n v="1403541.04"/>
    <n v="1977262.655"/>
    <n v="2628579.625"/>
    <n v="2163651.29"/>
    <n v="1927706.773"/>
    <n v="1443526.6340000001"/>
    <n v="1030399.2120000001"/>
    <n v="474869.31099999999"/>
    <n v="410770.62699999998"/>
    <n v="565818.13500000001"/>
    <n v="613969.11899999995"/>
    <n v="985916.446"/>
    <n v="1449507.3359999999"/>
    <n v="1719798.321"/>
    <n v="2207127.9360000002"/>
    <n v="1912342.0649999999"/>
    <n v="1921286.8840000001"/>
    <n v="1419407.78"/>
    <n v="963678.36199999996"/>
    <n v="646537.90500000003"/>
    <n v="491056.071"/>
    <n v="350291.88199999998"/>
    <n v="399724.56599999999"/>
    <n v="836280.19400000002"/>
    <n v="1099456.767"/>
    <n v="1803996.9820000001"/>
    <n v="2303450.193"/>
    <n v="1996860.22"/>
    <n v="2376026.2030000002"/>
    <n v="2052649.5519999999"/>
    <n v="1346982.7050000001"/>
    <n v="691835.01599999995"/>
    <n v="447794.22200000001"/>
    <n v="455381.26400000002"/>
    <n v="446759.005"/>
    <n v="446759.005"/>
  </r>
  <r>
    <x v="3"/>
    <s v="PEST CONTROL"/>
    <s v="SC JOHNSON"/>
    <x v="4"/>
    <x v="6"/>
    <x v="3"/>
    <x v="0"/>
    <x v="2"/>
    <n v="1.8919999999999999"/>
    <n v="2.2989999999999999"/>
    <n v="1.9930000000000001"/>
    <n v="2.1360000000000001"/>
    <n v="2.173"/>
    <n v="1.8069999999999999"/>
    <n v="1.82"/>
    <n v="1.839"/>
    <n v="1.925"/>
    <n v="1.3879999999999999"/>
    <n v="1.4470000000000001"/>
    <n v="2.0030000000000001"/>
    <n v="1.865"/>
    <n v="2.4"/>
    <n v="2.2629999999999999"/>
    <n v="1.96"/>
    <n v="2.1739999999999999"/>
    <n v="1.96"/>
    <n v="1.891"/>
    <n v="1.9139999999999999"/>
    <n v="1.635"/>
    <n v="1.472"/>
    <n v="1.4019999999999999"/>
    <n v="1.095"/>
    <n v="1.18"/>
    <n v="1.887"/>
    <n v="1.7749999999999999"/>
    <n v="1.9430000000000001"/>
    <n v="1.9419999999999999"/>
    <n v="1.694"/>
    <n v="1.7749999999999999"/>
    <n v="1.5609999999999999"/>
    <n v="1.534"/>
    <n v="1.1100000000000001"/>
    <n v="0.98299999999999998"/>
    <n v="1.431"/>
    <n v="1.7090000000000001"/>
    <n v="0.254"/>
  </r>
  <r>
    <x v="3"/>
    <s v="PEST CONTROL"/>
    <s v="SC JOHNSON"/>
    <x v="4"/>
    <x v="6"/>
    <x v="3"/>
    <x v="0"/>
    <x v="3"/>
    <n v="46.494"/>
    <n v="55.735999999999997"/>
    <n v="61.712000000000003"/>
    <n v="62.161999999999999"/>
    <n v="66.849999999999994"/>
    <n v="59.643999999999998"/>
    <n v="58.034999999999997"/>
    <n v="51.953000000000003"/>
    <n v="45.031999999999996"/>
    <n v="34.320999999999998"/>
    <n v="33.04"/>
    <n v="37.890999999999998"/>
    <n v="45.749000000000002"/>
    <n v="55.015999999999998"/>
    <n v="66.173000000000002"/>
    <n v="67.873000000000005"/>
    <n v="67.713999999999999"/>
    <n v="65.162999999999997"/>
    <n v="62.561999999999998"/>
    <n v="57.110999999999997"/>
    <n v="50.94"/>
    <n v="40.706000000000003"/>
    <n v="34.741"/>
    <n v="32.561"/>
    <n v="33.796999999999997"/>
    <n v="46.978000000000002"/>
    <n v="52.755000000000003"/>
    <n v="59.149000000000001"/>
    <n v="59.860999999999997"/>
    <n v="52.436999999999998"/>
    <n v="50.225999999999999"/>
    <n v="51.183"/>
    <n v="38.817"/>
    <n v="31.869"/>
    <n v="28.244"/>
    <n v="30.771999999999998"/>
    <n v="42.01"/>
    <n v="3635.011"/>
  </r>
  <r>
    <x v="3"/>
    <s v="PEST CONTROL"/>
    <s v="SC JOHNSON"/>
    <x v="4"/>
    <x v="6"/>
    <x v="3"/>
    <x v="0"/>
    <x v="4"/>
    <n v="9.2270211999999994"/>
    <n v="8.4026078000000002"/>
    <n v="8.7561304"/>
    <n v="8.9911065000000008"/>
    <n v="9.1970711000000005"/>
    <n v="8.9157469000000003"/>
    <n v="9.7314208999999998"/>
    <n v="9.2990428999999999"/>
    <n v="9.0884236000000005"/>
    <n v="8.4458711999999991"/>
    <n v="8.0675928999999993"/>
    <n v="8.3586396000000001"/>
    <n v="8.0853608999999995"/>
    <n v="8.8671523000000008"/>
    <n v="10.0916628"/>
    <n v="9.9037682"/>
    <n v="10.035119399999999"/>
    <n v="9.8784694999999996"/>
    <n v="9.5019370999999992"/>
    <n v="8.1678835999999997"/>
    <n v="7.4604594000000004"/>
    <n v="6.6528843000000002"/>
    <n v="6.1862786999999999"/>
    <n v="5.6278518000000002"/>
    <n v="5.9757666"/>
    <n v="6.9651462999999998"/>
    <n v="7.6913844999999998"/>
    <n v="7.8708169999999997"/>
    <n v="9.2153459000000009"/>
    <n v="8.5294115999999995"/>
    <n v="8.3853045999999996"/>
    <n v="8.3313811999999992"/>
    <n v="8.0302700999999992"/>
    <n v="6.8572397"/>
    <n v="6.2082063999999999"/>
    <n v="6.6738049000000004"/>
    <n v="6.5226799"/>
    <n v="42.01"/>
  </r>
  <r>
    <x v="3"/>
    <s v="PEST CONTROL"/>
    <s v="SC JOHNSON"/>
    <x v="4"/>
    <x v="6"/>
    <x v="3"/>
    <x v="0"/>
    <x v="5"/>
    <n v="0.99399999999999999"/>
    <n v="0.83"/>
    <n v="0.96099999999999997"/>
    <n v="0.98699999999999999"/>
    <n v="0.88500000000000001"/>
    <n v="1.0900000000000001"/>
    <n v="0.94799999999999995"/>
    <n v="0.93700000000000006"/>
    <n v="0.89300000000000002"/>
    <n v="0.82199999999999995"/>
    <n v="0.79800000000000004"/>
    <n v="0.70699999999999996"/>
    <n v="0.89900000000000002"/>
    <n v="0.94099999999999995"/>
    <n v="0.95099999999999996"/>
    <n v="0.77700000000000002"/>
    <n v="0.90100000000000002"/>
    <n v="0.73099999999999998"/>
    <n v="0.58099999999999996"/>
    <n v="0.57799999999999996"/>
    <n v="0.54500000000000004"/>
    <n v="0.50600000000000001"/>
    <n v="0.46200000000000002"/>
    <n v="0.498"/>
    <n v="0.45100000000000001"/>
    <n v="0.502"/>
    <n v="0.48399999999999999"/>
    <n v="0.45400000000000001"/>
    <n v="0.61699999999999999"/>
    <n v="0.51700000000000002"/>
    <n v="0.55700000000000005"/>
    <n v="0.54400000000000004"/>
    <n v="0.58899999999999997"/>
    <n v="0.63500000000000001"/>
    <n v="0.64200000000000002"/>
    <n v="0.69499999999999995"/>
    <n v="0.70599999999999996"/>
    <n v="6.5226799"/>
  </r>
  <r>
    <x v="4"/>
    <s v="PEST CONTROL"/>
    <s v="SC JOHNSON"/>
    <x v="0"/>
    <x v="0"/>
    <x v="0"/>
    <x v="0"/>
    <x v="0"/>
    <n v="126.58"/>
    <n v="377.71"/>
    <n v="759.70100000000002"/>
    <n v="1120.8720000000001"/>
    <n v="1467.3309999999999"/>
    <n v="1368.9390000000001"/>
    <n v="961.947"/>
    <n v="379.61"/>
    <n v="96.516000000000005"/>
    <n v="34.018999999999998"/>
    <n v="22.613"/>
    <n v="17.649000000000001"/>
    <n v="53.722000000000001"/>
    <n v="130.30000000000001"/>
    <n v="388.23500000000001"/>
    <n v="960.14400000000001"/>
    <n v="1060.527"/>
    <n v="1063.454"/>
    <n v="1052.424"/>
    <n v="628.827"/>
    <n v="480.97199999999998"/>
    <n v="122.38"/>
    <n v="188.44399999999999"/>
    <n v="143.018"/>
    <n v="143.33000000000001"/>
    <n v="221.61799999999999"/>
    <n v="539.66800000000001"/>
    <n v="1048.579"/>
    <n v="1374.98"/>
    <n v="1361.5050000000001"/>
    <n v="2259.86"/>
    <n v="2813.6019999999999"/>
    <n v="2260.9270000000001"/>
    <n v="1074.5170000000001"/>
    <n v="413.45299999999997"/>
    <n v="397.09500000000003"/>
    <n v="391.29899999999998"/>
    <n v="391.29899999999998"/>
  </r>
  <r>
    <x v="4"/>
    <s v="PEST CONTROL"/>
    <s v="SC JOHNSON"/>
    <x v="0"/>
    <x v="0"/>
    <x v="0"/>
    <x v="0"/>
    <x v="1"/>
    <n v="16867.856"/>
    <n v="64063.262999999999"/>
    <n v="117528.417"/>
    <n v="171309.02100000001"/>
    <n v="234742.96"/>
    <n v="232498.64"/>
    <n v="159911.09899999999"/>
    <n v="68552.486999999994"/>
    <n v="17133.341"/>
    <n v="6999.549"/>
    <n v="4300.9250000000002"/>
    <n v="3125.2570000000001"/>
    <n v="10066.871999999999"/>
    <n v="23795.562999999998"/>
    <n v="64704.118000000002"/>
    <n v="169440.50399999999"/>
    <n v="208791.98699999999"/>
    <n v="200055.08799999999"/>
    <n v="201750.27"/>
    <n v="125831.164"/>
    <n v="101160.19500000001"/>
    <n v="23322.562999999998"/>
    <n v="36766.762999999999"/>
    <n v="28491.616000000002"/>
    <n v="28562.257000000001"/>
    <n v="43365.286999999997"/>
    <n v="109100.71"/>
    <n v="215058.24900000001"/>
    <n v="300623.783"/>
    <n v="297054.31300000002"/>
    <n v="481543.06"/>
    <n v="616017.05000000005"/>
    <n v="515632.38699999999"/>
    <n v="247644.57699999999"/>
    <n v="91499.675000000003"/>
    <n v="89846.648000000001"/>
    <n v="86847.228000000003"/>
    <n v="86847.228000000003"/>
  </r>
  <r>
    <x v="4"/>
    <s v="PEST CONTROL"/>
    <s v="SC JOHNSON"/>
    <x v="0"/>
    <x v="0"/>
    <x v="0"/>
    <x v="0"/>
    <x v="2"/>
    <n v="0.80300000000000005"/>
    <n v="1.484"/>
    <n v="1.958"/>
    <n v="2.3380000000000001"/>
    <n v="2.0310000000000001"/>
    <n v="2.0590000000000002"/>
    <n v="1.81"/>
    <n v="1.0660000000000001"/>
    <n v="0.39600000000000002"/>
    <n v="0.20699999999999999"/>
    <n v="0.16"/>
    <n v="0.13600000000000001"/>
    <n v="0.33600000000000002"/>
    <n v="0.66200000000000003"/>
    <n v="1.143"/>
    <n v="1.7509999999999999"/>
    <n v="1.7170000000000001"/>
    <n v="1.8149999999999999"/>
    <n v="1.788"/>
    <n v="1.49"/>
    <n v="1.4790000000000001"/>
    <n v="0.52700000000000002"/>
    <n v="0.97099999999999997"/>
    <n v="0.90700000000000003"/>
    <n v="0.88500000000000001"/>
    <n v="1.06"/>
    <n v="1.827"/>
    <n v="1.81"/>
    <n v="1.4410000000000001"/>
    <n v="1.6659999999999999"/>
    <n v="1.9370000000000001"/>
    <n v="2.1190000000000002"/>
    <n v="2.7440000000000002"/>
    <n v="2.6230000000000002"/>
    <n v="1.671"/>
    <n v="2.4359999999999999"/>
    <n v="2.56"/>
    <n v="0.77200000000000002"/>
  </r>
  <r>
    <x v="4"/>
    <s v="PEST CONTROL"/>
    <s v="SC JOHNSON"/>
    <x v="0"/>
    <x v="0"/>
    <x v="0"/>
    <x v="0"/>
    <x v="3"/>
    <n v="19.440999999999999"/>
    <n v="36.622999999999998"/>
    <n v="52.835999999999999"/>
    <n v="56.084000000000003"/>
    <n v="56.837000000000003"/>
    <n v="49.386000000000003"/>
    <n v="41.158000000000001"/>
    <n v="36.457000000000001"/>
    <n v="23.757999999999999"/>
    <n v="16.251999999999999"/>
    <n v="13.968"/>
    <n v="13.256"/>
    <n v="17.469000000000001"/>
    <n v="31.805"/>
    <n v="52.512"/>
    <n v="58.725999999999999"/>
    <n v="53.954000000000001"/>
    <n v="50.375"/>
    <n v="51.847000000000001"/>
    <n v="45.182000000000002"/>
    <n v="40.232999999999997"/>
    <n v="30.422000000000001"/>
    <n v="33.619999999999997"/>
    <n v="28.780999999999999"/>
    <n v="23.646000000000001"/>
    <n v="29.427"/>
    <n v="43.79"/>
    <n v="58.401000000000003"/>
    <n v="42.783000000000001"/>
    <n v="30.352"/>
    <n v="33.130000000000003"/>
    <n v="34.9"/>
    <n v="42.432000000000002"/>
    <n v="47.716999999999999"/>
    <n v="47.070999999999998"/>
    <n v="48.125"/>
    <n v="36.462000000000003"/>
    <n v="962.34299999999996"/>
  </r>
  <r>
    <x v="4"/>
    <s v="PEST CONTROL"/>
    <s v="SC JOHNSON"/>
    <x v="0"/>
    <x v="0"/>
    <x v="0"/>
    <x v="0"/>
    <x v="4"/>
    <n v="14.569201700000001"/>
    <n v="17.6250234"/>
    <n v="20.626416899999999"/>
    <n v="22.949243599999999"/>
    <n v="23.0743902"/>
    <n v="23.141263299999999"/>
    <n v="22.279513300000001"/>
    <n v="19.485565300000001"/>
    <n v="13.395819299999999"/>
    <n v="9.2017504999999993"/>
    <n v="8.7015940999999994"/>
    <n v="8.3604210000000005"/>
    <n v="9.9902455999999997"/>
    <n v="13.1696914"/>
    <n v="18.589596499999999"/>
    <n v="22.193984700000001"/>
    <n v="24.941186600000002"/>
    <n v="25.052403399999999"/>
    <n v="26.5593784"/>
    <n v="26.124617400000002"/>
    <n v="21.525069800000001"/>
    <n v="15.5427845"/>
    <n v="16.345300699999999"/>
    <n v="14.7895463"/>
    <n v="15.0251746"/>
    <n v="19.331053099999998"/>
    <n v="23.8697123"/>
    <n v="28.207140599999999"/>
    <n v="28.5695643"/>
    <n v="27.089578400000001"/>
    <n v="32.365048999999999"/>
    <n v="32.370739700000001"/>
    <n v="27.3914233"/>
    <n v="25.730201600000001"/>
    <n v="23.604770899999998"/>
    <n v="22.485741000000001"/>
    <n v="21.398585600000001"/>
    <n v="36.462000000000003"/>
  </r>
  <r>
    <x v="4"/>
    <s v="PEST CONTROL"/>
    <s v="SC JOHNSON"/>
    <x v="0"/>
    <x v="0"/>
    <x v="0"/>
    <x v="0"/>
    <x v="5"/>
    <n v="1.5209999999999999"/>
    <n v="1.1919999999999999"/>
    <n v="1.012"/>
    <n v="0.90300000000000002"/>
    <n v="0.77800000000000002"/>
    <n v="0.93899999999999995"/>
    <n v="1.036"/>
    <n v="1.1100000000000001"/>
    <n v="0.97599999999999998"/>
    <n v="0.98599999999999999"/>
    <n v="0.879"/>
    <n v="0.85899999999999999"/>
    <n v="0.86099999999999999"/>
    <n v="0.94199999999999995"/>
    <n v="0.79800000000000004"/>
    <n v="0.86199999999999999"/>
    <n v="0.81699999999999995"/>
    <n v="0.9"/>
    <n v="1.1399999999999999"/>
    <n v="1.32"/>
    <n v="1.3049999999999999"/>
    <n v="1.3480000000000001"/>
    <n v="1.1100000000000001"/>
    <n v="1.0860000000000001"/>
    <n v="1.089"/>
    <n v="1.097"/>
    <n v="0.97199999999999998"/>
    <n v="1.0940000000000001"/>
    <n v="1.2849999999999999"/>
    <n v="1.621"/>
    <n v="2.0510000000000002"/>
    <n v="1.8069999999999999"/>
    <n v="1.8049999999999999"/>
    <n v="2.3839999999999999"/>
    <n v="2.21"/>
    <n v="2.0579999999999998"/>
    <n v="1.929"/>
    <n v="21.398585600000001"/>
  </r>
  <r>
    <x v="4"/>
    <s v="PEST CONTROL"/>
    <s v="SC JOHNSON"/>
    <x v="0"/>
    <x v="0"/>
    <x v="0"/>
    <x v="1"/>
    <x v="0"/>
    <n v="0"/>
    <n v="14.138"/>
    <n v="32.033999999999999"/>
    <n v="47.927"/>
    <n v="16.88"/>
    <n v="33.866999999999997"/>
    <n v="0"/>
    <n v="0"/>
    <n v="4.5330000000000004"/>
    <n v="0"/>
    <n v="0"/>
    <n v="0"/>
    <n v="1.7829999999999999"/>
    <n v="2.3380000000000001"/>
    <n v="0"/>
    <n v="21.687999999999999"/>
    <n v="18.498000000000001"/>
    <n v="20.29"/>
    <n v="10.483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0"/>
    <x v="0"/>
    <x v="0"/>
    <x v="1"/>
    <x v="1"/>
    <n v="0"/>
    <n v="1365.1089999999999"/>
    <n v="3043.1909999999998"/>
    <n v="4598.7510000000002"/>
    <n v="1538.1669999999999"/>
    <n v="2960.9259999999999"/>
    <n v="0"/>
    <n v="0"/>
    <n v="430.673"/>
    <n v="0"/>
    <n v="0"/>
    <n v="0"/>
    <n v="155.15100000000001"/>
    <n v="203.376"/>
    <n v="0"/>
    <n v="2060.3440000000001"/>
    <n v="1757.335"/>
    <n v="1927.5360000000001"/>
    <n v="995.861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0"/>
    <x v="0"/>
    <x v="0"/>
    <x v="1"/>
    <x v="2"/>
    <n v="0"/>
    <n v="0.02"/>
    <n v="0.03"/>
    <n v="3.5999999999999997E-2"/>
    <n v="8.0000000000000002E-3"/>
    <n v="1.9E-2"/>
    <n v="0"/>
    <n v="0"/>
    <n v="7.0000000000000001E-3"/>
    <n v="0"/>
    <n v="0"/>
    <n v="0"/>
    <n v="4.0000000000000001E-3"/>
    <n v="4.0000000000000001E-3"/>
    <n v="0"/>
    <n v="1.4E-2"/>
    <n v="1.0999999999999999E-2"/>
    <n v="1.2E-2"/>
    <n v="6.00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0"/>
    <x v="0"/>
    <x v="0"/>
    <x v="1"/>
    <x v="3"/>
    <n v="3.2010000000000001"/>
    <n v="1.1100000000000001"/>
    <n v="1.331"/>
    <n v="1.516"/>
    <n v="1.827"/>
    <n v="2.72"/>
    <n v="1.2030000000000001"/>
    <n v="1.5680000000000001"/>
    <n v="1.7310000000000001"/>
    <n v="0.314"/>
    <n v="7.0999999999999994E-2"/>
    <n v="0.52500000000000002"/>
    <n v="0.34499999999999997"/>
    <n v="0.70099999999999996"/>
    <n v="0.28299999999999997"/>
    <n v="0.34699999999999998"/>
    <n v="0.49099999999999999"/>
    <n v="0.55700000000000005"/>
    <n v="0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0"/>
    <x v="0"/>
    <x v="0"/>
    <x v="1"/>
    <x v="4"/>
    <n v="3.1826137000000001"/>
    <n v="3.2352915000000002"/>
    <n v="3.0610922999999999"/>
    <n v="2.9710087000000001"/>
    <n v="3.0926683000000001"/>
    <n v="3.2107934"/>
    <n v="1.6397203"/>
    <n v="1.6397162999999999"/>
    <n v="1.5289809000000001"/>
    <n v="0.60962760000000005"/>
    <n v="0.60871260000000005"/>
    <n v="0.60841860000000003"/>
    <n v="0.73376410000000003"/>
    <n v="0.79525619999999997"/>
    <n v="0.60794329999999996"/>
    <n v="0.60539359999999998"/>
    <n v="0.60207670000000002"/>
    <n v="0.60142839999999997"/>
    <n v="0.600612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0"/>
    <x v="0"/>
    <x v="0"/>
    <x v="1"/>
    <x v="5"/>
    <n v="0.14199999999999999"/>
    <n v="0.11600000000000001"/>
    <n v="8.1000000000000003E-2"/>
    <n v="0.05"/>
    <n v="4.3999999999999997E-2"/>
    <n v="2.5999999999999999E-2"/>
    <n v="2.5999999999999999E-2"/>
    <n v="2.8000000000000001E-2"/>
    <n v="1.7999999999999999E-2"/>
    <n v="1.9E-2"/>
    <n v="1.9E-2"/>
    <n v="1.7999999999999999E-2"/>
    <n v="1.9E-2"/>
    <n v="1.7999999999999999E-2"/>
    <n v="1.6E-2"/>
    <n v="1.6E-2"/>
    <n v="1.4999999999999999E-2"/>
    <n v="1.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0"/>
    <x v="0"/>
    <x v="1"/>
    <x v="0"/>
    <x v="0"/>
    <n v="1122.0409999999999"/>
    <n v="3318.377"/>
    <n v="5469.5919999999996"/>
    <n v="6334.6610000000001"/>
    <n v="12532.257"/>
    <n v="11891.65"/>
    <n v="7849.6679999999997"/>
    <n v="3940.9450000000002"/>
    <n v="2005.921"/>
    <n v="1104.579"/>
    <n v="885.07799999999997"/>
    <n v="956.33699999999999"/>
    <n v="1346.7260000000001"/>
    <n v="1881.954"/>
    <n v="4114.8760000000002"/>
    <n v="8615.4660000000003"/>
    <n v="11064.031000000001"/>
    <n v="8962.2880000000005"/>
    <n v="7840.8370000000004"/>
    <n v="4973.4399999999996"/>
    <n v="3977.39"/>
    <n v="2058.5920000000001"/>
    <n v="1501.9090000000001"/>
    <n v="1002.475"/>
    <n v="1513.4290000000001"/>
    <n v="2475.8049999999998"/>
    <n v="4151.3909999999996"/>
    <n v="12337.17"/>
    <n v="24378.69"/>
    <n v="19147.62"/>
    <n v="32717.919999999998"/>
    <n v="38513.226000000002"/>
    <n v="18496.862000000001"/>
    <n v="6648.1350000000002"/>
    <n v="3403.48"/>
    <n v="1807.037"/>
    <n v="2140.7240000000002"/>
    <n v="2140.7240000000002"/>
  </r>
  <r>
    <x v="4"/>
    <s v="PEST CONTROL"/>
    <s v="SC JOHNSON"/>
    <x v="0"/>
    <x v="0"/>
    <x v="1"/>
    <x v="0"/>
    <x v="1"/>
    <n v="332378.554"/>
    <n v="933759.30299999996"/>
    <n v="1602507.023"/>
    <n v="1961537.5109999999"/>
    <n v="3928962.6869999999"/>
    <n v="3665729.5329999998"/>
    <n v="2478292.8050000002"/>
    <n v="1263014.351"/>
    <n v="646968.43999999994"/>
    <n v="349187.17599999998"/>
    <n v="297619.90000000002"/>
    <n v="297516.41200000001"/>
    <n v="416819.217"/>
    <n v="577564.554"/>
    <n v="1367809.2479999999"/>
    <n v="2797115.7489999998"/>
    <n v="3758138.4309999999"/>
    <n v="3194513.96"/>
    <n v="2949675.8429999999"/>
    <n v="1861712.8219999999"/>
    <n v="1430218.835"/>
    <n v="715493.397"/>
    <n v="523094.60100000002"/>
    <n v="354710.02299999999"/>
    <n v="537942.09400000004"/>
    <n v="917944.451"/>
    <n v="1639130.0870000001"/>
    <n v="5072556.3619999997"/>
    <n v="10470557.495999999"/>
    <n v="8046042.1670000004"/>
    <n v="13979884.674000001"/>
    <n v="16789779.796999998"/>
    <n v="7070299.2570000002"/>
    <n v="2506244.821"/>
    <n v="1210921.5220000001"/>
    <n v="646117.47600000002"/>
    <n v="834853.7"/>
    <n v="834853.7"/>
  </r>
  <r>
    <x v="4"/>
    <s v="PEST CONTROL"/>
    <s v="SC JOHNSON"/>
    <x v="0"/>
    <x v="0"/>
    <x v="1"/>
    <x v="0"/>
    <x v="2"/>
    <n v="7.2649999999999997"/>
    <n v="13.35"/>
    <n v="14.42"/>
    <n v="13.503"/>
    <n v="18.440999999999999"/>
    <n v="18.893999999999998"/>
    <n v="15.189"/>
    <n v="11.128"/>
    <n v="7.8540000000000001"/>
    <n v="6.452"/>
    <n v="6.1379999999999999"/>
    <n v="7.3579999999999997"/>
    <n v="8.58"/>
    <n v="9.2479999999999993"/>
    <n v="12.391"/>
    <n v="16.913"/>
    <n v="19.077999999999999"/>
    <n v="16.341999999999999"/>
    <n v="14.683"/>
    <n v="12.994999999999999"/>
    <n v="12.577999999999999"/>
    <n v="9.2520000000000007"/>
    <n v="8.0129999999999999"/>
    <n v="6.2709999999999999"/>
    <n v="9.4749999999999996"/>
    <n v="11.685"/>
    <n v="13.885"/>
    <n v="23.155000000000001"/>
    <n v="28.163"/>
    <n v="25.771999999999998"/>
    <n v="31.672000000000001"/>
    <n v="32.531999999999996"/>
    <n v="23.103999999999999"/>
    <n v="16.937000000000001"/>
    <n v="14.353"/>
    <n v="11.728"/>
    <n v="15.114000000000001"/>
    <n v="4.2249999999999996"/>
  </r>
  <r>
    <x v="4"/>
    <s v="PEST CONTROL"/>
    <s v="SC JOHNSON"/>
    <x v="0"/>
    <x v="0"/>
    <x v="1"/>
    <x v="0"/>
    <x v="3"/>
    <n v="85.421000000000006"/>
    <n v="90.501000000000005"/>
    <n v="93.468999999999994"/>
    <n v="96.578999999999994"/>
    <n v="97.221000000000004"/>
    <n v="95.337000000000003"/>
    <n v="96.198999999999998"/>
    <n v="94.212000000000003"/>
    <n v="90.272000000000006"/>
    <n v="89.585999999999999"/>
    <n v="87.585999999999999"/>
    <n v="85.957999999999998"/>
    <n v="84.653999999999996"/>
    <n v="88.757999999999996"/>
    <n v="93.614000000000004"/>
    <n v="96.382000000000005"/>
    <n v="97.034999999999997"/>
    <n v="97.045000000000002"/>
    <n v="96.625"/>
    <n v="95.123999999999995"/>
    <n v="95.488"/>
    <n v="87.89"/>
    <n v="89.605000000000004"/>
    <n v="86.837000000000003"/>
    <n v="90.463999999999999"/>
    <n v="94.495000000000005"/>
    <n v="97.63"/>
    <n v="98.221999999999994"/>
    <n v="98.861000000000004"/>
    <n v="98.468000000000004"/>
    <n v="98.397999999999996"/>
    <n v="98.608000000000004"/>
    <n v="96.790999999999997"/>
    <n v="96.715999999999994"/>
    <n v="90.775999999999996"/>
    <n v="88.36"/>
    <n v="91.942999999999998"/>
    <n v="7473.1530000000002"/>
  </r>
  <r>
    <x v="4"/>
    <s v="PEST CONTROL"/>
    <s v="SC JOHNSON"/>
    <x v="0"/>
    <x v="0"/>
    <x v="1"/>
    <x v="0"/>
    <x v="4"/>
    <n v="62.198965100000002"/>
    <n v="65.149682799999994"/>
    <n v="74.064450100000002"/>
    <n v="79.380822300000005"/>
    <n v="82.820220199999994"/>
    <n v="83.440481800000001"/>
    <n v="84.4486177"/>
    <n v="79.348054899999994"/>
    <n v="75.268731700000004"/>
    <n v="67.243364"/>
    <n v="67.272361799999999"/>
    <n v="68.406785600000006"/>
    <n v="70.886237199999997"/>
    <n v="73.280765299999999"/>
    <n v="78.665866899999997"/>
    <n v="84.143211899999997"/>
    <n v="86.645558100000002"/>
    <n v="84.244855999999999"/>
    <n v="83.782211799999999"/>
    <n v="84.508956100000006"/>
    <n v="81.904881599999996"/>
    <n v="74.027814500000005"/>
    <n v="72.299437699999999"/>
    <n v="71.623176400000006"/>
    <n v="75.658530299999995"/>
    <n v="81.7085668"/>
    <n v="84.168484599999999"/>
    <n v="87.781194299999996"/>
    <n v="89.562941699999996"/>
    <n v="88.881520399999999"/>
    <n v="86.350346200000004"/>
    <n v="89.935380699999996"/>
    <n v="87.375762100000003"/>
    <n v="82.522852900000004"/>
    <n v="73.406140100000002"/>
    <n v="67.598832700000003"/>
    <n v="73.626237000000003"/>
    <n v="91.942999999999998"/>
  </r>
  <r>
    <x v="4"/>
    <s v="PEST CONTROL"/>
    <s v="SC JOHNSON"/>
    <x v="0"/>
    <x v="0"/>
    <x v="1"/>
    <x v="0"/>
    <x v="5"/>
    <n v="9.2029999999999994"/>
    <n v="9.1140000000000008"/>
    <n v="9.3670000000000009"/>
    <n v="10.467000000000001"/>
    <n v="12.028"/>
    <n v="13.163"/>
    <n v="12.693"/>
    <n v="11.441000000000001"/>
    <n v="11.407999999999999"/>
    <n v="11.173999999999999"/>
    <n v="10.917"/>
    <n v="11.286"/>
    <n v="10.657999999999999"/>
    <n v="11.185"/>
    <n v="11.334"/>
    <n v="12.064"/>
    <n v="11.787000000000001"/>
    <n v="11.566000000000001"/>
    <n v="11.045"/>
    <n v="11.256"/>
    <n v="10.603"/>
    <n v="10.632"/>
    <n v="10.797000000000001"/>
    <n v="10.369"/>
    <n v="10.266999999999999"/>
    <n v="11.680999999999999"/>
    <n v="12.420999999999999"/>
    <n v="11.837999999999999"/>
    <n v="11.44"/>
    <n v="12.381"/>
    <n v="11.86"/>
    <n v="11.435"/>
    <n v="12.215"/>
    <n v="12.115"/>
    <n v="12.063000000000001"/>
    <n v="13.467000000000001"/>
    <n v="14.41"/>
    <n v="73.626237000000003"/>
  </r>
  <r>
    <x v="4"/>
    <s v="PEST CONTROL"/>
    <s v="SC JOHNSON"/>
    <x v="0"/>
    <x v="0"/>
    <x v="1"/>
    <x v="12"/>
    <x v="0"/>
    <n v="180.964"/>
    <n v="264.108"/>
    <n v="449.34699999999998"/>
    <n v="810.65899999999999"/>
    <n v="1132.7850000000001"/>
    <n v="1067.5709999999999"/>
    <n v="884.38400000000001"/>
    <n v="376.91800000000001"/>
    <n v="208.26"/>
    <n v="156.21199999999999"/>
    <n v="93.308000000000007"/>
    <n v="103.33"/>
    <n v="82.289000000000001"/>
    <n v="222.69800000000001"/>
    <n v="640.048"/>
    <n v="1109.4000000000001"/>
    <n v="1249.385"/>
    <n v="1096.83"/>
    <n v="918.23900000000003"/>
    <n v="356.327"/>
    <n v="403.32"/>
    <n v="197.87299999999999"/>
    <n v="264.755"/>
    <n v="108.663"/>
    <n v="194.27799999999999"/>
    <n v="260.75900000000001"/>
    <n v="750.39599999999996"/>
    <n v="1626.942"/>
    <n v="2828.9279999999999"/>
    <n v="2256.7550000000001"/>
    <n v="3340.7240000000002"/>
    <n v="4284.9250000000002"/>
    <n v="2042.902"/>
    <n v="497.18099999999998"/>
    <n v="397.74700000000001"/>
    <n v="235.35499999999999"/>
    <n v="349.315"/>
    <n v="349.315"/>
  </r>
  <r>
    <x v="4"/>
    <s v="PEST CONTROL"/>
    <s v="SC JOHNSON"/>
    <x v="0"/>
    <x v="0"/>
    <x v="1"/>
    <x v="12"/>
    <x v="1"/>
    <n v="51655.805"/>
    <n v="76430.395000000004"/>
    <n v="135218.011"/>
    <n v="264670.59600000002"/>
    <n v="373297.78600000002"/>
    <n v="329632.55599999998"/>
    <n v="287722.978"/>
    <n v="133451.66200000001"/>
    <n v="78563.620999999999"/>
    <n v="55906.421000000002"/>
    <n v="29639.161"/>
    <n v="38359.900999999998"/>
    <n v="30619.746999999999"/>
    <n v="72085.17"/>
    <n v="228776.08"/>
    <n v="382135.12199999997"/>
    <n v="431221.022"/>
    <n v="390219.11300000001"/>
    <n v="329312.23100000003"/>
    <n v="132666.08499999999"/>
    <n v="142261.42600000001"/>
    <n v="65699.596000000005"/>
    <n v="86639.153000000006"/>
    <n v="30529.226999999999"/>
    <n v="57562.027000000002"/>
    <n v="107313.35799999999"/>
    <n v="316379.74099999998"/>
    <n v="674365.51199999999"/>
    <n v="1176169.3829999999"/>
    <n v="941948.69099999999"/>
    <n v="1355063.8829999999"/>
    <n v="1792187.1189999999"/>
    <n v="750279.73400000005"/>
    <n v="199259.927"/>
    <n v="167279.82399999999"/>
    <n v="103379.106"/>
    <n v="141685.897"/>
    <n v="141685.897"/>
  </r>
  <r>
    <x v="4"/>
    <s v="PEST CONTROL"/>
    <s v="SC JOHNSON"/>
    <x v="0"/>
    <x v="0"/>
    <x v="1"/>
    <x v="12"/>
    <x v="2"/>
    <n v="0.69499999999999995"/>
    <n v="0.629"/>
    <n v="0.70199999999999996"/>
    <n v="1.0249999999999999"/>
    <n v="0.95"/>
    <n v="0.97299999999999998"/>
    <n v="1.0089999999999999"/>
    <n v="0.64200000000000002"/>
    <n v="0.51800000000000002"/>
    <n v="0.57699999999999996"/>
    <n v="0.4"/>
    <n v="0.48299999999999998"/>
    <n v="0.312"/>
    <n v="0.68500000000000005"/>
    <n v="1.141"/>
    <n v="1.2250000000000001"/>
    <n v="1.212"/>
    <n v="1.1120000000000001"/>
    <n v="0.92600000000000005"/>
    <n v="0.502"/>
    <n v="0.73899999999999999"/>
    <n v="0.51"/>
    <n v="0.81299999999999994"/>
    <n v="0.40899999999999997"/>
    <n v="0.71399999999999997"/>
    <n v="0.74199999999999999"/>
    <n v="1.508"/>
    <n v="1.665"/>
    <n v="1.752"/>
    <n v="1.6319999999999999"/>
    <n v="1.6950000000000001"/>
    <n v="1.913"/>
    <n v="1.4670000000000001"/>
    <n v="0.71799999999999997"/>
    <n v="0.95199999999999996"/>
    <n v="0.85399999999999998"/>
    <n v="1.3480000000000001"/>
    <n v="0.68899999999999995"/>
  </r>
  <r>
    <x v="4"/>
    <s v="PEST CONTROL"/>
    <s v="SC JOHNSON"/>
    <x v="0"/>
    <x v="0"/>
    <x v="1"/>
    <x v="12"/>
    <x v="3"/>
    <n v="35.353000000000002"/>
    <n v="32.628999999999998"/>
    <n v="39.890999999999998"/>
    <n v="65.135000000000005"/>
    <n v="68.472999999999999"/>
    <n v="61.572000000000003"/>
    <n v="59.801000000000002"/>
    <n v="47.555"/>
    <n v="49.246000000000002"/>
    <n v="42.850999999999999"/>
    <n v="38.548999999999999"/>
    <n v="38.677"/>
    <n v="42.116"/>
    <n v="46.15"/>
    <n v="72.367000000000004"/>
    <n v="74.373999999999995"/>
    <n v="76.506"/>
    <n v="74.921999999999997"/>
    <n v="67.25"/>
    <n v="48.588999999999999"/>
    <n v="43.790999999999997"/>
    <n v="46.262"/>
    <n v="51.292000000000002"/>
    <n v="42.284999999999997"/>
    <n v="45.432000000000002"/>
    <n v="52.865000000000002"/>
    <n v="67.81"/>
    <n v="82.474999999999994"/>
    <n v="89.094999999999999"/>
    <n v="86.331000000000003"/>
    <n v="88.534000000000006"/>
    <n v="87.995000000000005"/>
    <n v="71.513000000000005"/>
    <n v="56.465000000000003"/>
    <n v="56.762999999999998"/>
    <n v="34.253999999999998"/>
    <n v="48.293999999999997"/>
    <n v="1035.905"/>
  </r>
  <r>
    <x v="4"/>
    <s v="PEST CONTROL"/>
    <s v="SC JOHNSON"/>
    <x v="0"/>
    <x v="0"/>
    <x v="1"/>
    <x v="12"/>
    <x v="4"/>
    <n v="24.109881999999999"/>
    <n v="25.158495500000001"/>
    <n v="27.459947400000001"/>
    <n v="31.943337199999998"/>
    <n v="32.707570699999998"/>
    <n v="31.818001599999999"/>
    <n v="34.066646800000001"/>
    <n v="29.374198799999998"/>
    <n v="27.6591068"/>
    <n v="23.8615751"/>
    <n v="22.453817399999998"/>
    <n v="22.536263300000002"/>
    <n v="24.457576599999999"/>
    <n v="25.887427899999999"/>
    <n v="35.905629699999999"/>
    <n v="38.771955900000002"/>
    <n v="44.251561600000002"/>
    <n v="43.674904499999997"/>
    <n v="43.170472699999998"/>
    <n v="35.079927099999999"/>
    <n v="31.324182"/>
    <n v="29.673696199999998"/>
    <n v="31.295741400000001"/>
    <n v="29.1874605"/>
    <n v="30.7629731"/>
    <n v="36.586869900000003"/>
    <n v="42.4683414"/>
    <n v="51.700160799999999"/>
    <n v="58.633424699999999"/>
    <n v="58.271205999999999"/>
    <n v="59.489046500000001"/>
    <n v="60.0423264"/>
    <n v="48.101365700000002"/>
    <n v="34.074694399999998"/>
    <n v="33.327917999999997"/>
    <n v="30.660242100000001"/>
    <n v="36.2733597"/>
    <n v="48.293999999999997"/>
  </r>
  <r>
    <x v="4"/>
    <s v="PEST CONTROL"/>
    <s v="SC JOHNSON"/>
    <x v="0"/>
    <x v="0"/>
    <x v="1"/>
    <x v="12"/>
    <x v="5"/>
    <n v="1.3740000000000001"/>
    <n v="1.2749999999999999"/>
    <n v="1.1419999999999999"/>
    <n v="1.2589999999999999"/>
    <n v="1.304"/>
    <n v="1.333"/>
    <n v="1.776"/>
    <n v="1.7330000000000001"/>
    <n v="1.7609999999999999"/>
    <n v="1.5569999999999999"/>
    <n v="1.593"/>
    <n v="1.734"/>
    <n v="1.44"/>
    <n v="1.2809999999999999"/>
    <n v="1.355"/>
    <n v="1.827"/>
    <n v="2.0169999999999999"/>
    <n v="1.8320000000000001"/>
    <n v="1.758"/>
    <n v="1.5309999999999999"/>
    <n v="1.6060000000000001"/>
    <n v="1.6950000000000001"/>
    <n v="1.6040000000000001"/>
    <n v="1.6259999999999999"/>
    <n v="1.7170000000000001"/>
    <n v="1.8149999999999999"/>
    <n v="1.883"/>
    <n v="2.169"/>
    <n v="2.6619999999999999"/>
    <n v="2.6539999999999999"/>
    <n v="2.5369999999999999"/>
    <n v="2.3540000000000001"/>
    <n v="1.984"/>
    <n v="1.879"/>
    <n v="1.7330000000000001"/>
    <n v="2.0379999999999998"/>
    <n v="2.077"/>
    <n v="36.2733597"/>
  </r>
  <r>
    <x v="4"/>
    <s v="PEST CONTROL"/>
    <s v="SC JOHNSON"/>
    <x v="0"/>
    <x v="0"/>
    <x v="1"/>
    <x v="2"/>
    <x v="0"/>
    <n v="308.024"/>
    <n v="351.71300000000002"/>
    <n v="895.399"/>
    <n v="1225.242"/>
    <n v="1972.7370000000001"/>
    <n v="1997.5409999999999"/>
    <n v="1410.8389999999999"/>
    <n v="795.90200000000004"/>
    <n v="248.934"/>
    <n v="143.15799999999999"/>
    <n v="165.34299999999999"/>
    <n v="103.476"/>
    <n v="242.77500000000001"/>
    <n v="416.53199999999998"/>
    <n v="957.56299999999999"/>
    <n v="1615.6020000000001"/>
    <n v="1672.692"/>
    <n v="1525.4349999999999"/>
    <n v="1368.298"/>
    <n v="1020.543"/>
    <n v="657.50800000000004"/>
    <n v="352.37599999999998"/>
    <n v="317.79399999999998"/>
    <n v="79.647000000000006"/>
    <n v="183.625"/>
    <n v="377.98099999999999"/>
    <n v="631.40800000000002"/>
    <n v="1507.63"/>
    <n v="3337.5529999999999"/>
    <n v="2665.7440000000001"/>
    <n v="4563.1220000000003"/>
    <n v="6050.2629999999999"/>
    <n v="2371.7179999999998"/>
    <n v="819.40499999999997"/>
    <n v="321.39600000000002"/>
    <n v="295.863"/>
    <n v="352.09500000000003"/>
    <n v="352.09500000000003"/>
  </r>
  <r>
    <x v="4"/>
    <s v="PEST CONTROL"/>
    <s v="SC JOHNSON"/>
    <x v="0"/>
    <x v="0"/>
    <x v="1"/>
    <x v="2"/>
    <x v="1"/>
    <n v="89806.317999999999"/>
    <n v="109420.44500000001"/>
    <n v="308693.56400000001"/>
    <n v="444458.20799999998"/>
    <n v="716406.66599999997"/>
    <n v="722616.34"/>
    <n v="511464.46299999999"/>
    <n v="284924.288"/>
    <n v="82490.322"/>
    <n v="51931.241999999998"/>
    <n v="58678.822"/>
    <n v="34633.199000000001"/>
    <n v="77851.881999999998"/>
    <n v="156566.21400000001"/>
    <n v="375770.11700000003"/>
    <n v="587897.52099999995"/>
    <n v="624741.32799999998"/>
    <n v="606046.696"/>
    <n v="507380.83799999999"/>
    <n v="379612.96399999998"/>
    <n v="275158.94699999999"/>
    <n v="154181.39600000001"/>
    <n v="126391.217"/>
    <n v="29353.621999999999"/>
    <n v="70242.005999999994"/>
    <n v="158378.29399999999"/>
    <n v="286251.603"/>
    <n v="690464.71100000001"/>
    <n v="1539086.9380000001"/>
    <n v="1149421.9040000001"/>
    <n v="2034933.3870000001"/>
    <n v="2929768.787"/>
    <n v="1056841.8929999999"/>
    <n v="350397.21500000003"/>
    <n v="142595.74900000001"/>
    <n v="130080.14200000001"/>
    <n v="166581.288"/>
    <n v="166581.288"/>
  </r>
  <r>
    <x v="4"/>
    <s v="PEST CONTROL"/>
    <s v="SC JOHNSON"/>
    <x v="0"/>
    <x v="0"/>
    <x v="1"/>
    <x v="2"/>
    <x v="2"/>
    <n v="1.712"/>
    <n v="1.083"/>
    <n v="2.0350000000000001"/>
    <n v="1.974"/>
    <n v="2.2160000000000002"/>
    <n v="2.6989999999999998"/>
    <n v="2.4470000000000001"/>
    <n v="2.0190000000000001"/>
    <n v="1.0289999999999999"/>
    <n v="0.752"/>
    <n v="0.98299999999999998"/>
    <n v="0.81799999999999995"/>
    <n v="1.2370000000000001"/>
    <n v="1.8919999999999999"/>
    <n v="2.2789999999999999"/>
    <n v="2.371"/>
    <n v="2.1560000000000001"/>
    <n v="2.2879999999999998"/>
    <n v="2.0409999999999999"/>
    <n v="2.1320000000000001"/>
    <n v="1.7490000000000001"/>
    <n v="1.35"/>
    <n v="1.333"/>
    <n v="0.309"/>
    <n v="0.97599999999999998"/>
    <n v="1.413"/>
    <n v="1.651"/>
    <n v="1.9079999999999999"/>
    <n v="2.8370000000000002"/>
    <n v="2.476"/>
    <n v="2.9689999999999999"/>
    <n v="3.512"/>
    <n v="2.1720000000000002"/>
    <n v="1.508"/>
    <n v="1.117"/>
    <n v="1.5109999999999999"/>
    <n v="1.7390000000000001"/>
    <n v="0.69499999999999995"/>
  </r>
  <r>
    <x v="4"/>
    <s v="PEST CONTROL"/>
    <s v="SC JOHNSON"/>
    <x v="0"/>
    <x v="0"/>
    <x v="1"/>
    <x v="2"/>
    <x v="3"/>
    <n v="52.863999999999997"/>
    <n v="44.78"/>
    <n v="50.619"/>
    <n v="73.192999999999998"/>
    <n v="79.367000000000004"/>
    <n v="76.83"/>
    <n v="65.893000000000001"/>
    <n v="58.003999999999998"/>
    <n v="50.793999999999997"/>
    <n v="56.359000000000002"/>
    <n v="54.616"/>
    <n v="42.454000000000001"/>
    <n v="44.484999999999999"/>
    <n v="55.045999999999999"/>
    <n v="74.980999999999995"/>
    <n v="78.472999999999999"/>
    <n v="78.078000000000003"/>
    <n v="75.819000000000003"/>
    <n v="64.575999999999993"/>
    <n v="60.293999999999997"/>
    <n v="62.078000000000003"/>
    <n v="59.603000000000002"/>
    <n v="60.661999999999999"/>
    <n v="51.051000000000002"/>
    <n v="50.469000000000001"/>
    <n v="53.079000000000001"/>
    <n v="63.259"/>
    <n v="77.340999999999994"/>
    <n v="90.314999999999998"/>
    <n v="84.397999999999996"/>
    <n v="85.344999999999999"/>
    <n v="83.561000000000007"/>
    <n v="68.399000000000001"/>
    <n v="54.31"/>
    <n v="50.484999999999999"/>
    <n v="50.881999999999998"/>
    <n v="46.936"/>
    <n v="1133.9490000000001"/>
  </r>
  <r>
    <x v="4"/>
    <s v="PEST CONTROL"/>
    <s v="SC JOHNSON"/>
    <x v="0"/>
    <x v="0"/>
    <x v="1"/>
    <x v="2"/>
    <x v="4"/>
    <n v="42.015597700000001"/>
    <n v="44.947763600000002"/>
    <n v="47.232677899999999"/>
    <n v="51.3495031"/>
    <n v="57.280614499999999"/>
    <n v="56.723874199999997"/>
    <n v="47.934135400000002"/>
    <n v="44.7720962"/>
    <n v="36.4460038"/>
    <n v="35.051149299999999"/>
    <n v="36.990187599999999"/>
    <n v="34.567976000000002"/>
    <n v="36.466953799999999"/>
    <n v="41.136885700000001"/>
    <n v="48.160145399999998"/>
    <n v="52.627631299999997"/>
    <n v="54.080749300000001"/>
    <n v="50.836270300000002"/>
    <n v="46.484712799999997"/>
    <n v="44.857470399999997"/>
    <n v="45.348751300000004"/>
    <n v="39.809688199999997"/>
    <n v="39.382687199999999"/>
    <n v="37.722024099999999"/>
    <n v="38.775593299999997"/>
    <n v="44.501282699999997"/>
    <n v="46.740289400000002"/>
    <n v="50.724033900000002"/>
    <n v="58.137661700000002"/>
    <n v="54.194733200000002"/>
    <n v="54.299545000000002"/>
    <n v="47.9668688"/>
    <n v="40.330957900000001"/>
    <n v="30.1003078"/>
    <n v="27.421142700000001"/>
    <n v="25.6797641"/>
    <n v="27.623756100000001"/>
    <n v="46.936"/>
  </r>
  <r>
    <x v="4"/>
    <s v="PEST CONTROL"/>
    <s v="SC JOHNSON"/>
    <x v="0"/>
    <x v="0"/>
    <x v="1"/>
    <x v="2"/>
    <x v="5"/>
    <n v="4.1950000000000003"/>
    <n v="3.976"/>
    <n v="3.45"/>
    <n v="3.3610000000000002"/>
    <n v="3.496"/>
    <n v="2.972"/>
    <n v="2.9620000000000002"/>
    <n v="2.8260000000000001"/>
    <n v="2.5750000000000002"/>
    <n v="2.7320000000000002"/>
    <n v="2.8359999999999999"/>
    <n v="2.698"/>
    <n v="2.8319999999999999"/>
    <n v="2.8980000000000001"/>
    <n v="2.5259999999999998"/>
    <n v="2.6659999999999999"/>
    <n v="2.8759999999999999"/>
    <n v="3.165"/>
    <n v="3.2120000000000002"/>
    <n v="3.0150000000000001"/>
    <n v="3.097"/>
    <n v="3.13"/>
    <n v="3.0630000000000002"/>
    <n v="3.3279999999999998"/>
    <n v="3.29"/>
    <n v="3.5350000000000001"/>
    <n v="3.3149999999999999"/>
    <n v="3.218"/>
    <n v="2.7189999999999999"/>
    <n v="2.4529999999999998"/>
    <n v="2.6469999999999998"/>
    <n v="2.4649999999999999"/>
    <n v="1.907"/>
    <n v="1.9119999999999999"/>
    <n v="2.1850000000000001"/>
    <n v="2.028"/>
    <n v="2.2389999999999999"/>
    <n v="27.623756100000001"/>
  </r>
  <r>
    <x v="4"/>
    <s v="PEST CONTROL"/>
    <s v="SC JOHNSON"/>
    <x v="0"/>
    <x v="0"/>
    <x v="1"/>
    <x v="3"/>
    <x v="0"/>
    <n v="1504.8779999999999"/>
    <n v="5245.4449999999997"/>
    <n v="6949.2309999999998"/>
    <n v="9414.4529999999995"/>
    <n v="13261.573"/>
    <n v="11166.102000000001"/>
    <n v="8380.5609999999997"/>
    <n v="5021.5709999999999"/>
    <n v="3026.125"/>
    <n v="2153.5990000000002"/>
    <n v="1929.8019999999999"/>
    <n v="1489.645"/>
    <n v="1916.2729999999999"/>
    <n v="1993.4559999999999"/>
    <n v="4123.9750000000004"/>
    <n v="8978.7459999999992"/>
    <n v="11397.571"/>
    <n v="9261.1689999999999"/>
    <n v="11240.062"/>
    <n v="6896.5290000000005"/>
    <n v="5056.7250000000004"/>
    <n v="2997.6289999999999"/>
    <n v="2637.85"/>
    <n v="1781.655"/>
    <n v="1891.5730000000001"/>
    <n v="2951.0749999999998"/>
    <n v="5178.3119999999999"/>
    <n v="9761.4249999999993"/>
    <n v="22815.295999999998"/>
    <n v="16593.39"/>
    <n v="21790.291000000001"/>
    <n v="26520.062999999998"/>
    <n v="13430.763000000001"/>
    <n v="5472.1490000000003"/>
    <n v="3560.5529999999999"/>
    <n v="2426.8389999999999"/>
    <n v="1802.37"/>
    <n v="1802.37"/>
  </r>
  <r>
    <x v="4"/>
    <s v="PEST CONTROL"/>
    <s v="SC JOHNSON"/>
    <x v="0"/>
    <x v="0"/>
    <x v="1"/>
    <x v="3"/>
    <x v="1"/>
    <n v="308452.85100000002"/>
    <n v="858503.29500000004"/>
    <n v="1282383.0390000001"/>
    <n v="1789831.53"/>
    <n v="2686505.1830000002"/>
    <n v="2244130.102"/>
    <n v="1696345.9809999999"/>
    <n v="993582.65899999999"/>
    <n v="579835.62"/>
    <n v="413858.84499999997"/>
    <n v="378673.85200000001"/>
    <n v="295981.87"/>
    <n v="369420.2"/>
    <n v="370543.62599999999"/>
    <n v="895165.58799999999"/>
    <n v="1806460.817"/>
    <n v="2426934.1800000002"/>
    <n v="2136572.5419999999"/>
    <n v="2354083.0359999998"/>
    <n v="1412067.7860000001"/>
    <n v="1069875.2919999999"/>
    <n v="678222.59699999995"/>
    <n v="627493.67599999998"/>
    <n v="403866.24300000002"/>
    <n v="472394.359"/>
    <n v="722658.96200000006"/>
    <n v="1208059.909"/>
    <n v="2384165.9070000001"/>
    <n v="5473520.6490000002"/>
    <n v="4185153.8450000002"/>
    <n v="5545566.8550000004"/>
    <n v="7409058.4210000001"/>
    <n v="3224606.4509999999"/>
    <n v="1310849.024"/>
    <n v="891703.59100000001"/>
    <n v="645343.38500000001"/>
    <n v="542873.60100000002"/>
    <n v="542873.60100000002"/>
  </r>
  <r>
    <x v="4"/>
    <s v="PEST CONTROL"/>
    <s v="SC JOHNSON"/>
    <x v="0"/>
    <x v="0"/>
    <x v="1"/>
    <x v="3"/>
    <x v="2"/>
    <n v="5.8460000000000001"/>
    <n v="10.346"/>
    <n v="9.8070000000000004"/>
    <n v="11.132999999999999"/>
    <n v="11.19"/>
    <n v="9.9160000000000004"/>
    <n v="9.266"/>
    <n v="7.7249999999999996"/>
    <n v="6.641"/>
    <n v="6.899"/>
    <n v="7.0590000000000002"/>
    <n v="5.6619999999999999"/>
    <n v="6.0190000000000001"/>
    <n v="5.0259999999999998"/>
    <n v="6.8970000000000002"/>
    <n v="9.6020000000000003"/>
    <n v="11.401999999999999"/>
    <n v="9.4209999999999994"/>
    <n v="9.8059999999999992"/>
    <n v="8.4290000000000003"/>
    <n v="8.4480000000000004"/>
    <n v="7.3769999999999998"/>
    <n v="8.468"/>
    <n v="6.7720000000000002"/>
    <n v="7.14"/>
    <n v="8.0190000000000001"/>
    <n v="9.532"/>
    <n v="9.4350000000000005"/>
    <n v="12.631"/>
    <n v="11.464"/>
    <n v="10.769"/>
    <n v="11.904"/>
    <n v="8.9480000000000004"/>
    <n v="7.6520000000000001"/>
    <n v="8.1869999999999994"/>
    <n v="8.7469999999999999"/>
    <n v="7.141"/>
    <n v="3.5569999999999999"/>
  </r>
  <r>
    <x v="4"/>
    <s v="PEST CONTROL"/>
    <s v="SC JOHNSON"/>
    <x v="0"/>
    <x v="0"/>
    <x v="1"/>
    <x v="3"/>
    <x v="3"/>
    <n v="88.802999999999997"/>
    <n v="97.177999999999997"/>
    <n v="98.531000000000006"/>
    <n v="98.588999999999999"/>
    <n v="99.509"/>
    <n v="98.364000000000004"/>
    <n v="98.382999999999996"/>
    <n v="97.631"/>
    <n v="94.165000000000006"/>
    <n v="92.834000000000003"/>
    <n v="93.667000000000002"/>
    <n v="94.322999999999993"/>
    <n v="92.911000000000001"/>
    <n v="94.718000000000004"/>
    <n v="97.876999999999995"/>
    <n v="98.856999999999999"/>
    <n v="99.162999999999997"/>
    <n v="98.814999999999998"/>
    <n v="99.471999999999994"/>
    <n v="98.215000000000003"/>
    <n v="97.144000000000005"/>
    <n v="93.087000000000003"/>
    <n v="92.569000000000003"/>
    <n v="88.83"/>
    <n v="92.632000000000005"/>
    <n v="97.076999999999998"/>
    <n v="98.64"/>
    <n v="98.966999999999999"/>
    <n v="99.738"/>
    <n v="99.552999999999997"/>
    <n v="99.599000000000004"/>
    <n v="99.257999999999996"/>
    <n v="98.322999999999993"/>
    <n v="95.930999999999997"/>
    <n v="88.463999999999999"/>
    <n v="88.426000000000002"/>
    <n v="88.614000000000004"/>
    <n v="6690.2709999999997"/>
  </r>
  <r>
    <x v="4"/>
    <s v="PEST CONTROL"/>
    <s v="SC JOHNSON"/>
    <x v="0"/>
    <x v="0"/>
    <x v="1"/>
    <x v="3"/>
    <x v="4"/>
    <n v="80.899185500000002"/>
    <n v="85.100379000000004"/>
    <n v="88.703002699999999"/>
    <n v="89.419052199999996"/>
    <n v="92.730931400000003"/>
    <n v="90.524300400000001"/>
    <n v="91.166376600000007"/>
    <n v="90.055966999999995"/>
    <n v="84.170034599999994"/>
    <n v="79.481122499999998"/>
    <n v="80.335397499999999"/>
    <n v="79.906771500000005"/>
    <n v="81.432332599999995"/>
    <n v="84.895122900000004"/>
    <n v="86.694334799999993"/>
    <n v="90.643482399999996"/>
    <n v="91.760294900000005"/>
    <n v="91.285239700000005"/>
    <n v="92.510242000000005"/>
    <n v="93.187134599999993"/>
    <n v="90.690366600000004"/>
    <n v="83.529454799999996"/>
    <n v="81.538444999999996"/>
    <n v="81.209490799999998"/>
    <n v="83.359523199999998"/>
    <n v="89.343509100000006"/>
    <n v="90.588444100000004"/>
    <n v="92.501892799999993"/>
    <n v="94.329646400000001"/>
    <n v="93.933223299999995"/>
    <n v="94.534094199999998"/>
    <n v="92.854244600000001"/>
    <n v="90.293543499999998"/>
    <n v="84.625397500000005"/>
    <n v="76.707716599999998"/>
    <n v="74.339905799999997"/>
    <n v="75.7120544"/>
    <n v="88.614000000000004"/>
  </r>
  <r>
    <x v="4"/>
    <s v="PEST CONTROL"/>
    <s v="SC JOHNSON"/>
    <x v="0"/>
    <x v="0"/>
    <x v="1"/>
    <x v="3"/>
    <x v="5"/>
    <n v="17.18"/>
    <n v="16.501000000000001"/>
    <n v="16.616"/>
    <n v="16.143000000000001"/>
    <n v="15.766"/>
    <n v="17.364000000000001"/>
    <n v="16.052"/>
    <n v="17.029"/>
    <n v="16.460999999999999"/>
    <n v="15.173999999999999"/>
    <n v="15.894"/>
    <n v="16.829000000000001"/>
    <n v="16.189"/>
    <n v="16.027000000000001"/>
    <n v="15.137"/>
    <n v="15.945"/>
    <n v="15.406000000000001"/>
    <n v="17.256"/>
    <n v="17.422999999999998"/>
    <n v="15.683999999999999"/>
    <n v="15.938000000000001"/>
    <n v="16.582999999999998"/>
    <n v="17.379000000000001"/>
    <n v="17.690000000000001"/>
    <n v="17.006"/>
    <n v="17.68"/>
    <n v="16.803999999999998"/>
    <n v="18.309999999999999"/>
    <n v="17.015000000000001"/>
    <n v="15.255000000000001"/>
    <n v="14.333"/>
    <n v="15.473000000000001"/>
    <n v="14.846"/>
    <n v="13.541"/>
    <n v="13.510999999999999"/>
    <n v="12.817"/>
    <n v="13.138999999999999"/>
    <n v="75.7120544"/>
  </r>
  <r>
    <x v="4"/>
    <s v="PEST CONTROL"/>
    <s v="SC JOHNSON"/>
    <x v="1"/>
    <x v="1"/>
    <x v="2"/>
    <x v="4"/>
    <x v="0"/>
    <n v="0"/>
    <n v="0"/>
    <n v="23.678000000000001"/>
    <n v="24.855"/>
    <n v="40.862000000000002"/>
    <n v="24.855"/>
    <n v="0"/>
    <n v="0"/>
    <n v="0"/>
    <n v="19.216000000000001"/>
    <n v="0"/>
    <n v="0"/>
    <n v="0"/>
    <n v="0"/>
    <n v="0"/>
    <n v="0"/>
    <n v="0"/>
    <n v="15.927"/>
    <n v="19.097999999999999"/>
    <n v="0"/>
    <n v="0"/>
    <n v="0"/>
    <n v="17.870999999999999"/>
    <n v="18.309999999999999"/>
    <n v="0"/>
    <n v="0"/>
    <n v="0"/>
    <n v="6.1589999999999998"/>
    <n v="31.382000000000001"/>
    <n v="0"/>
    <n v="0"/>
    <n v="0"/>
    <n v="0"/>
    <n v="0"/>
    <n v="0"/>
    <n v="0"/>
    <n v="0"/>
    <n v="0"/>
  </r>
  <r>
    <x v="4"/>
    <s v="PEST CONTROL"/>
    <s v="SC JOHNSON"/>
    <x v="1"/>
    <x v="1"/>
    <x v="2"/>
    <x v="4"/>
    <x v="1"/>
    <n v="0"/>
    <n v="0"/>
    <n v="5327.5150000000003"/>
    <n v="5592.308"/>
    <n v="8777.857"/>
    <n v="5592.308"/>
    <n v="0"/>
    <n v="0"/>
    <n v="0"/>
    <n v="4611.9070000000002"/>
    <n v="0"/>
    <n v="0"/>
    <n v="0"/>
    <n v="0"/>
    <n v="0"/>
    <n v="0"/>
    <n v="0"/>
    <n v="3822.4630000000002"/>
    <n v="4583.5159999999996"/>
    <n v="0"/>
    <n v="0"/>
    <n v="0"/>
    <n v="4289.0129999999999"/>
    <n v="4394.4859999999999"/>
    <n v="0"/>
    <n v="0"/>
    <n v="0"/>
    <n v="2155.5909999999999"/>
    <n v="6535.7759999999998"/>
    <n v="0"/>
    <n v="0"/>
    <n v="0"/>
    <n v="0"/>
    <n v="0"/>
    <n v="0"/>
    <n v="0"/>
    <n v="0"/>
    <n v="0"/>
  </r>
  <r>
    <x v="4"/>
    <s v="PEST CONTROL"/>
    <s v="SC JOHNSON"/>
    <x v="1"/>
    <x v="1"/>
    <x v="2"/>
    <x v="4"/>
    <x v="2"/>
    <n v="0"/>
    <n v="0"/>
    <n v="0"/>
    <n v="0"/>
    <n v="0"/>
    <n v="0"/>
    <n v="0"/>
    <n v="0"/>
    <n v="0"/>
    <n v="1E-3"/>
    <n v="0"/>
    <n v="0"/>
    <n v="0"/>
    <n v="0"/>
    <n v="0"/>
    <n v="0"/>
    <n v="0"/>
    <n v="0"/>
    <n v="0"/>
    <n v="0"/>
    <n v="0"/>
    <n v="0"/>
    <n v="1E-3"/>
    <n v="1E-3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1"/>
    <x v="1"/>
    <x v="2"/>
    <x v="4"/>
    <x v="3"/>
    <n v="7.2279999999999998"/>
    <n v="3.4670000000000001"/>
    <n v="2.6880000000000002"/>
    <n v="3.1709999999999998"/>
    <n v="3.7109999999999999"/>
    <n v="1.9430000000000001"/>
    <n v="1.3089999999999999"/>
    <n v="3.8"/>
    <n v="5.0469999999999997"/>
    <n v="5.8769999999999998"/>
    <n v="5.0739999999999998"/>
    <n v="5.2880000000000003"/>
    <n v="3.7029999999999998"/>
    <n v="3.5459999999999998"/>
    <n v="2.6669999999999998"/>
    <n v="2.96"/>
    <n v="2.9079999999999999"/>
    <n v="4.7350000000000003"/>
    <n v="7.6319999999999997"/>
    <n v="7.8550000000000004"/>
    <n v="9.2609999999999992"/>
    <n v="12.41"/>
    <n v="11.074999999999999"/>
    <n v="9.4160000000000004"/>
    <n v="4.18"/>
    <n v="3.379"/>
    <n v="1.534"/>
    <n v="1.111"/>
    <n v="0.97199999999999998"/>
    <n v="0.47299999999999998"/>
    <n v="0.373"/>
    <n v="0.38300000000000001"/>
    <n v="0.58499999999999996"/>
    <n v="0.5"/>
    <n v="6.9000000000000006E-2"/>
    <n v="0.23799999999999999"/>
    <n v="0.14000000000000001"/>
    <n v="5.0430000000000001"/>
  </r>
  <r>
    <x v="4"/>
    <s v="PEST CONTROL"/>
    <s v="SC JOHNSON"/>
    <x v="1"/>
    <x v="1"/>
    <x v="2"/>
    <x v="4"/>
    <x v="4"/>
    <n v="3.3844922"/>
    <n v="3.3494404000000002"/>
    <n v="3.9098478999999999"/>
    <n v="5.1203116"/>
    <n v="4.9601816999999997"/>
    <n v="3.8847396999999999"/>
    <n v="3.2746206999999998"/>
    <n v="2.9329415999999999"/>
    <n v="3.2950393999999998"/>
    <n v="3.2409680000000001"/>
    <n v="3.9294118"/>
    <n v="3.9275139000000001"/>
    <n v="3.9304153999999998"/>
    <n v="3.9256962999999998"/>
    <n v="4.0415447000000002"/>
    <n v="3.8044209000000002"/>
    <n v="3.6251356000000001"/>
    <n v="3.6768798"/>
    <n v="3.733657"/>
    <n v="3.4327749999999999"/>
    <n v="3.4316564000000001"/>
    <n v="3.6272115"/>
    <n v="4.0685409999999997"/>
    <n v="3.969125"/>
    <n v="2.4157429000000001"/>
    <n v="2.3282965"/>
    <n v="2.2301753999999998"/>
    <n v="2.1615253000000001"/>
    <n v="2.1028142999999999"/>
    <n v="0.3877389"/>
    <n v="0.38779520000000001"/>
    <n v="0.3877023"/>
    <n v="0.38785170000000002"/>
    <n v="0.38796039999999998"/>
    <n v="0.3877679"/>
    <n v="0.45392120000000002"/>
    <n v="0.45331909999999997"/>
    <n v="0.14000000000000001"/>
  </r>
  <r>
    <x v="4"/>
    <s v="PEST CONTROL"/>
    <s v="SC JOHNSON"/>
    <x v="1"/>
    <x v="1"/>
    <x v="2"/>
    <x v="4"/>
    <x v="5"/>
    <n v="0.128"/>
    <n v="0.12"/>
    <n v="0.14599999999999999"/>
    <n v="0.13500000000000001"/>
    <n v="0.10299999999999999"/>
    <n v="0.104"/>
    <n v="0.105"/>
    <n v="8.8999999999999996E-2"/>
    <n v="9.2999999999999999E-2"/>
    <n v="6.3E-2"/>
    <n v="0.124"/>
    <n v="0.122"/>
    <n v="0.124"/>
    <n v="0.12"/>
    <n v="0.105"/>
    <n v="9.9000000000000005E-2"/>
    <n v="9.4E-2"/>
    <n v="0.15"/>
    <n v="0.11"/>
    <n v="0.108"/>
    <n v="0.109"/>
    <n v="0.114"/>
    <n v="9.4E-2"/>
    <n v="8.7999999999999995E-2"/>
    <n v="8.6999999999999994E-2"/>
    <n v="8.2000000000000003E-2"/>
    <n v="7.6999999999999999E-2"/>
    <n v="6.8000000000000005E-2"/>
    <n v="8.0000000000000002E-3"/>
    <n v="8.9999999999999993E-3"/>
    <n v="0.01"/>
    <n v="7.0000000000000001E-3"/>
    <n v="8.0000000000000002E-3"/>
    <n v="8.0000000000000002E-3"/>
    <n v="8.9999999999999993E-3"/>
    <n v="0.01"/>
    <n v="0.01"/>
    <n v="0.45331909999999997"/>
  </r>
  <r>
    <x v="4"/>
    <s v="PEST CONTROL"/>
    <s v="SC JOHNSON"/>
    <x v="1"/>
    <x v="1"/>
    <x v="2"/>
    <x v="5"/>
    <x v="0"/>
    <n v="0"/>
    <n v="0"/>
    <n v="0"/>
    <n v="0"/>
    <n v="0"/>
    <n v="0"/>
    <n v="0"/>
    <n v="0"/>
    <n v="0"/>
    <n v="0"/>
    <n v="0"/>
    <n v="0"/>
    <n v="0"/>
    <n v="0"/>
    <n v="0"/>
    <n v="16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1"/>
    <x v="1"/>
    <x v="2"/>
    <x v="5"/>
    <x v="1"/>
    <n v="0"/>
    <n v="0"/>
    <n v="0"/>
    <n v="0"/>
    <n v="0"/>
    <n v="0"/>
    <n v="0"/>
    <n v="0"/>
    <n v="0"/>
    <n v="0"/>
    <n v="0"/>
    <n v="0"/>
    <n v="0"/>
    <n v="0"/>
    <n v="0"/>
    <n v="4014.976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1"/>
    <x v="1"/>
    <x v="2"/>
    <x v="5"/>
    <x v="2"/>
    <n v="0"/>
    <n v="0"/>
    <n v="0"/>
    <n v="0"/>
    <n v="0"/>
    <n v="0"/>
    <n v="0"/>
    <n v="0"/>
    <n v="0"/>
    <n v="0"/>
    <n v="0"/>
    <n v="0"/>
    <n v="0"/>
    <n v="0"/>
    <n v="0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1"/>
    <x v="1"/>
    <x v="2"/>
    <x v="5"/>
    <x v="3"/>
    <n v="1.117"/>
    <n v="0.16900000000000001"/>
    <n v="0.10199999999999999"/>
    <n v="0.29499999999999998"/>
    <n v="0.17299999999999999"/>
    <n v="0.193"/>
    <n v="0.253"/>
    <n v="2.8420000000000001"/>
    <n v="4.4400000000000004"/>
    <n v="4.6070000000000002"/>
    <n v="2.9620000000000002"/>
    <n v="2.9449999999999998"/>
    <n v="1.7"/>
    <n v="0.55200000000000005"/>
    <n v="0.26"/>
    <n v="0.60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1"/>
    <x v="1"/>
    <x v="2"/>
    <x v="5"/>
    <x v="4"/>
    <n v="0.7061269"/>
    <n v="0.84554759999999995"/>
    <n v="0.84358710000000003"/>
    <n v="0.87011349999999998"/>
    <n v="0.72287489999999999"/>
    <n v="0.72196329999999997"/>
    <n v="0.72196510000000003"/>
    <n v="0.72196329999999997"/>
    <n v="0.73058199999999995"/>
    <n v="0.72948979999999997"/>
    <n v="0.72839489999999996"/>
    <n v="0.72804310000000005"/>
    <n v="0.72858100000000003"/>
    <n v="0.72770619999999997"/>
    <n v="0.72747430000000002"/>
    <n v="0.7116242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1"/>
    <x v="1"/>
    <x v="2"/>
    <x v="5"/>
    <x v="5"/>
    <n v="3.6999999999999998E-2"/>
    <n v="4.7E-2"/>
    <n v="4.1000000000000002E-2"/>
    <n v="4.1000000000000002E-2"/>
    <n v="3.9E-2"/>
    <n v="3.9E-2"/>
    <n v="3.9E-2"/>
    <n v="0.03"/>
    <n v="2.9000000000000001E-2"/>
    <n v="0.03"/>
    <n v="0.03"/>
    <n v="2.9000000000000001E-2"/>
    <n v="0.03"/>
    <n v="2.9000000000000001E-2"/>
    <n v="2.599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1"/>
    <x v="1"/>
    <x v="3"/>
    <x v="0"/>
    <x v="0"/>
    <n v="315.59699999999998"/>
    <n v="390.84800000000001"/>
    <n v="714.995"/>
    <n v="839.26599999999996"/>
    <n v="1081.932"/>
    <n v="1121.5650000000001"/>
    <n v="1050.105"/>
    <n v="655.20699999999999"/>
    <n v="535.02599999999995"/>
    <n v="219.03899999999999"/>
    <n v="261.58199999999999"/>
    <n v="284.16500000000002"/>
    <n v="338.11799999999999"/>
    <n v="385.49099999999999"/>
    <n v="416.81599999999997"/>
    <n v="823.37900000000002"/>
    <n v="658.87800000000004"/>
    <n v="671.10900000000004"/>
    <n v="855.13699999999994"/>
    <n v="554.00599999999997"/>
    <n v="475.65199999999999"/>
    <n v="393.52600000000001"/>
    <n v="424.74299999999999"/>
    <n v="456.673"/>
    <n v="427.39499999999998"/>
    <n v="208.37799999999999"/>
    <n v="371.31900000000002"/>
    <n v="543.09699999999998"/>
    <n v="878.08500000000004"/>
    <n v="826.59900000000005"/>
    <n v="806.64800000000002"/>
    <n v="822.38499999999999"/>
    <n v="634.33000000000004"/>
    <n v="474.16300000000001"/>
    <n v="348.73599999999999"/>
    <n v="469.83499999999998"/>
    <n v="419.03199999999998"/>
    <n v="419.03199999999998"/>
  </r>
  <r>
    <x v="4"/>
    <s v="PEST CONTROL"/>
    <s v="SC JOHNSON"/>
    <x v="1"/>
    <x v="1"/>
    <x v="3"/>
    <x v="0"/>
    <x v="1"/>
    <n v="60538.303999999996"/>
    <n v="75916.695000000007"/>
    <n v="145203.67600000001"/>
    <n v="175479.902"/>
    <n v="234535.75700000001"/>
    <n v="240872.75599999999"/>
    <n v="219315.71100000001"/>
    <n v="142613.497"/>
    <n v="109438.249"/>
    <n v="44458.902000000002"/>
    <n v="56682.165000000001"/>
    <n v="62895.087"/>
    <n v="72662.990999999995"/>
    <n v="86179.558000000005"/>
    <n v="91225.130999999994"/>
    <n v="175509.82800000001"/>
    <n v="142385.242"/>
    <n v="154050.016"/>
    <n v="199028.22899999999"/>
    <n v="121527.749"/>
    <n v="102063.353"/>
    <n v="92812.641000000003"/>
    <n v="104522.97100000001"/>
    <n v="115974.189"/>
    <n v="113624.978"/>
    <n v="75226.697"/>
    <n v="81067.710999999996"/>
    <n v="118094.068"/>
    <n v="201396.51300000001"/>
    <n v="182432.24799999999"/>
    <n v="194002.14600000001"/>
    <n v="207970.93400000001"/>
    <n v="166724.663"/>
    <n v="124063.371"/>
    <n v="90785.585999999996"/>
    <n v="124338.11199999999"/>
    <n v="105376.421"/>
    <n v="105376.421"/>
  </r>
  <r>
    <x v="4"/>
    <s v="PEST CONTROL"/>
    <s v="SC JOHNSON"/>
    <x v="1"/>
    <x v="1"/>
    <x v="3"/>
    <x v="0"/>
    <x v="2"/>
    <n v="4.3860000000000001"/>
    <n v="3.3969999999999998"/>
    <n v="4.0880000000000001"/>
    <n v="3.863"/>
    <n v="3.3090000000000002"/>
    <n v="3.7170000000000001"/>
    <n v="4.3559999999999999"/>
    <n v="4.0759999999999996"/>
    <n v="4.8890000000000002"/>
    <n v="2.9369999999999998"/>
    <n v="4.0890000000000004"/>
    <n v="4.8780000000000001"/>
    <n v="4.6479999999999997"/>
    <n v="4.3259999999999996"/>
    <n v="2.7269999999999999"/>
    <n v="3.343"/>
    <n v="2.3279999999999998"/>
    <n v="2.4790000000000001"/>
    <n v="3.1459999999999999"/>
    <n v="2.8540000000000001"/>
    <n v="3.2610000000000001"/>
    <n v="3.6920000000000002"/>
    <n v="4.7910000000000004"/>
    <n v="6.2670000000000003"/>
    <n v="5.7389999999999999"/>
    <n v="2.1520000000000001"/>
    <n v="2.7069999999999999"/>
    <n v="2.032"/>
    <n v="2.0049999999999999"/>
    <n v="2.1880000000000002"/>
    <n v="1.512"/>
    <n v="1.367"/>
    <n v="1.6990000000000001"/>
    <n v="2.5590000000000002"/>
    <n v="3.1850000000000001"/>
    <n v="6.5389999999999997"/>
    <n v="6.1079999999999997"/>
    <n v="0.82699999999999996"/>
  </r>
  <r>
    <x v="4"/>
    <s v="PEST CONTROL"/>
    <s v="SC JOHNSON"/>
    <x v="1"/>
    <x v="1"/>
    <x v="3"/>
    <x v="0"/>
    <x v="3"/>
    <n v="51.798999999999999"/>
    <n v="44.987000000000002"/>
    <n v="55.631"/>
    <n v="56.043999999999997"/>
    <n v="59.390999999999998"/>
    <n v="57.581000000000003"/>
    <n v="52.118000000000002"/>
    <n v="52.277000000000001"/>
    <n v="57.546999999999997"/>
    <n v="42.835000000000001"/>
    <n v="40.006"/>
    <n v="43.155000000000001"/>
    <n v="40.707000000000001"/>
    <n v="44.646000000000001"/>
    <n v="49.784999999999997"/>
    <n v="55.16"/>
    <n v="54.152999999999999"/>
    <n v="54.725000000000001"/>
    <n v="50.027999999999999"/>
    <n v="44.744999999999997"/>
    <n v="44.776000000000003"/>
    <n v="46.552"/>
    <n v="47.506999999999998"/>
    <n v="40.304000000000002"/>
    <n v="42.348999999999997"/>
    <n v="36.881999999999998"/>
    <n v="38.76"/>
    <n v="40.508000000000003"/>
    <n v="46.384999999999998"/>
    <n v="46.758000000000003"/>
    <n v="43.828000000000003"/>
    <n v="41.41"/>
    <n v="42.015999999999998"/>
    <n v="43.982999999999997"/>
    <n v="44.494999999999997"/>
    <n v="49.375999999999998"/>
    <n v="39.540999999999997"/>
    <n v="734.86300000000006"/>
  </r>
  <r>
    <x v="4"/>
    <s v="PEST CONTROL"/>
    <s v="SC JOHNSON"/>
    <x v="1"/>
    <x v="1"/>
    <x v="3"/>
    <x v="0"/>
    <x v="4"/>
    <n v="27.0662105"/>
    <n v="26.243535600000001"/>
    <n v="29.255777999999999"/>
    <n v="29.452238999999999"/>
    <n v="28.394940299999998"/>
    <n v="30.754672200000002"/>
    <n v="29.158162999999998"/>
    <n v="29.207329099999999"/>
    <n v="31.526927000000001"/>
    <n v="23.535940199999999"/>
    <n v="22.010362499999999"/>
    <n v="21.693962299999999"/>
    <n v="21.016503799999999"/>
    <n v="23.5967159"/>
    <n v="28.1748981"/>
    <n v="29.1227464"/>
    <n v="29.875617299999998"/>
    <n v="30.509067999999999"/>
    <n v="30.048048999999999"/>
    <n v="27.533330599999999"/>
    <n v="27.323729799999999"/>
    <n v="26.029566899999999"/>
    <n v="23.4140075"/>
    <n v="21.307256500000001"/>
    <n v="22.818834500000001"/>
    <n v="22.803770799999999"/>
    <n v="21.3408935"/>
    <n v="22.4126768"/>
    <n v="24.121454199999999"/>
    <n v="24.861884700000001"/>
    <n v="23.9762375"/>
    <n v="22.740614399999998"/>
    <n v="21.369691499999998"/>
    <n v="20.59976"/>
    <n v="20.870338400000001"/>
    <n v="22.377418899999999"/>
    <n v="20.635086399999999"/>
    <n v="39.540999999999997"/>
  </r>
  <r>
    <x v="4"/>
    <s v="PEST CONTROL"/>
    <s v="SC JOHNSON"/>
    <x v="1"/>
    <x v="1"/>
    <x v="3"/>
    <x v="0"/>
    <x v="5"/>
    <n v="1.9990000000000001"/>
    <n v="1.653"/>
    <n v="1.863"/>
    <n v="1.536"/>
    <n v="1.3069999999999999"/>
    <n v="1.61"/>
    <n v="1.583"/>
    <n v="1.659"/>
    <n v="1.498"/>
    <n v="1.5009999999999999"/>
    <n v="1.585"/>
    <n v="1.4610000000000001"/>
    <n v="1.4870000000000001"/>
    <n v="1.474"/>
    <n v="1.3640000000000001"/>
    <n v="1.2450000000000001"/>
    <n v="1.49"/>
    <n v="1.3740000000000001"/>
    <n v="1.532"/>
    <n v="1.4359999999999999"/>
    <n v="1.571"/>
    <n v="1.5349999999999999"/>
    <n v="1.8380000000000001"/>
    <n v="1.4890000000000001"/>
    <n v="1.8"/>
    <n v="1.8109999999999999"/>
    <n v="1.5489999999999999"/>
    <n v="1.3819999999999999"/>
    <n v="1.367"/>
    <n v="1.3129999999999999"/>
    <n v="1.669"/>
    <n v="1.42"/>
    <n v="1.446"/>
    <n v="1.46"/>
    <n v="1.768"/>
    <n v="1.6859999999999999"/>
    <n v="1.4730000000000001"/>
    <n v="20.635086399999999"/>
  </r>
  <r>
    <x v="4"/>
    <s v="PEST CONTROL"/>
    <s v="SC JOHNSON"/>
    <x v="1"/>
    <x v="1"/>
    <x v="3"/>
    <x v="4"/>
    <x v="0"/>
    <n v="16.667000000000002"/>
    <n v="2.657"/>
    <n v="49.542000000000002"/>
    <n v="6.6429999999999998"/>
    <n v="5.47"/>
    <n v="38.863"/>
    <n v="3.3210000000000002"/>
    <n v="41.326000000000001"/>
    <n v="2"/>
    <n v="0"/>
    <n v="16.629000000000001"/>
    <n v="25.277999999999999"/>
    <n v="38.264000000000003"/>
    <n v="36.682000000000002"/>
    <n v="31.794"/>
    <n v="6.6429999999999998"/>
    <n v="3.6469999999999998"/>
    <n v="9.3330000000000002"/>
    <n v="25.081"/>
    <n v="25.666"/>
    <n v="11.507"/>
    <n v="4.2759999999999998"/>
    <n v="5.1310000000000002"/>
    <n v="5.1310000000000002"/>
    <n v="58.363"/>
    <n v="79.602999999999994"/>
    <n v="41.457999999999998"/>
    <n v="2.0670000000000002"/>
    <n v="96.19"/>
    <n v="119.91500000000001"/>
    <n v="178.93700000000001"/>
    <n v="190.63800000000001"/>
    <n v="128.23699999999999"/>
    <n v="39.786999999999999"/>
    <n v="71.326999999999998"/>
    <n v="101.502"/>
    <n v="55.747999999999998"/>
    <n v="55.747999999999998"/>
  </r>
  <r>
    <x v="4"/>
    <s v="PEST CONTROL"/>
    <s v="SC JOHNSON"/>
    <x v="1"/>
    <x v="1"/>
    <x v="3"/>
    <x v="4"/>
    <x v="1"/>
    <n v="4749.9530000000004"/>
    <n v="757.274"/>
    <n v="13822.237999999999"/>
    <n v="1893.1410000000001"/>
    <n v="1695.7619999999999"/>
    <n v="11214.741"/>
    <n v="1029.6030000000001"/>
    <n v="14005.061"/>
    <n v="620"/>
    <n v="0"/>
    <n v="4972.0349999999999"/>
    <n v="8366.7890000000007"/>
    <n v="12409.41"/>
    <n v="11919.19"/>
    <n v="9278.2099999999991"/>
    <n v="2059.2060000000001"/>
    <n v="1130.508"/>
    <n v="2893.23"/>
    <n v="16905.88"/>
    <n v="8713.9959999999992"/>
    <n v="4034.0430000000001"/>
    <n v="1539.2159999999999"/>
    <n v="1847.059"/>
    <n v="1847.059"/>
    <n v="14823.843999999999"/>
    <n v="23295.948"/>
    <n v="17041.811000000002"/>
    <n v="743.976"/>
    <n v="32174.482"/>
    <n v="41537.766000000003"/>
    <n v="63978.847000000002"/>
    <n v="71274.904999999999"/>
    <n v="45071.288999999997"/>
    <n v="16513.59"/>
    <n v="27079.805"/>
    <n v="37048.606"/>
    <n v="19442.917000000001"/>
    <n v="19442.917000000001"/>
  </r>
  <r>
    <x v="4"/>
    <s v="PEST CONTROL"/>
    <s v="SC JOHNSON"/>
    <x v="1"/>
    <x v="1"/>
    <x v="3"/>
    <x v="4"/>
    <x v="2"/>
    <n v="1E-3"/>
    <n v="0"/>
    <n v="1E-3"/>
    <n v="0"/>
    <n v="0"/>
    <n v="0"/>
    <n v="0"/>
    <n v="1E-3"/>
    <n v="0"/>
    <n v="0"/>
    <n v="1E-3"/>
    <n v="1E-3"/>
    <n v="1E-3"/>
    <n v="1E-3"/>
    <n v="1E-3"/>
    <n v="0"/>
    <n v="0"/>
    <n v="0"/>
    <n v="0"/>
    <n v="0"/>
    <n v="0"/>
    <n v="0"/>
    <n v="0"/>
    <n v="0"/>
    <n v="2E-3"/>
    <n v="2E-3"/>
    <n v="1E-3"/>
    <n v="0"/>
    <n v="1E-3"/>
    <n v="1E-3"/>
    <n v="1E-3"/>
    <n v="1E-3"/>
    <n v="1E-3"/>
    <n v="1E-3"/>
    <n v="2E-3"/>
    <n v="4.0000000000000001E-3"/>
    <n v="2E-3"/>
    <n v="0.11"/>
  </r>
  <r>
    <x v="4"/>
    <s v="PEST CONTROL"/>
    <s v="SC JOHNSON"/>
    <x v="1"/>
    <x v="1"/>
    <x v="3"/>
    <x v="4"/>
    <x v="3"/>
    <n v="7.8570000000000002"/>
    <n v="5.3630000000000004"/>
    <n v="6.8570000000000002"/>
    <n v="5.5179999999999998"/>
    <n v="6.109"/>
    <n v="7.0659999999999998"/>
    <n v="7.1539999999999999"/>
    <n v="11.993"/>
    <n v="11.214"/>
    <n v="15.324999999999999"/>
    <n v="20.968"/>
    <n v="20.568999999999999"/>
    <n v="15.35"/>
    <n v="10.542"/>
    <n v="4.6580000000000004"/>
    <n v="3.4049999999999998"/>
    <n v="4.7270000000000003"/>
    <n v="5.35"/>
    <n v="5.46"/>
    <n v="10.951000000000001"/>
    <n v="12.05"/>
    <n v="17.459"/>
    <n v="13.105"/>
    <n v="16.745000000000001"/>
    <n v="15.324999999999999"/>
    <n v="14.032999999999999"/>
    <n v="13.413"/>
    <n v="6.7960000000000003"/>
    <n v="10.948"/>
    <n v="16.38"/>
    <n v="15.141999999999999"/>
    <n v="14.956"/>
    <n v="18.826000000000001"/>
    <n v="23.899000000000001"/>
    <n v="24.852"/>
    <n v="29.536999999999999"/>
    <n v="15.118"/>
    <n v="82.572000000000003"/>
  </r>
  <r>
    <x v="4"/>
    <s v="PEST CONTROL"/>
    <s v="SC JOHNSON"/>
    <x v="1"/>
    <x v="1"/>
    <x v="3"/>
    <x v="4"/>
    <x v="4"/>
    <n v="2.3810077999999999"/>
    <n v="3.3970769000000001"/>
    <n v="4.1771817999999996"/>
    <n v="4.1661891999999998"/>
    <n v="4.9863891999999996"/>
    <n v="5.2590507999999998"/>
    <n v="4.3292887999999996"/>
    <n v="5.9865662000000004"/>
    <n v="5.7238002999999997"/>
    <n v="5.6169525"/>
    <n v="5.9337932999999996"/>
    <n v="5.9309272999999996"/>
    <n v="5.9353088999999999"/>
    <n v="5.9281823999999999"/>
    <n v="4.6754892000000003"/>
    <n v="3.7991316999999998"/>
    <n v="3.7783166000000001"/>
    <n v="4.5368589999999998"/>
    <n v="4.5924690000000004"/>
    <n v="6.2376934999999998"/>
    <n v="6.2356609000000001"/>
    <n v="7.6014889999999999"/>
    <n v="8.0759094000000005"/>
    <n v="8.2668534000000005"/>
    <n v="7.3488195999999997"/>
    <n v="7.8224612999999996"/>
    <n v="7.6247951"/>
    <n v="7.1348326999999996"/>
    <n v="7.9891642000000003"/>
    <n v="9.3412985000000006"/>
    <n v="9.3426538000000008"/>
    <n v="8.6140776999999993"/>
    <n v="8.5461112000000004"/>
    <n v="8.4147269999999992"/>
    <n v="9.3599154999999996"/>
    <n v="9.0073088000000006"/>
    <n v="4.5491947000000001"/>
    <n v="15.118"/>
  </r>
  <r>
    <x v="4"/>
    <s v="PEST CONTROL"/>
    <s v="SC JOHNSON"/>
    <x v="1"/>
    <x v="1"/>
    <x v="3"/>
    <x v="4"/>
    <x v="5"/>
    <n v="6.7000000000000004E-2"/>
    <n v="0.127"/>
    <n v="0.19400000000000001"/>
    <n v="0.19500000000000001"/>
    <n v="0.26100000000000001"/>
    <n v="0.20599999999999999"/>
    <n v="0.19700000000000001"/>
    <n v="0.20699999999999999"/>
    <n v="0.21299999999999999"/>
    <n v="0.223"/>
    <n v="0.24199999999999999"/>
    <n v="0.191"/>
    <n v="0.218"/>
    <n v="0.185"/>
    <n v="0.13300000000000001"/>
    <n v="0.13800000000000001"/>
    <n v="0.128"/>
    <n v="0.14099999999999999"/>
    <n v="0.13700000000000001"/>
    <n v="0.20699999999999999"/>
    <n v="0.222"/>
    <n v="0.31"/>
    <n v="0.32200000000000001"/>
    <n v="0.36399999999999999"/>
    <n v="0.26200000000000001"/>
    <n v="0.22900000000000001"/>
    <n v="0.31900000000000001"/>
    <n v="0.34699999999999998"/>
    <n v="0.38"/>
    <n v="0.44600000000000001"/>
    <n v="0.39500000000000002"/>
    <n v="0.38600000000000001"/>
    <n v="0.43"/>
    <n v="0.41499999999999998"/>
    <n v="0.436"/>
    <n v="0.27700000000000002"/>
    <n v="0.16600000000000001"/>
    <n v="4.5491947000000001"/>
  </r>
  <r>
    <x v="4"/>
    <s v="PEST CONTROL"/>
    <s v="SC JOHNSON"/>
    <x v="1"/>
    <x v="1"/>
    <x v="3"/>
    <x v="5"/>
    <x v="0"/>
    <n v="17.713999999999999"/>
    <n v="11.919"/>
    <n v="35.094999999999999"/>
    <n v="7.6619999999999999"/>
    <n v="16.704999999999998"/>
    <n v="96.573999999999998"/>
    <n v="16.675000000000001"/>
    <n v="30.829000000000001"/>
    <n v="25.827999999999999"/>
    <n v="24.318999999999999"/>
    <n v="56.100999999999999"/>
    <n v="50.557000000000002"/>
    <n v="47.893000000000001"/>
    <n v="34.000999999999998"/>
    <n v="31.763999999999999"/>
    <n v="45.091000000000001"/>
    <n v="55.896999999999998"/>
    <n v="127.129"/>
    <n v="106.41800000000001"/>
    <n v="65.95"/>
    <n v="62.707000000000001"/>
    <n v="62.85"/>
    <n v="39.154000000000003"/>
    <n v="42.786000000000001"/>
    <n v="12.718"/>
    <n v="29.324000000000002"/>
    <n v="26.696000000000002"/>
    <n v="99.94"/>
    <n v="174.30699999999999"/>
    <n v="196.40199999999999"/>
    <n v="216.489"/>
    <n v="204.98500000000001"/>
    <n v="251.24299999999999"/>
    <n v="113.973"/>
    <n v="120.471"/>
    <n v="172.08699999999999"/>
    <n v="157.648"/>
    <n v="945.88900000000001"/>
  </r>
  <r>
    <x v="4"/>
    <s v="PEST CONTROL"/>
    <s v="SC JOHNSON"/>
    <x v="1"/>
    <x v="1"/>
    <x v="3"/>
    <x v="5"/>
    <x v="1"/>
    <n v="4782.8069999999998"/>
    <n v="3218.049"/>
    <n v="9706.0159999999996"/>
    <n v="2068.8209999999999"/>
    <n v="4510.2420000000002"/>
    <n v="26859.489000000001"/>
    <n v="4502.1419999999998"/>
    <n v="8809.8610000000008"/>
    <n v="7437.0879999999997"/>
    <n v="7014.62"/>
    <n v="17591.476999999999"/>
    <n v="14849.69"/>
    <n v="14130.464"/>
    <n v="11699.85"/>
    <n v="10901.657999999999"/>
    <n v="14177.392"/>
    <n v="16778.802"/>
    <n v="42511.091999999997"/>
    <n v="36022.074000000001"/>
    <n v="24023.983"/>
    <n v="23413.335999999999"/>
    <n v="24116.131000000001"/>
    <n v="14178.082"/>
    <n v="15409.058999999999"/>
    <n v="3633.16"/>
    <n v="9869.2469999999994"/>
    <n v="10253.204"/>
    <n v="38801.565999999999"/>
    <n v="61804.038999999997"/>
    <n v="75821.167000000001"/>
    <n v="82855.33"/>
    <n v="78691.805999999997"/>
    <n v="96605.288"/>
    <n v="49685.09"/>
    <n v="51199.332999999999"/>
    <n v="61826.983999999997"/>
    <n v="54824.480000000003"/>
    <n v="54824.480000000003"/>
  </r>
  <r>
    <x v="4"/>
    <s v="PEST CONTROL"/>
    <s v="SC JOHNSON"/>
    <x v="1"/>
    <x v="1"/>
    <x v="3"/>
    <x v="5"/>
    <x v="2"/>
    <n v="4.0000000000000001E-3"/>
    <n v="2E-3"/>
    <n v="3.0000000000000001E-3"/>
    <n v="1E-3"/>
    <n v="1E-3"/>
    <n v="5.0000000000000001E-3"/>
    <n v="1E-3"/>
    <n v="3.0000000000000001E-3"/>
    <n v="4.0000000000000001E-3"/>
    <n v="5.0000000000000001E-3"/>
    <n v="1.4E-2"/>
    <n v="1.4E-2"/>
    <n v="1.0999999999999999E-2"/>
    <n v="6.0000000000000001E-3"/>
    <n v="3.0000000000000001E-3"/>
    <n v="3.0000000000000001E-3"/>
    <n v="3.0000000000000001E-3"/>
    <n v="8.0000000000000002E-3"/>
    <n v="6.0000000000000001E-3"/>
    <n v="6.0000000000000001E-3"/>
    <n v="7.0000000000000001E-3"/>
    <n v="0.01"/>
    <n v="7.0000000000000001E-3"/>
    <n v="0.01"/>
    <n v="3.0000000000000001E-3"/>
    <n v="5.0000000000000001E-3"/>
    <n v="3.0000000000000001E-3"/>
    <n v="6.0000000000000001E-3"/>
    <n v="6.0000000000000001E-3"/>
    <n v="8.9999999999999993E-3"/>
    <n v="7.0000000000000001E-3"/>
    <n v="5.0000000000000001E-3"/>
    <n v="1.0999999999999999E-2"/>
    <n v="0.01"/>
    <n v="1.7000000000000001E-2"/>
    <n v="3.6999999999999998E-2"/>
    <n v="3.5999999999999997E-2"/>
    <n v="1.867"/>
  </r>
  <r>
    <x v="4"/>
    <s v="PEST CONTROL"/>
    <s v="SC JOHNSON"/>
    <x v="1"/>
    <x v="1"/>
    <x v="3"/>
    <x v="5"/>
    <x v="3"/>
    <n v="4.7889999999999997"/>
    <n v="2.6139999999999999"/>
    <n v="5.4630000000000001"/>
    <n v="4.266"/>
    <n v="4.9530000000000003"/>
    <n v="5.3940000000000001"/>
    <n v="1.589"/>
    <n v="5.1609999999999996"/>
    <n v="3.302"/>
    <n v="5.774"/>
    <n v="15.776999999999999"/>
    <n v="15.435"/>
    <n v="12.757"/>
    <n v="12.257999999999999"/>
    <n v="9.43"/>
    <n v="9.0630000000000006"/>
    <n v="7.0110000000000001"/>
    <n v="11.215"/>
    <n v="8.3550000000000004"/>
    <n v="15.266999999999999"/>
    <n v="16.224"/>
    <n v="21.154"/>
    <n v="19.29"/>
    <n v="19.628"/>
    <n v="11.368"/>
    <n v="11.975"/>
    <n v="7.9169999999999998"/>
    <n v="10.961"/>
    <n v="14.411"/>
    <n v="16.405999999999999"/>
    <n v="13.531000000000001"/>
    <n v="17.516999999999999"/>
    <n v="18.902999999999999"/>
    <n v="23.417999999999999"/>
    <n v="24.202999999999999"/>
    <n v="27.829000000000001"/>
    <n v="17.411000000000001"/>
    <n v="1007.16"/>
  </r>
  <r>
    <x v="4"/>
    <s v="PEST CONTROL"/>
    <s v="SC JOHNSON"/>
    <x v="1"/>
    <x v="1"/>
    <x v="3"/>
    <x v="5"/>
    <x v="4"/>
    <n v="0.50126479999999995"/>
    <n v="0.50018309999999999"/>
    <n v="1.3426104000000001"/>
    <n v="1.3970836"/>
    <n v="2.2256825999999998"/>
    <n v="2.3623508000000002"/>
    <n v="0.52471049999999997"/>
    <n v="2.3679028999999998"/>
    <n v="2.1939377000000002"/>
    <n v="2.1415123999999999"/>
    <n v="5.2171355999999998"/>
    <n v="5.2146157999999998"/>
    <n v="5.2184680999999999"/>
    <n v="5.9399085999999999"/>
    <n v="5.9360207000000003"/>
    <n v="5.7602883"/>
    <n v="4.5118995999999996"/>
    <n v="6.6542034000000001"/>
    <n v="6.8922439000000004"/>
    <n v="6.8966301000000003"/>
    <n v="7.0838340999999998"/>
    <n v="7.3410948999999999"/>
    <n v="6.3244831000000001"/>
    <n v="6.4549402999999996"/>
    <n v="5.3557363999999996"/>
    <n v="5.2640279000000003"/>
    <n v="5.2936734000000003"/>
    <n v="6.611364"/>
    <n v="7.4545089999999998"/>
    <n v="7.8093287"/>
    <n v="7.5095862000000002"/>
    <n v="9.1120747000000009"/>
    <n v="7.5062674999999999"/>
    <n v="6.4381357000000001"/>
    <n v="6.1340874999999997"/>
    <n v="5.4665175000000001"/>
    <n v="4.8891840999999996"/>
    <n v="17.411000000000001"/>
  </r>
  <r>
    <x v="4"/>
    <s v="PEST CONTROL"/>
    <s v="SC JOHNSON"/>
    <x v="1"/>
    <x v="1"/>
    <x v="3"/>
    <x v="5"/>
    <x v="5"/>
    <n v="6.0999999999999999E-2"/>
    <n v="5.3999999999999999E-2"/>
    <n v="0.12"/>
    <n v="0.126"/>
    <n v="0.156"/>
    <n v="4.3999999999999997E-2"/>
    <n v="4.3999999999999997E-2"/>
    <n v="7.4999999999999997E-2"/>
    <n v="0.112"/>
    <n v="8.5000000000000006E-2"/>
    <n v="0.19700000000000001"/>
    <n v="0.186"/>
    <n v="0.187"/>
    <n v="0.19400000000000001"/>
    <n v="0.20300000000000001"/>
    <n v="0.14799999999999999"/>
    <n v="0.16600000000000001"/>
    <n v="0.17599999999999999"/>
    <n v="0.255"/>
    <n v="0.32500000000000001"/>
    <n v="0.29699999999999999"/>
    <n v="0.28199999999999997"/>
    <n v="0.27600000000000002"/>
    <n v="0.21299999999999999"/>
    <n v="0.20200000000000001"/>
    <n v="0.17299999999999999"/>
    <n v="0.19400000000000001"/>
    <n v="8.5999999999999993E-2"/>
    <n v="0.21099999999999999"/>
    <n v="0.39800000000000002"/>
    <n v="0.34300000000000003"/>
    <n v="0.34599999999999997"/>
    <n v="0.502"/>
    <n v="0.48799999999999999"/>
    <n v="0.54600000000000004"/>
    <n v="0.27900000000000003"/>
    <n v="0.26400000000000001"/>
    <n v="4.8891840999999996"/>
  </r>
  <r>
    <x v="4"/>
    <s v="PEST CONTROL"/>
    <s v="SC JOHNSON"/>
    <x v="1"/>
    <x v="2"/>
    <x v="3"/>
    <x v="0"/>
    <x v="0"/>
    <n v="63.095999999999997"/>
    <n v="121.389"/>
    <n v="168.48500000000001"/>
    <n v="97.823999999999998"/>
    <n v="153.279"/>
    <n v="193.24600000000001"/>
    <n v="134.297"/>
    <n v="109.998"/>
    <n v="97.534000000000006"/>
    <n v="22.635000000000002"/>
    <n v="19.809000000000001"/>
    <n v="25.148"/>
    <n v="61.192999999999998"/>
    <n v="53.68"/>
    <n v="71.287999999999997"/>
    <n v="166.989"/>
    <n v="121.59699999999999"/>
    <n v="103.04600000000001"/>
    <n v="193.41900000000001"/>
    <n v="225.376"/>
    <n v="168.511"/>
    <n v="100.571"/>
    <n v="77.096999999999994"/>
    <n v="55.976999999999997"/>
    <n v="101.57"/>
    <n v="118.52200000000001"/>
    <n v="128.46"/>
    <n v="143.446"/>
    <n v="243.476"/>
    <n v="147.571"/>
    <n v="124.895"/>
    <n v="59.118000000000002"/>
    <n v="45.116"/>
    <n v="34.098999999999997"/>
    <n v="45.808999999999997"/>
    <n v="49.314"/>
    <n v="70.408000000000001"/>
    <n v="70.408000000000001"/>
  </r>
  <r>
    <x v="4"/>
    <s v="PEST CONTROL"/>
    <s v="SC JOHNSON"/>
    <x v="1"/>
    <x v="2"/>
    <x v="3"/>
    <x v="0"/>
    <x v="1"/>
    <n v="15309.829"/>
    <n v="29475.373"/>
    <n v="41822.616999999998"/>
    <n v="24681.596000000001"/>
    <n v="39111.446000000004"/>
    <n v="47038.58"/>
    <n v="34872.046000000002"/>
    <n v="28375.546999999999"/>
    <n v="25679.883000000002"/>
    <n v="6104.1030000000001"/>
    <n v="5390.165"/>
    <n v="7244.2489999999998"/>
    <n v="16625.275000000001"/>
    <n v="15786.707"/>
    <n v="22193.617999999999"/>
    <n v="48998.165000000001"/>
    <n v="33101.743999999999"/>
    <n v="30605.623"/>
    <n v="53856.235000000001"/>
    <n v="67931.72"/>
    <n v="52584.086000000003"/>
    <n v="27841.03"/>
    <n v="20474.919999999998"/>
    <n v="15813.927"/>
    <n v="30361.56"/>
    <n v="39850.631999999998"/>
    <n v="37938.567999999999"/>
    <n v="41782.773999999998"/>
    <n v="69710.986999999994"/>
    <n v="39028.648000000001"/>
    <n v="33703.016000000003"/>
    <n v="15492.44"/>
    <n v="11610.438"/>
    <n v="8840.6299999999992"/>
    <n v="11424.573"/>
    <n v="15661.062"/>
    <n v="23641"/>
    <n v="23641"/>
  </r>
  <r>
    <x v="4"/>
    <s v="PEST CONTROL"/>
    <s v="SC JOHNSON"/>
    <x v="1"/>
    <x v="2"/>
    <x v="3"/>
    <x v="0"/>
    <x v="2"/>
    <n v="0.94599999999999995"/>
    <n v="1.127"/>
    <n v="1.026"/>
    <n v="0.48199999999999998"/>
    <n v="0.501"/>
    <n v="0.68700000000000006"/>
    <n v="0.58499999999999996"/>
    <n v="0.72799999999999998"/>
    <n v="0.97399999999999998"/>
    <n v="0.32600000000000001"/>
    <n v="0.33100000000000002"/>
    <n v="0.45900000000000002"/>
    <n v="0.90500000000000003"/>
    <n v="0.65700000000000003"/>
    <n v="0.496"/>
    <n v="0.71899999999999997"/>
    <n v="0.46"/>
    <n v="0.40799999999999997"/>
    <n v="0.77500000000000002"/>
    <n v="1.252"/>
    <n v="1.204"/>
    <n v="1.0369999999999999"/>
    <n v="0.92400000000000004"/>
    <n v="0.82199999999999995"/>
    <n v="1.4279999999999999"/>
    <n v="1.3420000000000001"/>
    <n v="1.01"/>
    <n v="0.57699999999999996"/>
    <n v="0.58799999999999997"/>
    <n v="0.41599999999999998"/>
    <n v="0.249"/>
    <n v="0.10299999999999999"/>
    <n v="0.126"/>
    <n v="0.192"/>
    <n v="0.43"/>
    <n v="0.68799999999999994"/>
    <n v="1.0589999999999999"/>
    <n v="0.13900000000000001"/>
  </r>
  <r>
    <x v="4"/>
    <s v="PEST CONTROL"/>
    <s v="SC JOHNSON"/>
    <x v="1"/>
    <x v="2"/>
    <x v="3"/>
    <x v="0"/>
    <x v="3"/>
    <n v="28.766999999999999"/>
    <n v="25.725000000000001"/>
    <n v="33.302"/>
    <n v="23.734999999999999"/>
    <n v="30.638999999999999"/>
    <n v="21.411999999999999"/>
    <n v="18.960999999999999"/>
    <n v="16.968"/>
    <n v="17.414999999999999"/>
    <n v="10.477"/>
    <n v="10.721"/>
    <n v="12.295"/>
    <n v="14.53"/>
    <n v="18.573"/>
    <n v="20.068000000000001"/>
    <n v="25.431000000000001"/>
    <n v="22.975999999999999"/>
    <n v="19.957999999999998"/>
    <n v="22.315000000000001"/>
    <n v="20.943999999999999"/>
    <n v="18.224"/>
    <n v="17.155000000000001"/>
    <n v="14.3"/>
    <n v="16.189"/>
    <n v="20.512"/>
    <n v="24.344999999999999"/>
    <n v="24.074999999999999"/>
    <n v="13.968"/>
    <n v="13.287000000000001"/>
    <n v="11.525"/>
    <n v="11.489000000000001"/>
    <n v="8.7059999999999995"/>
    <n v="13.07"/>
    <n v="13.548999999999999"/>
    <n v="12.177"/>
    <n v="9.2479999999999993"/>
    <n v="7.7510000000000003"/>
    <n v="115.922"/>
  </r>
  <r>
    <x v="4"/>
    <s v="PEST CONTROL"/>
    <s v="SC JOHNSON"/>
    <x v="1"/>
    <x v="2"/>
    <x v="3"/>
    <x v="0"/>
    <x v="4"/>
    <n v="11.3025664"/>
    <n v="11.043507"/>
    <n v="13.531849599999999"/>
    <n v="12.3545088"/>
    <n v="12.9666035"/>
    <n v="11.2273742"/>
    <n v="11.1148329"/>
    <n v="9.9799694999999993"/>
    <n v="7.8723387999999996"/>
    <n v="5.8539881999999999"/>
    <n v="6.5385103000000004"/>
    <n v="6.2982250000000004"/>
    <n v="6.9273579999999999"/>
    <n v="7.6990151999999998"/>
    <n v="8.3776455999999992"/>
    <n v="11.258027"/>
    <n v="10.952029100000001"/>
    <n v="10.672188"/>
    <n v="12.155628099999999"/>
    <n v="12.0765253"/>
    <n v="11.125334000000001"/>
    <n v="11.1841337"/>
    <n v="10.9758028"/>
    <n v="11.2308196"/>
    <n v="12.028986099999999"/>
    <n v="12.2913415"/>
    <n v="12.744394399999999"/>
    <n v="11.699722299999999"/>
    <n v="11.149074799999999"/>
    <n v="10.174669700000001"/>
    <n v="9.8084091000000004"/>
    <n v="8.1216288999999993"/>
    <n v="7.2020045000000001"/>
    <n v="7.1371333000000003"/>
    <n v="7.0065653000000001"/>
    <n v="6.1484996000000001"/>
    <n v="5.9983734999999996"/>
    <n v="7.7510000000000003"/>
  </r>
  <r>
    <x v="4"/>
    <s v="PEST CONTROL"/>
    <s v="SC JOHNSON"/>
    <x v="1"/>
    <x v="2"/>
    <x v="3"/>
    <x v="0"/>
    <x v="5"/>
    <n v="0.55500000000000005"/>
    <n v="0.48899999999999999"/>
    <n v="0.47499999999999998"/>
    <n v="0.438"/>
    <n v="0.38800000000000001"/>
    <n v="0.28000000000000003"/>
    <n v="0.24099999999999999"/>
    <n v="0.25600000000000001"/>
    <n v="0.249"/>
    <n v="0.26"/>
    <n v="0.28100000000000003"/>
    <n v="0.252"/>
    <n v="0.26200000000000001"/>
    <n v="0.255"/>
    <n v="0.20300000000000001"/>
    <n v="0.43"/>
    <n v="0.435"/>
    <n v="0.38900000000000001"/>
    <n v="0.47399999999999998"/>
    <n v="0.39500000000000002"/>
    <n v="0.435"/>
    <n v="0.38600000000000001"/>
    <n v="0.55900000000000005"/>
    <n v="0.499"/>
    <n v="0.48"/>
    <n v="0.42899999999999999"/>
    <n v="0.42"/>
    <n v="0.249"/>
    <n v="0.495"/>
    <n v="0.36599999999999999"/>
    <n v="0.31900000000000001"/>
    <n v="0.314"/>
    <n v="0.30399999999999999"/>
    <n v="0.26700000000000002"/>
    <n v="0.23200000000000001"/>
    <n v="0.16800000000000001"/>
    <n v="0.23200000000000001"/>
    <n v="5.9983734999999996"/>
  </r>
  <r>
    <x v="4"/>
    <s v="PEST CONTROL"/>
    <s v="SC JOHNSON"/>
    <x v="1"/>
    <x v="3"/>
    <x v="2"/>
    <x v="0"/>
    <x v="0"/>
    <n v="46.665999999999997"/>
    <n v="26.571000000000002"/>
    <n v="158.26900000000001"/>
    <n v="176.74600000000001"/>
    <n v="171.929"/>
    <n v="269.32499999999999"/>
    <n v="63.655000000000001"/>
    <n v="63.097999999999999"/>
    <n v="52.793999999999997"/>
    <n v="34.54"/>
    <n v="4.2759999999999998"/>
    <n v="11.071"/>
    <n v="10.587999999999999"/>
    <n v="4.2759999999999998"/>
    <n v="6.2060000000000004"/>
    <n v="13.285"/>
    <n v="21.881"/>
    <n v="18.666"/>
    <n v="13.285"/>
    <n v="7.5"/>
    <n v="6.4130000000000003"/>
    <n v="5.6420000000000003"/>
    <n v="6.2069999999999999"/>
    <n v="7.0629999999999997"/>
    <n v="6.835"/>
    <n v="14"/>
    <n v="91.646000000000001"/>
    <n v="90.531999999999996"/>
    <n v="27.459"/>
    <n v="33.590000000000003"/>
    <n v="4"/>
    <n v="48.536000000000001"/>
    <n v="0"/>
    <n v="3.7909999999999999"/>
    <n v="3.38"/>
    <n v="2.4180000000000001"/>
    <n v="0"/>
    <n v="0"/>
  </r>
  <r>
    <x v="4"/>
    <s v="PEST CONTROL"/>
    <s v="SC JOHNSON"/>
    <x v="1"/>
    <x v="3"/>
    <x v="2"/>
    <x v="0"/>
    <x v="1"/>
    <n v="6066.6059999999998"/>
    <n v="3454.23"/>
    <n v="17602.420999999998"/>
    <n v="19774.227999999999"/>
    <n v="19349.819"/>
    <n v="32328.100999999999"/>
    <n v="8561.5650000000005"/>
    <n v="9087.7340000000004"/>
    <n v="7078.2280000000001"/>
    <n v="4213.8760000000002"/>
    <n v="598.58399999999995"/>
    <n v="1549.94"/>
    <n v="1482.2639999999999"/>
    <n v="598.58399999999995"/>
    <n v="868.89599999999996"/>
    <n v="1859.9280000000001"/>
    <n v="3063.3119999999999"/>
    <n v="2613.2399999999998"/>
    <n v="1859.9280000000001"/>
    <n v="1050"/>
    <n v="897.87599999999998"/>
    <n v="789.86199999999997"/>
    <n v="868.92700000000002"/>
    <n v="988.83900000000006"/>
    <n v="956.899"/>
    <n v="1960"/>
    <n v="15981.806"/>
    <n v="15832.831"/>
    <n v="4784.0290000000005"/>
    <n v="5914.5050000000001"/>
    <n v="720"/>
    <n v="8548.2610000000004"/>
    <n v="0"/>
    <n v="602.81600000000003"/>
    <n v="537.41"/>
    <n v="384.48200000000003"/>
    <n v="0"/>
    <n v="0"/>
  </r>
  <r>
    <x v="4"/>
    <s v="PEST CONTROL"/>
    <s v="SC JOHNSON"/>
    <x v="1"/>
    <x v="3"/>
    <x v="2"/>
    <x v="0"/>
    <x v="2"/>
    <n v="0.53800000000000003"/>
    <n v="0.19"/>
    <n v="0.74099999999999999"/>
    <n v="0.67"/>
    <n v="0.433"/>
    <n v="0.73599999999999999"/>
    <n v="0.218"/>
    <n v="0.33900000000000002"/>
    <n v="0.41899999999999998"/>
    <n v="0.38300000000000001"/>
    <n v="5.5E-2"/>
    <n v="0.155"/>
    <n v="0.12"/>
    <n v="3.9E-2"/>
    <n v="3.3000000000000002E-2"/>
    <n v="4.3999999999999997E-2"/>
    <n v="6.4000000000000001E-2"/>
    <n v="5.7000000000000002E-2"/>
    <n v="0.04"/>
    <n v="3.2000000000000001E-2"/>
    <n v="3.5000000000000003E-2"/>
    <n v="4.3999999999999997E-2"/>
    <n v="5.7000000000000002E-2"/>
    <n v="0.08"/>
    <n v="7.4999999999999997E-2"/>
    <n v="0.12"/>
    <n v="0.55300000000000005"/>
    <n v="0.27800000000000002"/>
    <n v="5.0999999999999997E-2"/>
    <n v="7.2999999999999995E-2"/>
    <n v="6.0000000000000001E-3"/>
    <n v="6.5000000000000002E-2"/>
    <n v="0"/>
    <n v="1.6E-2"/>
    <n v="2.4E-2"/>
    <n v="2.5999999999999999E-2"/>
    <n v="0"/>
    <n v="0"/>
  </r>
  <r>
    <x v="4"/>
    <s v="PEST CONTROL"/>
    <s v="SC JOHNSON"/>
    <x v="1"/>
    <x v="3"/>
    <x v="2"/>
    <x v="0"/>
    <x v="3"/>
    <n v="2.15"/>
    <n v="1.4670000000000001"/>
    <n v="5.0579999999999998"/>
    <n v="3.8239999999999998"/>
    <n v="2.8490000000000002"/>
    <n v="6.9470000000000001"/>
    <n v="5.8209999999999997"/>
    <n v="6.73"/>
    <n v="5.44"/>
    <n v="6.766"/>
    <n v="0.79700000000000004"/>
    <n v="1.5980000000000001"/>
    <n v="1.026"/>
    <n v="0.86599999999999999"/>
    <n v="1.034"/>
    <n v="0.998"/>
    <n v="1.0309999999999999"/>
    <n v="1.0720000000000001"/>
    <n v="1.1599999999999999"/>
    <n v="1.115"/>
    <n v="1.3120000000000001"/>
    <n v="1.357"/>
    <n v="1.325"/>
    <n v="1.7829999999999999"/>
    <n v="1.4139999999999999"/>
    <n v="1.7070000000000001"/>
    <n v="5.6929999999999996"/>
    <n v="2.5550000000000002"/>
    <n v="3.5019999999999998"/>
    <n v="5.1280000000000001"/>
    <n v="4.7539999999999996"/>
    <n v="2.9940000000000002"/>
    <n v="0.48599999999999999"/>
    <n v="0.55900000000000005"/>
    <n v="0.81799999999999995"/>
    <n v="0.98899999999999999"/>
    <n v="3.6999999999999998E-2"/>
    <n v="7.4180000000000001"/>
  </r>
  <r>
    <x v="4"/>
    <s v="PEST CONTROL"/>
    <s v="SC JOHNSON"/>
    <x v="1"/>
    <x v="3"/>
    <x v="2"/>
    <x v="0"/>
    <x v="4"/>
    <n v="0.17902309999999999"/>
    <n v="0.17863680000000001"/>
    <n v="2.1335624000000002"/>
    <n v="2.1277339"/>
    <n v="1.9766808"/>
    <n v="4.1125610999999997"/>
    <n v="3.3906060999999998"/>
    <n v="3.3905978000000001"/>
    <n v="3.3725624000000001"/>
    <n v="2.1884068000000001"/>
    <n v="0.12486410000000001"/>
    <n v="0.12480380000000001"/>
    <n v="0.12489599999999999"/>
    <n v="0.1247461"/>
    <n v="0.40529549999999998"/>
    <n v="0.47794229999999999"/>
    <n v="0.47532370000000002"/>
    <n v="0.47481190000000001"/>
    <n v="0.47416740000000002"/>
    <n v="0.4737825"/>
    <n v="0.4736281"/>
    <n v="0.47344389999999997"/>
    <n v="0.4729835"/>
    <n v="0.48533389999999998"/>
    <n v="0.48499799999999998"/>
    <n v="0.48429499999999998"/>
    <n v="1.8438174000000001"/>
    <n v="1.8422977"/>
    <n v="2.2542688000000002"/>
    <n v="2.2751581999999999"/>
    <n v="2.2754883000000001"/>
    <n v="2.2749438"/>
    <n v="0.76901629999999999"/>
    <n v="0.76923180000000002"/>
    <n v="0.76885020000000004"/>
    <n v="0.8596992"/>
    <n v="0.85855890000000001"/>
    <n v="3.6999999999999998E-2"/>
  </r>
  <r>
    <x v="4"/>
    <s v="PEST CONTROL"/>
    <s v="SC JOHNSON"/>
    <x v="1"/>
    <x v="3"/>
    <x v="2"/>
    <x v="0"/>
    <x v="5"/>
    <n v="0"/>
    <n v="1.0999999999999999E-2"/>
    <n v="0.316"/>
    <n v="0.317"/>
    <n v="0.31"/>
    <n v="0.192"/>
    <n v="0.193"/>
    <n v="0.183"/>
    <n v="0.13400000000000001"/>
    <n v="0.13300000000000001"/>
    <n v="7.0000000000000001E-3"/>
    <n v="1.4E-2"/>
    <n v="1.0999999999999999E-2"/>
    <n v="7.0000000000000001E-3"/>
    <n v="1.2999999999999999E-2"/>
    <n v="0.02"/>
    <n v="0.01"/>
    <n v="1.7000000000000001E-2"/>
    <n v="2.1999999999999999E-2"/>
    <n v="1.4999999999999999E-2"/>
    <n v="1.9E-2"/>
    <n v="1.9E-2"/>
    <n v="0.02"/>
    <n v="2.1999999999999999E-2"/>
    <n v="0.02"/>
    <n v="2.3E-2"/>
    <n v="0.13800000000000001"/>
    <n v="0.13500000000000001"/>
    <n v="9.2999999999999999E-2"/>
    <n v="0.106"/>
    <n v="0.11"/>
    <n v="1.7000000000000001E-2"/>
    <n v="1.7999999999999999E-2"/>
    <n v="1.2E-2"/>
    <n v="1.2999999999999999E-2"/>
    <n v="1.4999999999999999E-2"/>
    <n v="1.4999999999999999E-2"/>
    <n v="0.85855890000000001"/>
  </r>
  <r>
    <x v="4"/>
    <s v="PEST CONTROL"/>
    <s v="SC JOHNSON"/>
    <x v="1"/>
    <x v="4"/>
    <x v="2"/>
    <x v="0"/>
    <x v="0"/>
    <n v="39.970999999999997"/>
    <n v="0"/>
    <n v="17.981000000000002"/>
    <n v="35.015999999999998"/>
    <n v="82.388000000000005"/>
    <n v="61.79"/>
    <n v="46.213999999999999"/>
    <n v="54.436999999999998"/>
    <n v="78.325999999999993"/>
    <n v="65.349000000000004"/>
    <n v="46.128"/>
    <n v="0"/>
    <n v="23.809000000000001"/>
    <n v="69.192999999999998"/>
    <n v="75.498000000000005"/>
    <n v="44.881"/>
    <n v="0"/>
    <n v="45.436"/>
    <n v="0"/>
    <n v="0"/>
    <n v="22.792999999999999"/>
    <n v="60.152999999999999"/>
    <n v="77.816000000000003"/>
    <n v="69.251999999999995"/>
    <n v="0"/>
    <n v="58.122"/>
    <n v="0"/>
    <n v="0"/>
    <n v="61.421999999999997"/>
    <n v="42.366"/>
    <n v="58.792000000000002"/>
    <n v="53.103999999999999"/>
    <n v="88.227000000000004"/>
    <n v="53.875999999999998"/>
    <n v="55.52"/>
    <n v="47.887"/>
    <n v="71.486000000000004"/>
    <n v="71.486000000000004"/>
  </r>
  <r>
    <x v="4"/>
    <s v="PEST CONTROL"/>
    <s v="SC JOHNSON"/>
    <x v="1"/>
    <x v="4"/>
    <x v="2"/>
    <x v="0"/>
    <x v="1"/>
    <n v="6395.2820000000002"/>
    <n v="0"/>
    <n v="2877.009"/>
    <n v="5602.5249999999996"/>
    <n v="13182.156999999999"/>
    <n v="9886.4009999999998"/>
    <n v="6829.4449999999997"/>
    <n v="8410.1299999999992"/>
    <n v="12227.852000000001"/>
    <n v="9470.7690000000002"/>
    <n v="7380.5519999999997"/>
    <n v="0"/>
    <n v="3809.5140000000001"/>
    <n v="11070.828"/>
    <n v="12079.612999999999"/>
    <n v="7180.9870000000001"/>
    <n v="0"/>
    <n v="7269.7060000000001"/>
    <n v="0"/>
    <n v="0"/>
    <n v="3646.8440000000001"/>
    <n v="9624.4480000000003"/>
    <n v="12415.203"/>
    <n v="11035.861000000001"/>
    <n v="0"/>
    <n v="9299.5390000000007"/>
    <n v="0"/>
    <n v="0"/>
    <n v="8866.7909999999993"/>
    <n v="6034.7830000000004"/>
    <n v="8483.9629999999997"/>
    <n v="7798.1189999999997"/>
    <n v="12626.12"/>
    <n v="7730.2610000000004"/>
    <n v="8215.6489999999994"/>
    <n v="6952.1970000000001"/>
    <n v="10008.014999999999"/>
    <n v="10008.014999999999"/>
  </r>
  <r>
    <x v="4"/>
    <s v="PEST CONTROL"/>
    <s v="SC JOHNSON"/>
    <x v="1"/>
    <x v="4"/>
    <x v="2"/>
    <x v="0"/>
    <x v="2"/>
    <n v="0.46100000000000002"/>
    <n v="0"/>
    <n v="8.4000000000000005E-2"/>
    <n v="0.13300000000000001"/>
    <n v="0.20699999999999999"/>
    <n v="0.16900000000000001"/>
    <n v="0.158"/>
    <n v="0.27800000000000002"/>
    <n v="0.58499999999999996"/>
    <n v="0.72499999999999998"/>
    <n v="0.59299999999999997"/>
    <n v="0"/>
    <n v="0.27100000000000002"/>
    <n v="0.63900000000000001"/>
    <n v="0.40400000000000003"/>
    <n v="0.14899999999999999"/>
    <n v="0"/>
    <n v="0.13800000000000001"/>
    <n v="0"/>
    <n v="0"/>
    <n v="0.125"/>
    <n v="0.46500000000000002"/>
    <n v="0.71699999999999997"/>
    <n v="0.78200000000000003"/>
    <n v="0"/>
    <n v="0.496"/>
    <n v="0"/>
    <n v="0"/>
    <n v="0.114"/>
    <n v="9.1999999999999998E-2"/>
    <n v="8.8999999999999996E-2"/>
    <n v="7.0999999999999994E-2"/>
    <n v="0.19"/>
    <n v="0.23300000000000001"/>
    <n v="0.39900000000000002"/>
    <n v="0.52100000000000002"/>
    <n v="0.82699999999999996"/>
    <n v="0.14099999999999999"/>
  </r>
  <r>
    <x v="4"/>
    <s v="PEST CONTROL"/>
    <s v="SC JOHNSON"/>
    <x v="1"/>
    <x v="4"/>
    <x v="2"/>
    <x v="0"/>
    <x v="3"/>
    <n v="2.21"/>
    <n v="1.7050000000000001"/>
    <n v="1.032"/>
    <n v="0.83499999999999996"/>
    <n v="0.79200000000000004"/>
    <n v="0.47799999999999998"/>
    <n v="2.1259999999999999"/>
    <n v="2.5880000000000001"/>
    <n v="3.6819999999999999"/>
    <n v="7.9480000000000004"/>
    <n v="3.117"/>
    <n v="5.4480000000000004"/>
    <n v="2.774"/>
    <n v="2.31"/>
    <n v="2.0870000000000002"/>
    <n v="2.1629999999999998"/>
    <n v="1.837"/>
    <n v="1.254"/>
    <n v="1.87"/>
    <n v="2.9140000000000001"/>
    <n v="6.8579999999999997"/>
    <n v="8.1"/>
    <n v="8.9429999999999996"/>
    <n v="9.5220000000000002"/>
    <n v="6.9429999999999996"/>
    <n v="1.1259999999999999"/>
    <n v="0.23499999999999999"/>
    <n v="1.0189999999999999"/>
    <n v="3.2010000000000001"/>
    <n v="3.4089999999999998"/>
    <n v="2.6280000000000001"/>
    <n v="2.74"/>
    <n v="6.431"/>
    <n v="8.02"/>
    <n v="9.92"/>
    <n v="14.787000000000001"/>
    <n v="9.673"/>
    <n v="144.90100000000001"/>
  </r>
  <r>
    <x v="4"/>
    <s v="PEST CONTROL"/>
    <s v="SC JOHNSON"/>
    <x v="1"/>
    <x v="4"/>
    <x v="2"/>
    <x v="0"/>
    <x v="4"/>
    <n v="1.1726015999999999"/>
    <n v="1.1700712"/>
    <n v="1.1117527"/>
    <n v="1.0737935999999999"/>
    <n v="1.0705366999999999"/>
    <n v="1.0691866000000001"/>
    <n v="2.060648"/>
    <n v="2.0606429999999998"/>
    <n v="2.1156633"/>
    <n v="2.0633550000000001"/>
    <n v="1.1927646000000001"/>
    <n v="1.1921885000000001"/>
    <n v="1.1930693000000001"/>
    <n v="1.1916367999999999"/>
    <n v="1.1317098000000001"/>
    <n v="1.0642182"/>
    <n v="1.0583875"/>
    <n v="1.1128956999999999"/>
    <n v="1.1731533000000001"/>
    <n v="1.172201"/>
    <n v="1.1718189999999999"/>
    <n v="1.1713633000000001"/>
    <n v="1.8486718"/>
    <n v="1.9380999000000001"/>
    <n v="2.1191827999999999"/>
    <n v="2.1161107000000001"/>
    <n v="2.0180851"/>
    <n v="2.0164217999999998"/>
    <n v="2.4242374"/>
    <n v="2.3308456"/>
    <n v="2.3311837"/>
    <n v="2.4286878000000001"/>
    <n v="2.8487037000000002"/>
    <n v="2.8495021"/>
    <n v="2.8480886000000001"/>
    <n v="2.6776534000000001"/>
    <n v="2.674102"/>
    <n v="9.673"/>
  </r>
  <r>
    <x v="4"/>
    <s v="PEST CONTROL"/>
    <s v="SC JOHNSON"/>
    <x v="1"/>
    <x v="4"/>
    <x v="2"/>
    <x v="0"/>
    <x v="5"/>
    <n v="0.114"/>
    <n v="0.11"/>
    <n v="6.4000000000000001E-2"/>
    <n v="8.7999999999999995E-2"/>
    <n v="0.11700000000000001"/>
    <n v="8.8999999999999996E-2"/>
    <n v="0.32600000000000001"/>
    <n v="0.35099999999999998"/>
    <n v="0.41499999999999998"/>
    <n v="0.13"/>
    <n v="0.128"/>
    <n v="0.20899999999999999"/>
    <n v="0.128"/>
    <n v="0.123"/>
    <n v="0.14299999999999999"/>
    <n v="0.1"/>
    <n v="9.8000000000000004E-2"/>
    <n v="6.7000000000000004E-2"/>
    <n v="0.111"/>
    <n v="0.113"/>
    <n v="0.114"/>
    <n v="7.9000000000000001E-2"/>
    <n v="0.13600000000000001"/>
    <n v="0.16"/>
    <n v="0.17100000000000001"/>
    <n v="6.8000000000000005E-2"/>
    <n v="5.8000000000000003E-2"/>
    <n v="5.8000000000000003E-2"/>
    <n v="0.2"/>
    <n v="0.17"/>
    <n v="0.33500000000000002"/>
    <n v="0.255"/>
    <n v="0.35"/>
    <n v="0.33800000000000002"/>
    <n v="0.32100000000000001"/>
    <n v="0.23400000000000001"/>
    <n v="0.26200000000000001"/>
    <n v="2.674102"/>
  </r>
  <r>
    <x v="4"/>
    <s v="PEST CONTROL"/>
    <s v="SC JOHNSON"/>
    <x v="1"/>
    <x v="4"/>
    <x v="3"/>
    <x v="0"/>
    <x v="0"/>
    <n v="0"/>
    <n v="12.555999999999999"/>
    <n v="12.555999999999999"/>
    <n v="11.272"/>
    <n v="11.272"/>
    <n v="21.870999999999999"/>
    <n v="35.319000000000003"/>
    <n v="34.683"/>
    <n v="52.56"/>
    <n v="30.251000000000001"/>
    <n v="19.143000000000001"/>
    <n v="21.664000000000001"/>
    <n v="50.146000000000001"/>
    <n v="77.277000000000001"/>
    <n v="222.37200000000001"/>
    <n v="428.58100000000002"/>
    <n v="503.01299999999998"/>
    <n v="539.91200000000003"/>
    <n v="517.42600000000004"/>
    <n v="302.69499999999999"/>
    <n v="188.101"/>
    <n v="229.25800000000001"/>
    <n v="199.79"/>
    <n v="97.808999999999997"/>
    <n v="170.809"/>
    <n v="351.28100000000001"/>
    <n v="302.52"/>
    <n v="487.79700000000003"/>
    <n v="560.47699999999998"/>
    <n v="418.64299999999997"/>
    <n v="493.82799999999997"/>
    <n v="388.37200000000001"/>
    <n v="364.49099999999999"/>
    <n v="201.78299999999999"/>
    <n v="167.96799999999999"/>
    <n v="66.680999999999997"/>
    <n v="60.668999999999997"/>
    <n v="60.668999999999997"/>
  </r>
  <r>
    <x v="4"/>
    <s v="PEST CONTROL"/>
    <s v="SC JOHNSON"/>
    <x v="1"/>
    <x v="4"/>
    <x v="3"/>
    <x v="0"/>
    <x v="1"/>
    <n v="0"/>
    <n v="2448.4549999999999"/>
    <n v="2448.4549999999999"/>
    <n v="2198.0410000000002"/>
    <n v="2198.0410000000002"/>
    <n v="4264.8850000000002"/>
    <n v="7425.0659999999998"/>
    <n v="7334.165"/>
    <n v="11668.982"/>
    <n v="7307.6019999999999"/>
    <n v="5206.7870000000003"/>
    <n v="5955.5069999999996"/>
    <n v="11533.52"/>
    <n v="16238.25"/>
    <n v="52594.949000000001"/>
    <n v="105594.459"/>
    <n v="113921.841"/>
    <n v="130950.226"/>
    <n v="126432.9"/>
    <n v="73608.486999999994"/>
    <n v="38214.1"/>
    <n v="51975.321000000004"/>
    <n v="51070.218000000001"/>
    <n v="27152.761999999999"/>
    <n v="42067.652999999998"/>
    <n v="92975.377999999997"/>
    <n v="77881.119000000006"/>
    <n v="122908.955"/>
    <n v="145758.16899999999"/>
    <n v="111040.57399999999"/>
    <n v="140951.79500000001"/>
    <n v="109833.732"/>
    <n v="103102.944"/>
    <n v="57484.120999999999"/>
    <n v="48763.347999999998"/>
    <n v="19563.521000000001"/>
    <n v="16384.471000000001"/>
    <n v="16384.471000000001"/>
  </r>
  <r>
    <x v="4"/>
    <s v="PEST CONTROL"/>
    <s v="SC JOHNSON"/>
    <x v="1"/>
    <x v="4"/>
    <x v="3"/>
    <x v="0"/>
    <x v="2"/>
    <n v="0"/>
    <n v="0.108"/>
    <n v="7.0999999999999994E-2"/>
    <n v="5.0999999999999997E-2"/>
    <n v="3.4000000000000002E-2"/>
    <n v="7.1999999999999995E-2"/>
    <n v="0.14499999999999999"/>
    <n v="0.21299999999999999"/>
    <n v="0.47099999999999997"/>
    <n v="0.40200000000000002"/>
    <n v="0.29499999999999998"/>
    <n v="0.36499999999999999"/>
    <n v="0.68400000000000005"/>
    <n v="0.85599999999999998"/>
    <n v="1.4279999999999999"/>
    <n v="1.704"/>
    <n v="1.7569999999999999"/>
    <n v="1.9710000000000001"/>
    <n v="1.879"/>
    <n v="1.5349999999999999"/>
    <n v="1.2410000000000001"/>
    <n v="2.1280000000000001"/>
    <n v="2.2090000000000001"/>
    <n v="1.325"/>
    <n v="2.2589999999999999"/>
    <n v="3.6"/>
    <n v="2.1890000000000001"/>
    <n v="1.8009999999999999"/>
    <n v="1.252"/>
    <n v="1.0940000000000001"/>
    <n v="0.91500000000000004"/>
    <n v="0.63100000000000001"/>
    <n v="0.95899999999999996"/>
    <n v="1.0609999999999999"/>
    <n v="1.4490000000000001"/>
    <n v="0.873"/>
    <n v="0.84299999999999997"/>
    <n v="0.12"/>
  </r>
  <r>
    <x v="4"/>
    <s v="PEST CONTROL"/>
    <s v="SC JOHNSON"/>
    <x v="1"/>
    <x v="4"/>
    <x v="3"/>
    <x v="0"/>
    <x v="3"/>
    <n v="6.1289999999999996"/>
    <n v="1.6579999999999999"/>
    <n v="1.083"/>
    <n v="1.5880000000000001"/>
    <n v="1.2110000000000001"/>
    <n v="2.0129999999999999"/>
    <n v="2.6619999999999999"/>
    <n v="2.4380000000000002"/>
    <n v="3.774"/>
    <n v="1.879"/>
    <n v="2.1139999999999999"/>
    <n v="2.7909999999999999"/>
    <n v="8.5129999999999999"/>
    <n v="15.771000000000001"/>
    <n v="35.600999999999999"/>
    <n v="44.45"/>
    <n v="46.173999999999999"/>
    <n v="43.27"/>
    <n v="43.503"/>
    <n v="35.130000000000003"/>
    <n v="32.274000000000001"/>
    <n v="29.93"/>
    <n v="26.757999999999999"/>
    <n v="22.545999999999999"/>
    <n v="28.44"/>
    <n v="32.844000000000001"/>
    <n v="43.7"/>
    <n v="46.335999999999999"/>
    <n v="46.109000000000002"/>
    <n v="30.692"/>
    <n v="25.434999999999999"/>
    <n v="20.853999999999999"/>
    <n v="23.934000000000001"/>
    <n v="24.687000000000001"/>
    <n v="22.369"/>
    <n v="26.925999999999998"/>
    <n v="19.056999999999999"/>
    <n v="302.67399999999998"/>
  </r>
  <r>
    <x v="4"/>
    <s v="PEST CONTROL"/>
    <s v="SC JOHNSON"/>
    <x v="1"/>
    <x v="4"/>
    <x v="3"/>
    <x v="0"/>
    <x v="4"/>
    <n v="1.6261269"/>
    <n v="1.6226178"/>
    <n v="1.6188555"/>
    <n v="1.6008249999999999"/>
    <n v="1.5959695"/>
    <n v="1.5939568"/>
    <n v="1.5939607"/>
    <n v="1.5939568"/>
    <n v="2.2073383"/>
    <n v="1.9226717"/>
    <n v="1.7949219000000001"/>
    <n v="2.3556721999999999"/>
    <n v="2.9194445999999998"/>
    <n v="5.1717846999999999"/>
    <n v="12.5309895"/>
    <n v="15.1860757"/>
    <n v="17.7361662"/>
    <n v="17.760559300000001"/>
    <n v="21.5418658"/>
    <n v="19.735123999999999"/>
    <n v="18.452170800000001"/>
    <n v="16.714084700000001"/>
    <n v="16.798608000000002"/>
    <n v="13.838486100000001"/>
    <n v="15.5725111"/>
    <n v="17.048022"/>
    <n v="18.491809400000001"/>
    <n v="18.633473899999998"/>
    <n v="21.418928699999999"/>
    <n v="18.328350700000001"/>
    <n v="15.1082985"/>
    <n v="16.126345499999999"/>
    <n v="12.4012232"/>
    <n v="10.628776800000001"/>
    <n v="10.6235041"/>
    <n v="11.2172859"/>
    <n v="11.266491200000001"/>
    <n v="19.056999999999999"/>
  </r>
  <r>
    <x v="4"/>
    <s v="PEST CONTROL"/>
    <s v="SC JOHNSON"/>
    <x v="1"/>
    <x v="4"/>
    <x v="3"/>
    <x v="0"/>
    <x v="5"/>
    <n v="7.8E-2"/>
    <n v="7.5999999999999998E-2"/>
    <n v="6.7000000000000004E-2"/>
    <n v="6.5000000000000002E-2"/>
    <n v="6.5000000000000002E-2"/>
    <n v="0.13400000000000001"/>
    <n v="0.111"/>
    <n v="0.106"/>
    <n v="3.5999999999999997E-2"/>
    <n v="1.9E-2"/>
    <n v="1.9E-2"/>
    <n v="1.7999999999999999E-2"/>
    <n v="0"/>
    <n v="0.39900000000000002"/>
    <n v="0.90800000000000003"/>
    <n v="0.65600000000000003"/>
    <n v="0.68799999999999994"/>
    <n v="0.54400000000000004"/>
    <n v="0.64700000000000002"/>
    <n v="0.63200000000000001"/>
    <n v="0.56999999999999995"/>
    <n v="0.47699999999999998"/>
    <n v="0.66700000000000004"/>
    <n v="0.66200000000000003"/>
    <n v="0.876"/>
    <n v="0.52400000000000002"/>
    <n v="0.62"/>
    <n v="0.55300000000000005"/>
    <n v="0.68700000000000006"/>
    <n v="0.58799999999999997"/>
    <n v="0.60599999999999998"/>
    <n v="0.72599999999999998"/>
    <n v="0.52100000000000002"/>
    <n v="0.497"/>
    <n v="0.40400000000000003"/>
    <n v="0.60799999999999998"/>
    <n v="0.53500000000000003"/>
    <n v="11.266491200000001"/>
  </r>
  <r>
    <x v="4"/>
    <s v="PEST CONTROL"/>
    <s v="SC JOHNSON"/>
    <x v="2"/>
    <x v="0"/>
    <x v="2"/>
    <x v="0"/>
    <x v="0"/>
    <n v="309.18700000000001"/>
    <n v="401.25299999999999"/>
    <n v="519.48299999999995"/>
    <n v="639.79200000000003"/>
    <n v="384.99599999999998"/>
    <n v="579.44600000000003"/>
    <n v="620.53099999999995"/>
    <n v="390.72500000000002"/>
    <n v="508.34399999999999"/>
    <n v="532.99900000000002"/>
    <n v="443.99099999999999"/>
    <n v="329.83800000000002"/>
    <n v="357.31200000000001"/>
    <n v="386.53699999999998"/>
    <n v="323.298"/>
    <n v="342.911"/>
    <n v="877.36500000000001"/>
    <n v="682.43200000000002"/>
    <n v="642.16899999999998"/>
    <n v="532.27599999999995"/>
    <n v="493.19299999999998"/>
    <n v="382.24799999999999"/>
    <n v="401.983"/>
    <n v="327.971"/>
    <n v="221.845"/>
    <n v="153.459"/>
    <n v="171.57"/>
    <n v="231.91800000000001"/>
    <n v="254.02500000000001"/>
    <n v="350.81900000000002"/>
    <n v="380.01100000000002"/>
    <n v="583.58500000000004"/>
    <n v="319.59399999999999"/>
    <n v="207.74199999999999"/>
    <n v="156.995"/>
    <n v="84.483000000000004"/>
    <n v="40.162999999999997"/>
    <n v="40.162999999999997"/>
  </r>
  <r>
    <x v="4"/>
    <s v="PEST CONTROL"/>
    <s v="SC JOHNSON"/>
    <x v="2"/>
    <x v="0"/>
    <x v="2"/>
    <x v="0"/>
    <x v="1"/>
    <n v="28140.522000000001"/>
    <n v="52587.851000000002"/>
    <n v="59089.440999999999"/>
    <n v="84112.187000000005"/>
    <n v="50920.525999999998"/>
    <n v="66037.05"/>
    <n v="71533.149999999994"/>
    <n v="46692.733999999997"/>
    <n v="56134.235000000001"/>
    <n v="56691.368999999999"/>
    <n v="47971.055999999997"/>
    <n v="36037.21"/>
    <n v="37552.480000000003"/>
    <n v="41346.06"/>
    <n v="34674.519999999997"/>
    <n v="37602.548999999999"/>
    <n v="87044.585000000006"/>
    <n v="65114.817999999999"/>
    <n v="64932.582999999999"/>
    <n v="66960.851999999999"/>
    <n v="61673.303999999996"/>
    <n v="44659.010999999999"/>
    <n v="46915.328999999998"/>
    <n v="38064.373"/>
    <n v="25255.59"/>
    <n v="16754.228999999999"/>
    <n v="19438.868999999999"/>
    <n v="23327.221000000001"/>
    <n v="29856.69"/>
    <n v="40929.955999999998"/>
    <n v="45566.784"/>
    <n v="82668.498999999996"/>
    <n v="45498.607000000004"/>
    <n v="29972.848000000002"/>
    <n v="24336.096000000001"/>
    <n v="11252.268"/>
    <n v="4380.2139999999999"/>
    <n v="4380.2139999999999"/>
  </r>
  <r>
    <x v="4"/>
    <s v="PEST CONTROL"/>
    <s v="SC JOHNSON"/>
    <x v="2"/>
    <x v="0"/>
    <x v="2"/>
    <x v="0"/>
    <x v="2"/>
    <n v="3.9159999999999999"/>
    <n v="3.1440000000000001"/>
    <n v="2.6589999999999998"/>
    <n v="2.657"/>
    <n v="1.0780000000000001"/>
    <n v="1.621"/>
    <n v="2.1549999999999998"/>
    <n v="2.0099999999999998"/>
    <n v="3.8319999999999999"/>
    <n v="6.0010000000000003"/>
    <n v="5.9080000000000004"/>
    <n v="4.7309999999999999"/>
    <n v="4.0640000000000001"/>
    <n v="3.5670000000000002"/>
    <n v="1.742"/>
    <n v="1.1359999999999999"/>
    <n v="2.5539999999999998"/>
    <n v="2.0859999999999999"/>
    <n v="1.944"/>
    <n v="2.2650000000000001"/>
    <n v="2.73"/>
    <n v="2.9870000000000001"/>
    <n v="3.7040000000000002"/>
    <n v="3.7029999999999998"/>
    <n v="2.444"/>
    <n v="1.339"/>
    <n v="1.0740000000000001"/>
    <n v="0.71199999999999997"/>
    <n v="0.498"/>
    <n v="0.77900000000000003"/>
    <n v="0.57799999999999996"/>
    <n v="0.78500000000000003"/>
    <n v="0.69499999999999995"/>
    <n v="0.91100000000000003"/>
    <n v="1.127"/>
    <n v="0.92"/>
    <n v="0.46500000000000002"/>
    <n v="7.9000000000000001E-2"/>
  </r>
  <r>
    <x v="4"/>
    <s v="PEST CONTROL"/>
    <s v="SC JOHNSON"/>
    <x v="2"/>
    <x v="0"/>
    <x v="2"/>
    <x v="0"/>
    <x v="3"/>
    <n v="24.690999999999999"/>
    <n v="15.44"/>
    <n v="19.140999999999998"/>
    <n v="17.774000000000001"/>
    <n v="13.151999999999999"/>
    <n v="15.249000000000001"/>
    <n v="18.146999999999998"/>
    <n v="24.006"/>
    <n v="28.867000000000001"/>
    <n v="37.164999999999999"/>
    <n v="32.460999999999999"/>
    <n v="30.19"/>
    <n v="19.669"/>
    <n v="15.422000000000001"/>
    <n v="10.128"/>
    <n v="11.632"/>
    <n v="14.428000000000001"/>
    <n v="18.535"/>
    <n v="15.601000000000001"/>
    <n v="19.591000000000001"/>
    <n v="24.856000000000002"/>
    <n v="25.297999999999998"/>
    <n v="30.684000000000001"/>
    <n v="26.300999999999998"/>
    <n v="24.093"/>
    <n v="17.405000000000001"/>
    <n v="13.993"/>
    <n v="8.6150000000000002"/>
    <n v="9.6379999999999999"/>
    <n v="12.491"/>
    <n v="11.122999999999999"/>
    <n v="11.849"/>
    <n v="17.035"/>
    <n v="17.866"/>
    <n v="17.731000000000002"/>
    <n v="13.347"/>
    <n v="7.8120000000000003"/>
    <n v="558.69600000000003"/>
  </r>
  <r>
    <x v="4"/>
    <s v="PEST CONTROL"/>
    <s v="SC JOHNSON"/>
    <x v="2"/>
    <x v="0"/>
    <x v="2"/>
    <x v="0"/>
    <x v="4"/>
    <n v="12.122731099999999"/>
    <n v="14.1608982"/>
    <n v="16.9146337"/>
    <n v="16.803178500000001"/>
    <n v="16.6219082"/>
    <n v="16.380873000000001"/>
    <n v="16.299582900000001"/>
    <n v="17.232183200000001"/>
    <n v="18.1244075"/>
    <n v="16.230850700000001"/>
    <n v="13.610564999999999"/>
    <n v="13.916000800000001"/>
    <n v="12.958337200000001"/>
    <n v="11.6887686"/>
    <n v="13.129642199999999"/>
    <n v="12.0989506"/>
    <n v="13.572710600000001"/>
    <n v="15.3233184"/>
    <n v="14.653921"/>
    <n v="13.5379231"/>
    <n v="13.3314304"/>
    <n v="11.5662976"/>
    <n v="11.7835325"/>
    <n v="10.116687199999999"/>
    <n v="9.5705632999999999"/>
    <n v="10.750379499999999"/>
    <n v="12.2800031"/>
    <n v="10.3411027"/>
    <n v="13.2447534"/>
    <n v="14.733944299999999"/>
    <n v="13.749878799999999"/>
    <n v="14.6913789"/>
    <n v="11.531900500000001"/>
    <n v="11.147172100000001"/>
    <n v="11.141642300000001"/>
    <n v="11.4384693"/>
    <n v="10.040469"/>
    <n v="7.8120000000000003"/>
  </r>
  <r>
    <x v="4"/>
    <s v="PEST CONTROL"/>
    <s v="SC JOHNSON"/>
    <x v="2"/>
    <x v="0"/>
    <x v="2"/>
    <x v="0"/>
    <x v="5"/>
    <n v="1.8879999999999999"/>
    <n v="2.1349999999999998"/>
    <n v="2.0470000000000002"/>
    <n v="1.851"/>
    <n v="1.212"/>
    <n v="1.1879999999999999"/>
    <n v="1.569"/>
    <n v="1.58"/>
    <n v="1.4830000000000001"/>
    <n v="1.032"/>
    <n v="0.91900000000000004"/>
    <n v="0.83099999999999996"/>
    <n v="0.73099999999999998"/>
    <n v="1.125"/>
    <n v="1.2609999999999999"/>
    <n v="1.351"/>
    <n v="1.738"/>
    <n v="1.577"/>
    <n v="1.464"/>
    <n v="1.6659999999999999"/>
    <n v="1.498"/>
    <n v="0.86599999999999999"/>
    <n v="0.90700000000000003"/>
    <n v="0.79900000000000004"/>
    <n v="1.1299999999999999"/>
    <n v="1.365"/>
    <n v="1.407"/>
    <n v="1.052"/>
    <n v="1.38"/>
    <n v="1.4039999999999999"/>
    <n v="1.17"/>
    <n v="1.323"/>
    <n v="0.876"/>
    <n v="0.82099999999999995"/>
    <n v="1.071"/>
    <n v="0.72"/>
    <n v="1.1200000000000001"/>
    <n v="10.040469"/>
  </r>
  <r>
    <x v="4"/>
    <s v="PEST CONTROL"/>
    <s v="SC JOHNSON"/>
    <x v="2"/>
    <x v="0"/>
    <x v="0"/>
    <x v="0"/>
    <x v="0"/>
    <n v="607.07399999999996"/>
    <n v="802.05700000000002"/>
    <n v="1351.5840000000001"/>
    <n v="1333.9639999999999"/>
    <n v="1630.9290000000001"/>
    <n v="1963.18"/>
    <n v="1850.048"/>
    <n v="1328.1859999999999"/>
    <n v="1095.846"/>
    <n v="748.63800000000003"/>
    <n v="548.56500000000005"/>
    <n v="559.28200000000004"/>
    <n v="551.505"/>
    <n v="706.10299999999995"/>
    <n v="995.745"/>
    <n v="1478.3230000000001"/>
    <n v="1775.0740000000001"/>
    <n v="1567.8309999999999"/>
    <n v="1849.4639999999999"/>
    <n v="1542.001"/>
    <n v="1227.241"/>
    <n v="709.67899999999997"/>
    <n v="610.11300000000006"/>
    <n v="614.83100000000002"/>
    <n v="563.10900000000004"/>
    <n v="836.827"/>
    <n v="929.11"/>
    <n v="1456.297"/>
    <n v="1940.2329999999999"/>
    <n v="1619.424"/>
    <n v="1987.442"/>
    <n v="2277.8249999999998"/>
    <n v="1920.953"/>
    <n v="1245.5550000000001"/>
    <n v="569.99599999999998"/>
    <n v="379.66899999999998"/>
    <n v="299.673"/>
    <n v="333.93099999999998"/>
  </r>
  <r>
    <x v="4"/>
    <s v="PEST CONTROL"/>
    <s v="SC JOHNSON"/>
    <x v="2"/>
    <x v="0"/>
    <x v="0"/>
    <x v="0"/>
    <x v="1"/>
    <n v="88290.39"/>
    <n v="110728.048"/>
    <n v="182380.079"/>
    <n v="174208.97099999999"/>
    <n v="216613.641"/>
    <n v="267947.57199999999"/>
    <n v="261674.571"/>
    <n v="194821.66899999999"/>
    <n v="166251.43700000001"/>
    <n v="115490.5"/>
    <n v="81449.399999999994"/>
    <n v="83034.627999999997"/>
    <n v="82478.517999999996"/>
    <n v="104503.55499999999"/>
    <n v="144757.55499999999"/>
    <n v="227269.07699999999"/>
    <n v="288135.49200000003"/>
    <n v="250300.42499999999"/>
    <n v="306421.50199999998"/>
    <n v="249203.83199999999"/>
    <n v="204037.50200000001"/>
    <n v="115385.893"/>
    <n v="110271.458"/>
    <n v="108616.53599999999"/>
    <n v="109549.586"/>
    <n v="132106.807"/>
    <n v="146080.79399999999"/>
    <n v="230474.37299999999"/>
    <n v="313885.565"/>
    <n v="287269.39799999999"/>
    <n v="350036.98"/>
    <n v="395002.092"/>
    <n v="343991.26899999997"/>
    <n v="224991.79800000001"/>
    <n v="110168.823"/>
    <n v="65202.286999999997"/>
    <n v="51718.631999999998"/>
    <n v="51718.631999999998"/>
  </r>
  <r>
    <x v="4"/>
    <s v="PEST CONTROL"/>
    <s v="SC JOHNSON"/>
    <x v="2"/>
    <x v="0"/>
    <x v="0"/>
    <x v="0"/>
    <x v="2"/>
    <n v="7.96"/>
    <n v="6.875"/>
    <n v="7.51"/>
    <n v="6.07"/>
    <n v="4.9249999999999998"/>
    <n v="6.4409999999999998"/>
    <n v="7.5970000000000004"/>
    <n v="8.1389999999999993"/>
    <n v="9.8209999999999997"/>
    <n v="9.9600000000000009"/>
    <n v="8.4600000000000009"/>
    <n v="9.4130000000000003"/>
    <n v="7.5259999999999998"/>
    <n v="7.819"/>
    <n v="6.3929999999999998"/>
    <n v="5.8789999999999996"/>
    <n v="6.2"/>
    <n v="5.7240000000000002"/>
    <n v="6.718"/>
    <n v="7.82"/>
    <n v="8.0960000000000001"/>
    <n v="6.5890000000000004"/>
    <n v="6.7469999999999999"/>
    <n v="8.33"/>
    <n v="7.4459999999999997"/>
    <n v="8.5760000000000005"/>
    <n v="6.7229999999999999"/>
    <n v="5.3650000000000002"/>
    <n v="4.3259999999999996"/>
    <n v="4.2160000000000002"/>
    <n v="3.629"/>
    <n v="3.66"/>
    <n v="4.9649999999999999"/>
    <n v="6.476"/>
    <n v="4.9119999999999999"/>
    <n v="4.9589999999999996"/>
    <n v="4.1619999999999999"/>
    <n v="0.65900000000000003"/>
  </r>
  <r>
    <x v="4"/>
    <s v="PEST CONTROL"/>
    <s v="SC JOHNSON"/>
    <x v="2"/>
    <x v="0"/>
    <x v="0"/>
    <x v="0"/>
    <x v="3"/>
    <n v="52.811"/>
    <n v="54.665999999999997"/>
    <n v="62.671999999999997"/>
    <n v="61.19"/>
    <n v="59.353000000000002"/>
    <n v="59.817999999999998"/>
    <n v="56.220999999999997"/>
    <n v="55.81"/>
    <n v="59.042999999999999"/>
    <n v="55.01"/>
    <n v="46.598999999999997"/>
    <n v="46.145000000000003"/>
    <n v="44.856999999999999"/>
    <n v="48.082000000000001"/>
    <n v="62.28"/>
    <n v="63.594999999999999"/>
    <n v="66.427999999999997"/>
    <n v="63.290999999999997"/>
    <n v="55.118000000000002"/>
    <n v="60.453000000000003"/>
    <n v="56.378999999999998"/>
    <n v="52.296999999999997"/>
    <n v="50.591000000000001"/>
    <n v="46.402999999999999"/>
    <n v="46.892000000000003"/>
    <n v="51.246000000000002"/>
    <n v="58.616"/>
    <n v="60.908000000000001"/>
    <n v="65.762"/>
    <n v="60.838000000000001"/>
    <n v="61.563000000000002"/>
    <n v="59.718000000000004"/>
    <n v="59.488"/>
    <n v="54.89"/>
    <n v="47.274999999999999"/>
    <n v="41.043999999999997"/>
    <n v="30.652000000000001"/>
    <n v="1225.3230000000001"/>
  </r>
  <r>
    <x v="4"/>
    <s v="PEST CONTROL"/>
    <s v="SC JOHNSON"/>
    <x v="2"/>
    <x v="0"/>
    <x v="0"/>
    <x v="0"/>
    <x v="4"/>
    <n v="28.803510800000002"/>
    <n v="31.912158300000002"/>
    <n v="35.526184499999999"/>
    <n v="32.834835900000002"/>
    <n v="32.538718699999997"/>
    <n v="37.200175999999999"/>
    <n v="35.326257099999999"/>
    <n v="36.659237400000002"/>
    <n v="34.920529600000002"/>
    <n v="29.954412399999999"/>
    <n v="27.863868100000001"/>
    <n v="28.2934637"/>
    <n v="30.042114900000001"/>
    <n v="31.016861299999999"/>
    <n v="38.941355600000001"/>
    <n v="40.367391099999999"/>
    <n v="41.613071300000001"/>
    <n v="37.657139000000001"/>
    <n v="39.407290799999998"/>
    <n v="42.833408599999999"/>
    <n v="39.3704915"/>
    <n v="35.009030199999998"/>
    <n v="31.782283799999998"/>
    <n v="26.701839400000001"/>
    <n v="28.2548219"/>
    <n v="31.085149999999999"/>
    <n v="33.936450399999998"/>
    <n v="34.653151200000003"/>
    <n v="39.9991129"/>
    <n v="42.210125099999999"/>
    <n v="42.004165499999999"/>
    <n v="43.297662500000001"/>
    <n v="42.111932699999997"/>
    <n v="35.103659"/>
    <n v="30.196825700000002"/>
    <n v="27.186988700000001"/>
    <n v="28.900055500000001"/>
    <n v="30.652000000000001"/>
  </r>
  <r>
    <x v="4"/>
    <s v="PEST CONTROL"/>
    <s v="SC JOHNSON"/>
    <x v="2"/>
    <x v="0"/>
    <x v="0"/>
    <x v="0"/>
    <x v="5"/>
    <n v="1.603"/>
    <n v="1.9259999999999999"/>
    <n v="2.25"/>
    <n v="2.0430000000000001"/>
    <n v="2.573"/>
    <n v="2.9249999999999998"/>
    <n v="2.375"/>
    <n v="3.3450000000000002"/>
    <n v="2.7730000000000001"/>
    <n v="2.4780000000000002"/>
    <n v="2.0539999999999998"/>
    <n v="2.3460000000000001"/>
    <n v="2.29"/>
    <n v="1.9530000000000001"/>
    <n v="2.5230000000000001"/>
    <n v="2.484"/>
    <n v="2.4329999999999998"/>
    <n v="2.617"/>
    <n v="2.7090000000000001"/>
    <n v="3.2389999999999999"/>
    <n v="3.181"/>
    <n v="2.9940000000000002"/>
    <n v="2.8250000000000002"/>
    <n v="2.4809999999999999"/>
    <n v="2.4700000000000002"/>
    <n v="2.552"/>
    <n v="2.4529999999999998"/>
    <n v="2.2360000000000002"/>
    <n v="2.6120000000000001"/>
    <n v="2.9740000000000002"/>
    <n v="2.4900000000000002"/>
    <n v="2.3090000000000002"/>
    <n v="2.3130000000000002"/>
    <n v="2.2839999999999998"/>
    <n v="2.3559999999999999"/>
    <n v="2.1749999999999998"/>
    <n v="1.9870000000000001"/>
    <n v="28.900055500000001"/>
  </r>
  <r>
    <x v="4"/>
    <s v="PEST CONTROL"/>
    <s v="SC JOHNSON"/>
    <x v="2"/>
    <x v="0"/>
    <x v="3"/>
    <x v="0"/>
    <x v="0"/>
    <n v="1699.9760000000001"/>
    <n v="2124.9549999999999"/>
    <n v="2847.6529999999998"/>
    <n v="3445.1869999999999"/>
    <n v="4879.3530000000001"/>
    <n v="4185.1949999999997"/>
    <n v="3961.2910000000002"/>
    <n v="3217.4450000000002"/>
    <n v="2425.7280000000001"/>
    <n v="1711.316"/>
    <n v="1488.1130000000001"/>
    <n v="1291.1199999999999"/>
    <n v="1569.479"/>
    <n v="1994.181"/>
    <n v="3121.1640000000002"/>
    <n v="4417.8900000000003"/>
    <n v="4704.8810000000003"/>
    <n v="5328.1760000000004"/>
    <n v="5571.3230000000003"/>
    <n v="4285.1329999999998"/>
    <n v="3379.7579999999998"/>
    <n v="2837.9549999999999"/>
    <n v="2074.2730000000001"/>
    <n v="1885.454"/>
    <n v="1663.93"/>
    <n v="1944.79"/>
    <n v="2524.0889999999999"/>
    <n v="3739.748"/>
    <n v="5697.9650000000001"/>
    <n v="5489.89"/>
    <n v="6964.6989999999996"/>
    <n v="6923.1450000000004"/>
    <n v="5981.393"/>
    <n v="2907.1320000000001"/>
    <n v="1911.8910000000001"/>
    <n v="1175.7080000000001"/>
    <n v="717.64499999999998"/>
    <n v="812.92100000000005"/>
  </r>
  <r>
    <x v="4"/>
    <s v="PEST CONTROL"/>
    <s v="SC JOHNSON"/>
    <x v="2"/>
    <x v="0"/>
    <x v="3"/>
    <x v="0"/>
    <x v="1"/>
    <n v="350847.53899999999"/>
    <n v="443980.90600000002"/>
    <n v="608546.68500000006"/>
    <n v="752038.08400000003"/>
    <n v="1085975.159"/>
    <n v="932446.39800000004"/>
    <n v="865651.76399999997"/>
    <n v="725891.59400000004"/>
    <n v="563930.21100000001"/>
    <n v="393030.47899999999"/>
    <n v="326870.136"/>
    <n v="296886.98800000001"/>
    <n v="356029.739"/>
    <n v="437551.86499999999"/>
    <n v="726920.48699999996"/>
    <n v="1013189.273"/>
    <n v="1113188.8729999999"/>
    <n v="1250379.0789999999"/>
    <n v="1282125.929"/>
    <n v="1023518.736"/>
    <n v="821445.38600000006"/>
    <n v="662609.12399999995"/>
    <n v="478540.033"/>
    <n v="446293.74300000002"/>
    <n v="408917.18"/>
    <n v="472909.17099999997"/>
    <n v="638246.39800000004"/>
    <n v="939250.772"/>
    <n v="1465654.3160000001"/>
    <n v="1415180.3289999999"/>
    <n v="1775753.9890000001"/>
    <n v="1789433.8359999999"/>
    <n v="1512423.889"/>
    <n v="731803.34600000002"/>
    <n v="480585.20799999998"/>
    <n v="295393.33899999998"/>
    <n v="196705.78"/>
    <n v="196705.78"/>
  </r>
  <r>
    <x v="4"/>
    <s v="PEST CONTROL"/>
    <s v="SC JOHNSON"/>
    <x v="2"/>
    <x v="0"/>
    <x v="3"/>
    <x v="0"/>
    <x v="2"/>
    <n v="24.957000000000001"/>
    <n v="19.356999999999999"/>
    <n v="16.853999999999999"/>
    <n v="16.34"/>
    <n v="15.577"/>
    <n v="14.343999999999999"/>
    <n v="17.016999999999999"/>
    <n v="21.010999999999999"/>
    <n v="22.89"/>
    <n v="23.84"/>
    <n v="24.497"/>
    <n v="23.146999999999998"/>
    <n v="22.87"/>
    <n v="23.07"/>
    <n v="21.762"/>
    <n v="19.224"/>
    <n v="17.724"/>
    <n v="21.314"/>
    <n v="22.204999999999998"/>
    <n v="23.739000000000001"/>
    <n v="24.532"/>
    <n v="29.023"/>
    <n v="24.881"/>
    <n v="27.85"/>
    <n v="24.326000000000001"/>
    <n v="22.216000000000001"/>
    <n v="20.111000000000001"/>
    <n v="15.151999999999999"/>
    <n v="13.869"/>
    <n v="15.449"/>
    <n v="13.792999999999999"/>
    <n v="11.972"/>
    <n v="16.704000000000001"/>
    <n v="16.218"/>
    <n v="17.771000000000001"/>
    <n v="16.456"/>
    <n v="10.771000000000001"/>
    <n v="1.6040000000000001"/>
  </r>
  <r>
    <x v="4"/>
    <s v="PEST CONTROL"/>
    <s v="SC JOHNSON"/>
    <x v="2"/>
    <x v="0"/>
    <x v="3"/>
    <x v="0"/>
    <x v="3"/>
    <n v="72.801000000000002"/>
    <n v="77.358999999999995"/>
    <n v="81.102999999999994"/>
    <n v="82.408000000000001"/>
    <n v="84.463999999999999"/>
    <n v="79.643000000000001"/>
    <n v="78.66"/>
    <n v="78.194000000000003"/>
    <n v="79.11"/>
    <n v="75.741"/>
    <n v="74.590999999999994"/>
    <n v="70.477000000000004"/>
    <n v="72.201999999999998"/>
    <n v="76.846999999999994"/>
    <n v="84.712000000000003"/>
    <n v="83.869"/>
    <n v="85.986999999999995"/>
    <n v="85.397000000000006"/>
    <n v="85.334999999999994"/>
    <n v="83.778000000000006"/>
    <n v="82.513000000000005"/>
    <n v="81.045000000000002"/>
    <n v="80.363"/>
    <n v="74.31"/>
    <n v="72.308000000000007"/>
    <n v="75.733999999999995"/>
    <n v="84.421000000000006"/>
    <n v="85.887"/>
    <n v="91.165000000000006"/>
    <n v="88.739000000000004"/>
    <n v="91.805000000000007"/>
    <n v="89.909000000000006"/>
    <n v="87.197000000000003"/>
    <n v="85.671000000000006"/>
    <n v="81.738"/>
    <n v="77.673000000000002"/>
    <n v="71.471999999999994"/>
    <n v="3057.12"/>
  </r>
  <r>
    <x v="4"/>
    <s v="PEST CONTROL"/>
    <s v="SC JOHNSON"/>
    <x v="2"/>
    <x v="0"/>
    <x v="3"/>
    <x v="0"/>
    <x v="4"/>
    <n v="46.706541100000003"/>
    <n v="48.264632599999999"/>
    <n v="50.595798199999997"/>
    <n v="51.092084399999997"/>
    <n v="53.329268800000001"/>
    <n v="54.500022299999998"/>
    <n v="53.187829899999997"/>
    <n v="51.955792600000002"/>
    <n v="53.3340514"/>
    <n v="45.4174449"/>
    <n v="44.919434500000001"/>
    <n v="45.336299500000003"/>
    <n v="48.0072215"/>
    <n v="47.528874000000002"/>
    <n v="57.5100014"/>
    <n v="58.1540465"/>
    <n v="62.7358239"/>
    <n v="61.238955099999998"/>
    <n v="62.785195899999998"/>
    <n v="63.344714600000003"/>
    <n v="60.393768100000003"/>
    <n v="57.444084699999998"/>
    <n v="53.200931599999997"/>
    <n v="50.413504400000001"/>
    <n v="50.867887799999998"/>
    <n v="53.364719999999998"/>
    <n v="59.073540999999999"/>
    <n v="60.5859083"/>
    <n v="64.532952899999998"/>
    <n v="65.193949700000005"/>
    <n v="69.598398000000003"/>
    <n v="67.063281700000005"/>
    <n v="64.978464200000005"/>
    <n v="58.926433299999999"/>
    <n v="54.885809000000002"/>
    <n v="53.4762451"/>
    <n v="55.0584919"/>
    <n v="71.471999999999994"/>
  </r>
  <r>
    <x v="4"/>
    <s v="PEST CONTROL"/>
    <s v="SC JOHNSON"/>
    <x v="2"/>
    <x v="0"/>
    <x v="3"/>
    <x v="0"/>
    <x v="5"/>
    <n v="4.9000000000000004"/>
    <n v="4.2839999999999998"/>
    <n v="4.6929999999999996"/>
    <n v="5.42"/>
    <n v="5.5620000000000003"/>
    <n v="5.8090000000000002"/>
    <n v="6.0570000000000004"/>
    <n v="5.16"/>
    <n v="5.2850000000000001"/>
    <n v="5.4029999999999996"/>
    <n v="4.9359999999999999"/>
    <n v="4.8529999999999998"/>
    <n v="4.62"/>
    <n v="5.5759999999999996"/>
    <n v="6.4630000000000001"/>
    <n v="6.532"/>
    <n v="6.6879999999999997"/>
    <n v="7.7240000000000002"/>
    <n v="6.7450000000000001"/>
    <n v="7.0449999999999999"/>
    <n v="6.8070000000000004"/>
    <n v="7.21"/>
    <n v="6.9489999999999998"/>
    <n v="6.0750000000000002"/>
    <n v="6.4"/>
    <n v="6.8490000000000002"/>
    <n v="7.665"/>
    <n v="7.7050000000000001"/>
    <n v="7.8170000000000002"/>
    <n v="6.1520000000000001"/>
    <n v="5.9429999999999996"/>
    <n v="5.8159999999999998"/>
    <n v="6.2169999999999996"/>
    <n v="5.8840000000000003"/>
    <n v="5.2240000000000002"/>
    <n v="5.4359999999999999"/>
    <n v="5.609"/>
    <n v="55.0584919"/>
  </r>
  <r>
    <x v="4"/>
    <s v="PEST CONTROL"/>
    <s v="SC JOHNSON"/>
    <x v="2"/>
    <x v="0"/>
    <x v="3"/>
    <x v="6"/>
    <x v="0"/>
    <n v="0"/>
    <n v="0"/>
    <n v="0"/>
    <n v="36.024000000000001"/>
    <n v="0"/>
    <n v="30.638000000000002"/>
    <n v="44.694000000000003"/>
    <n v="82.975999999999999"/>
    <n v="86.278000000000006"/>
    <n v="15.02"/>
    <n v="16.561"/>
    <n v="12.228"/>
    <n v="0"/>
    <n v="0"/>
    <n v="0"/>
    <n v="0"/>
    <n v="0"/>
    <n v="6.2060000000000004"/>
    <n v="14.363"/>
    <n v="35.905000000000001"/>
    <n v="27.28"/>
    <n v="10.88"/>
    <n v="6.1840000000000002"/>
    <n v="5.742"/>
    <n v="4.8620000000000001"/>
    <n v="9.9339999999999993"/>
    <n v="0"/>
    <n v="0"/>
    <n v="0"/>
    <n v="0"/>
    <n v="0"/>
    <n v="0"/>
    <n v="0"/>
    <n v="0"/>
    <n v="0"/>
    <n v="0"/>
    <n v="0"/>
    <n v="0"/>
  </r>
  <r>
    <x v="4"/>
    <s v="PEST CONTROL"/>
    <s v="SC JOHNSON"/>
    <x v="2"/>
    <x v="0"/>
    <x v="3"/>
    <x v="6"/>
    <x v="1"/>
    <n v="0"/>
    <n v="0"/>
    <n v="0"/>
    <n v="1332.6990000000001"/>
    <n v="0"/>
    <n v="1133.4739999999999"/>
    <n v="1653.4690000000001"/>
    <n v="8908.2549999999992"/>
    <n v="3397.04"/>
    <n v="555.67399999999998"/>
    <n v="1186.4559999999999"/>
    <n v="810.99400000000003"/>
    <n v="0"/>
    <n v="0"/>
    <n v="0"/>
    <n v="0"/>
    <n v="0"/>
    <n v="701.26900000000001"/>
    <n v="1622.9949999999999"/>
    <n v="4057.2840000000001"/>
    <n v="3082.6759999999999"/>
    <n v="1229.4190000000001"/>
    <n v="698.76700000000005"/>
    <n v="648.85599999999999"/>
    <n v="549.45500000000004"/>
    <n v="1122.4970000000001"/>
    <n v="0"/>
    <n v="0"/>
    <n v="0"/>
    <n v="0"/>
    <n v="0"/>
    <n v="0"/>
    <n v="0"/>
    <n v="0"/>
    <n v="0"/>
    <n v="0"/>
    <n v="0"/>
    <n v="0"/>
  </r>
  <r>
    <x v="4"/>
    <s v="PEST CONTROL"/>
    <s v="SC JOHNSON"/>
    <x v="2"/>
    <x v="0"/>
    <x v="3"/>
    <x v="6"/>
    <x v="2"/>
    <n v="0"/>
    <n v="0"/>
    <n v="0"/>
    <n v="5.0000000000000001E-3"/>
    <n v="0"/>
    <n v="3.0000000000000001E-3"/>
    <n v="6.0000000000000001E-3"/>
    <n v="1.7000000000000001E-2"/>
    <n v="2.5999999999999999E-2"/>
    <n v="7.0000000000000001E-3"/>
    <n v="8.9999999999999993E-3"/>
    <n v="7.0000000000000001E-3"/>
    <n v="0"/>
    <n v="0"/>
    <n v="0"/>
    <n v="0"/>
    <n v="0"/>
    <n v="1E-3"/>
    <n v="2E-3"/>
    <n v="6.0000000000000001E-3"/>
    <n v="6.0000000000000001E-3"/>
    <n v="3.0000000000000001E-3"/>
    <n v="2E-3"/>
    <n v="3.0000000000000001E-3"/>
    <n v="2E-3"/>
    <n v="3.0000000000000001E-3"/>
    <n v="0"/>
    <n v="0"/>
    <n v="0"/>
    <n v="0"/>
    <n v="0"/>
    <n v="0"/>
    <n v="0"/>
    <n v="0"/>
    <n v="0"/>
    <n v="0"/>
    <n v="0"/>
    <n v="0"/>
  </r>
  <r>
    <x v="4"/>
    <s v="PEST CONTROL"/>
    <s v="SC JOHNSON"/>
    <x v="2"/>
    <x v="0"/>
    <x v="3"/>
    <x v="6"/>
    <x v="3"/>
    <n v="0"/>
    <n v="0"/>
    <n v="0"/>
    <n v="0.42399999999999999"/>
    <n v="0.45300000000000001"/>
    <n v="0.64"/>
    <n v="0.83499999999999996"/>
    <n v="2.2610000000000001"/>
    <n v="2.847"/>
    <n v="2.0619999999999998"/>
    <n v="4.1180000000000003"/>
    <n v="4.5469999999999997"/>
    <n v="1.214"/>
    <n v="1.748"/>
    <n v="0.90400000000000003"/>
    <n v="0.58299999999999996"/>
    <n v="0.438"/>
    <n v="0.90300000000000002"/>
    <n v="0.73699999999999999"/>
    <n v="0.82199999999999995"/>
    <n v="0.76300000000000001"/>
    <n v="0.16200000000000001"/>
    <n v="4.2999999999999997E-2"/>
    <n v="2.4E-2"/>
    <n v="0.25900000000000001"/>
    <n v="1.2609999999999999"/>
    <n v="0"/>
    <n v="0"/>
    <n v="0"/>
    <n v="0"/>
    <n v="0"/>
    <n v="0"/>
    <n v="0"/>
    <n v="0"/>
    <n v="0"/>
    <n v="0"/>
    <n v="0"/>
    <n v="0"/>
  </r>
  <r>
    <x v="4"/>
    <s v="PEST CONTROL"/>
    <s v="SC JOHNSON"/>
    <x v="2"/>
    <x v="0"/>
    <x v="3"/>
    <x v="6"/>
    <x v="4"/>
    <n v="0"/>
    <n v="0"/>
    <n v="0"/>
    <n v="0.98040959999999999"/>
    <n v="0.97743590000000002"/>
    <n v="1.1156782999999999"/>
    <n v="1.3015871000000001"/>
    <n v="2.0613750999999998"/>
    <n v="1.8942406000000001"/>
    <n v="0.98478310000000002"/>
    <n v="1.5139776"/>
    <n v="1.5132464000000001"/>
    <n v="0.5308081"/>
    <n v="0.53017080000000005"/>
    <n v="0.70664830000000001"/>
    <n v="0.63725639999999995"/>
    <n v="0.47532370000000002"/>
    <n v="0.47481190000000001"/>
    <n v="0.47416740000000002"/>
    <n v="0.4737825"/>
    <n v="0.4736281"/>
    <n v="0.47344389999999997"/>
    <n v="0.4729835"/>
    <n v="0.42062270000000002"/>
    <n v="0.42033160000000003"/>
    <n v="0.33577780000000002"/>
    <n v="0"/>
    <n v="0"/>
    <n v="0"/>
    <n v="0"/>
    <n v="0"/>
    <n v="0"/>
    <n v="0"/>
    <n v="0"/>
    <n v="0"/>
    <n v="0"/>
    <n v="0"/>
    <n v="0"/>
  </r>
  <r>
    <x v="4"/>
    <s v="PEST CONTROL"/>
    <s v="SC JOHNSON"/>
    <x v="2"/>
    <x v="0"/>
    <x v="3"/>
    <x v="6"/>
    <x v="5"/>
    <n v="0"/>
    <n v="0"/>
    <n v="0"/>
    <n v="5.2999999999999999E-2"/>
    <n v="5.2999999999999999E-2"/>
    <n v="0"/>
    <n v="0"/>
    <n v="0.40500000000000003"/>
    <n v="0"/>
    <n v="0"/>
    <n v="5.0999999999999997E-2"/>
    <n v="0.05"/>
    <n v="5.0999999999999997E-2"/>
    <n v="4.9000000000000002E-2"/>
    <n v="4.3999999999999997E-2"/>
    <n v="3.9E-2"/>
    <n v="3.1E-2"/>
    <n v="1.7999999999999999E-2"/>
    <n v="0.27"/>
    <n v="0.20399999999999999"/>
    <n v="0.154"/>
    <n v="0.13900000000000001"/>
    <n v="0.13400000000000001"/>
    <n v="0.112"/>
    <n v="9.2999999999999999E-2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2"/>
    <x v="5"/>
    <x v="3"/>
    <x v="0"/>
    <x v="0"/>
    <n v="187.73599999999999"/>
    <n v="404.488"/>
    <n v="472.74900000000002"/>
    <n v="419.38299999999998"/>
    <n v="508.48899999999998"/>
    <n v="434.63900000000001"/>
    <n v="481.79199999999997"/>
    <n v="439.22800000000001"/>
    <n v="337.29199999999997"/>
    <n v="205.755"/>
    <n v="236.392"/>
    <n v="235.99600000000001"/>
    <n v="257.82499999999999"/>
    <n v="316.15199999999999"/>
    <n v="479.06099999999998"/>
    <n v="356.99400000000003"/>
    <n v="384.11599999999999"/>
    <n v="486.32799999999997"/>
    <n v="407.48500000000001"/>
    <n v="432.517"/>
    <n v="371.30700000000002"/>
    <n v="279.86200000000002"/>
    <n v="312.66500000000002"/>
    <n v="256.16399999999999"/>
    <n v="229.167"/>
    <n v="149.92699999999999"/>
    <n v="190.55699999999999"/>
    <n v="344.11700000000002"/>
    <n v="452.79300000000001"/>
    <n v="417.89"/>
    <n v="538.15200000000004"/>
    <n v="630.06299999999999"/>
    <n v="575.54999999999995"/>
    <n v="328.46199999999999"/>
    <n v="252.93799999999999"/>
    <n v="189.59299999999999"/>
    <n v="164.41499999999999"/>
    <n v="164.41499999999999"/>
  </r>
  <r>
    <x v="4"/>
    <s v="PEST CONTROL"/>
    <s v="SC JOHNSON"/>
    <x v="2"/>
    <x v="5"/>
    <x v="3"/>
    <x v="0"/>
    <x v="1"/>
    <n v="39301.798000000003"/>
    <n v="81138.159"/>
    <n v="98735.547999999995"/>
    <n v="96012.697"/>
    <n v="112827.799"/>
    <n v="90847.839000000007"/>
    <n v="99625.684999999998"/>
    <n v="95640.07"/>
    <n v="73330.228000000003"/>
    <n v="44818.646000000001"/>
    <n v="52482.711000000003"/>
    <n v="50704.544999999998"/>
    <n v="61693.851999999999"/>
    <n v="79434.187999999995"/>
    <n v="117902.359"/>
    <n v="92648.843999999997"/>
    <n v="88294.145000000004"/>
    <n v="116018.857"/>
    <n v="105273.88400000001"/>
    <n v="103198.35400000001"/>
    <n v="78689.725999999995"/>
    <n v="63693.07"/>
    <n v="71820.456000000006"/>
    <n v="60096.322"/>
    <n v="54564.839"/>
    <n v="41195.394"/>
    <n v="58723.533000000003"/>
    <n v="102422.481"/>
    <n v="128193.75599999999"/>
    <n v="121860.772"/>
    <n v="160991.29399999999"/>
    <n v="183638.66200000001"/>
    <n v="163723.712"/>
    <n v="88338.06"/>
    <n v="67927.654999999999"/>
    <n v="54249.148999999998"/>
    <n v="42193.17"/>
    <n v="42193.17"/>
  </r>
  <r>
    <x v="4"/>
    <s v="PEST CONTROL"/>
    <s v="SC JOHNSON"/>
    <x v="2"/>
    <x v="5"/>
    <x v="3"/>
    <x v="0"/>
    <x v="2"/>
    <n v="2.8140000000000001"/>
    <n v="3.7309999999999999"/>
    <n v="2.8559999999999999"/>
    <n v="2.0470000000000002"/>
    <n v="1.6459999999999999"/>
    <n v="1.522"/>
    <n v="2.1139999999999999"/>
    <n v="2.88"/>
    <n v="3.2290000000000001"/>
    <n v="2.9380000000000002"/>
    <n v="3.903"/>
    <n v="4.2629999999999999"/>
    <n v="3.7069999999999999"/>
    <n v="3.6619999999999999"/>
    <n v="3.2080000000000002"/>
    <n v="1.448"/>
    <n v="1.41"/>
    <n v="1.8560000000000001"/>
    <n v="1.532"/>
    <n v="2.258"/>
    <n v="2.589"/>
    <n v="2.746"/>
    <n v="3.6709999999999998"/>
    <n v="3.6480000000000001"/>
    <n v="3.194"/>
    <n v="1.5680000000000001"/>
    <n v="1.4059999999999999"/>
    <n v="1.3"/>
    <n v="1.0469999999999999"/>
    <n v="1.1279999999999999"/>
    <n v="0.999"/>
    <n v="1.0249999999999999"/>
    <n v="1.5189999999999999"/>
    <n v="1.736"/>
    <n v="2.1859999999999999"/>
    <n v="2.4900000000000002"/>
    <n v="2.2829999999999999"/>
    <n v="0.32400000000000001"/>
  </r>
  <r>
    <x v="4"/>
    <s v="PEST CONTROL"/>
    <s v="SC JOHNSON"/>
    <x v="2"/>
    <x v="5"/>
    <x v="3"/>
    <x v="0"/>
    <x v="3"/>
    <n v="44.27"/>
    <n v="48.664000000000001"/>
    <n v="56.167000000000002"/>
    <n v="49.610999999999997"/>
    <n v="46.667000000000002"/>
    <n v="42.226999999999997"/>
    <n v="39.195"/>
    <n v="42.923000000000002"/>
    <n v="48.8"/>
    <n v="46.203000000000003"/>
    <n v="44.042000000000002"/>
    <n v="45.511000000000003"/>
    <n v="41.865000000000002"/>
    <n v="48.991999999999997"/>
    <n v="50.585999999999999"/>
    <n v="50.884"/>
    <n v="40.573"/>
    <n v="42.600999999999999"/>
    <n v="45.448"/>
    <n v="40.417999999999999"/>
    <n v="39.448"/>
    <n v="39.734000000000002"/>
    <n v="42.609000000000002"/>
    <n v="38.411000000000001"/>
    <n v="39.35"/>
    <n v="36.527000000000001"/>
    <n v="40.112000000000002"/>
    <n v="41.167999999999999"/>
    <n v="44.45"/>
    <n v="44.213000000000001"/>
    <n v="44.210999999999999"/>
    <n v="48.399000000000001"/>
    <n v="48.186999999999998"/>
    <n v="49.41"/>
    <n v="41.048999999999999"/>
    <n v="41.863999999999997"/>
    <n v="28.19"/>
    <n v="496.77499999999998"/>
  </r>
  <r>
    <x v="4"/>
    <s v="PEST CONTROL"/>
    <s v="SC JOHNSON"/>
    <x v="2"/>
    <x v="5"/>
    <x v="3"/>
    <x v="0"/>
    <x v="4"/>
    <n v="24.333243199999998"/>
    <n v="26.108962500000001"/>
    <n v="28.0871128"/>
    <n v="28.545605299999998"/>
    <n v="29.299862699999998"/>
    <n v="26.8850637"/>
    <n v="25.9494972"/>
    <n v="25.224419999999999"/>
    <n v="27.529672300000001"/>
    <n v="26.512861300000001"/>
    <n v="24.727905400000001"/>
    <n v="24.4101927"/>
    <n v="25.822877500000001"/>
    <n v="28.9957879"/>
    <n v="31.652333800000001"/>
    <n v="32.224018600000001"/>
    <n v="30.043945300000001"/>
    <n v="29.5966062"/>
    <n v="32.476038699999997"/>
    <n v="29.017848999999998"/>
    <n v="26.560936000000002"/>
    <n v="26.142688400000001"/>
    <n v="23.356366600000001"/>
    <n v="22.2099774"/>
    <n v="23.020140999999999"/>
    <n v="25.076276499999999"/>
    <n v="26.7279616"/>
    <n v="26.556186"/>
    <n v="28.1999277"/>
    <n v="25.466891100000002"/>
    <n v="24.481039800000001"/>
    <n v="25.339757599999999"/>
    <n v="23.700145200000001"/>
    <n v="22.5027726"/>
    <n v="22.899434400000001"/>
    <n v="21.987803299999999"/>
    <n v="21.915987600000001"/>
    <n v="28.19"/>
  </r>
  <r>
    <x v="4"/>
    <s v="PEST CONTROL"/>
    <s v="SC JOHNSON"/>
    <x v="2"/>
    <x v="5"/>
    <x v="3"/>
    <x v="0"/>
    <x v="5"/>
    <n v="1.175"/>
    <n v="1.173"/>
    <n v="1.0529999999999999"/>
    <n v="1.016"/>
    <n v="1.0049999999999999"/>
    <n v="1.161"/>
    <n v="1.4850000000000001"/>
    <n v="1.248"/>
    <n v="1.224"/>
    <n v="1.2929999999999999"/>
    <n v="1.278"/>
    <n v="1.2230000000000001"/>
    <n v="1.244"/>
    <n v="1.2150000000000001"/>
    <n v="1.4550000000000001"/>
    <n v="1.5029999999999999"/>
    <n v="1.234"/>
    <n v="0.93700000000000006"/>
    <n v="1.1970000000000001"/>
    <n v="1.071"/>
    <n v="0.96199999999999997"/>
    <n v="1.0740000000000001"/>
    <n v="0.83"/>
    <n v="1.0169999999999999"/>
    <n v="0.95799999999999996"/>
    <n v="0.92900000000000005"/>
    <n v="0.97699999999999998"/>
    <n v="0.74"/>
    <n v="0.92700000000000005"/>
    <n v="0.96199999999999997"/>
    <n v="1.1890000000000001"/>
    <n v="1.3120000000000001"/>
    <n v="1.1499999999999999"/>
    <n v="1.18"/>
    <n v="1.1499999999999999"/>
    <n v="1.0760000000000001"/>
    <n v="0.94099999999999995"/>
    <n v="21.915987600000001"/>
  </r>
  <r>
    <x v="4"/>
    <s v="PEST CONTROL"/>
    <s v="SC JOHNSON"/>
    <x v="2"/>
    <x v="5"/>
    <x v="3"/>
    <x v="7"/>
    <x v="0"/>
    <n v="47.14"/>
    <n v="58.786000000000001"/>
    <n v="62.448999999999998"/>
    <n v="132.49199999999999"/>
    <n v="155.273"/>
    <n v="60.146000000000001"/>
    <n v="50.801000000000002"/>
    <n v="42.073"/>
    <n v="54.39"/>
    <n v="19.800999999999998"/>
    <n v="19.126999999999999"/>
    <n v="17.186"/>
    <n v="57.204999999999998"/>
    <n v="41.817"/>
    <n v="90.605999999999995"/>
    <n v="119.733"/>
    <n v="63.152999999999999"/>
    <n v="67.606999999999999"/>
    <n v="51.470999999999997"/>
    <n v="50.21"/>
    <n v="95.515000000000001"/>
    <n v="81.528999999999996"/>
    <n v="72.527000000000001"/>
    <n v="27.041"/>
    <n v="39.969000000000001"/>
    <n v="51.941000000000003"/>
    <n v="72.92"/>
    <n v="100.91800000000001"/>
    <n v="25.388000000000002"/>
    <n v="65.361000000000004"/>
    <n v="13.571"/>
    <n v="4.4290000000000003"/>
    <n v="24.581"/>
    <n v="0.42899999999999999"/>
    <n v="0"/>
    <n v="1"/>
    <n v="0"/>
    <n v="0"/>
  </r>
  <r>
    <x v="4"/>
    <s v="PEST CONTROL"/>
    <s v="SC JOHNSON"/>
    <x v="2"/>
    <x v="5"/>
    <x v="3"/>
    <x v="7"/>
    <x v="1"/>
    <n v="9134.1910000000007"/>
    <n v="12206.843000000001"/>
    <n v="13402.343000000001"/>
    <n v="26102.038"/>
    <n v="32176.919000000002"/>
    <n v="12056.144"/>
    <n v="11006.963"/>
    <n v="9041.1749999999993"/>
    <n v="11028.173000000001"/>
    <n v="4235.6679999999997"/>
    <n v="4118.1940000000004"/>
    <n v="4203.6099999999997"/>
    <n v="13168.286"/>
    <n v="10214.99"/>
    <n v="18245.936000000002"/>
    <n v="27799.877"/>
    <n v="13265.084000000001"/>
    <n v="14322.941000000001"/>
    <n v="13316"/>
    <n v="12545.348"/>
    <n v="24660.493999999999"/>
    <n v="20269.096000000001"/>
    <n v="18015.932000000001"/>
    <n v="6928.4350000000004"/>
    <n v="10010.374"/>
    <n v="13768.78"/>
    <n v="19528.829000000002"/>
    <n v="26015.435000000001"/>
    <n v="6574.2659999999996"/>
    <n v="17005.218000000001"/>
    <n v="3842.1909999999998"/>
    <n v="1317.183"/>
    <n v="6168.2160000000003"/>
    <n v="124.294"/>
    <n v="0"/>
    <n v="254"/>
    <n v="0"/>
    <n v="0"/>
  </r>
  <r>
    <x v="4"/>
    <s v="PEST CONTROL"/>
    <s v="SC JOHNSON"/>
    <x v="2"/>
    <x v="5"/>
    <x v="3"/>
    <x v="7"/>
    <x v="2"/>
    <n v="4.0000000000000001E-3"/>
    <n v="3.0000000000000001E-3"/>
    <n v="2E-3"/>
    <n v="3.0000000000000001E-3"/>
    <n v="3.0000000000000001E-3"/>
    <n v="1E-3"/>
    <n v="1E-3"/>
    <n v="1E-3"/>
    <n v="3.0000000000000001E-3"/>
    <n v="1E-3"/>
    <n v="2E-3"/>
    <n v="2E-3"/>
    <n v="4.0000000000000001E-3"/>
    <n v="3.0000000000000001E-3"/>
    <n v="3.0000000000000001E-3"/>
    <n v="3.0000000000000001E-3"/>
    <n v="1E-3"/>
    <n v="1E-3"/>
    <n v="1E-3"/>
    <n v="1E-3"/>
    <n v="3.0000000000000001E-3"/>
    <n v="4.0000000000000001E-3"/>
    <n v="4.0000000000000001E-3"/>
    <n v="2E-3"/>
    <n v="3.0000000000000001E-3"/>
    <n v="3.0000000000000001E-3"/>
    <n v="3.0000000000000001E-3"/>
    <n v="2E-3"/>
    <n v="0"/>
    <n v="1E-3"/>
    <n v="0"/>
    <n v="0"/>
    <n v="0"/>
    <n v="0"/>
    <n v="0"/>
    <n v="0"/>
    <n v="0"/>
    <n v="0"/>
  </r>
  <r>
    <x v="4"/>
    <s v="PEST CONTROL"/>
    <s v="SC JOHNSON"/>
    <x v="2"/>
    <x v="5"/>
    <x v="3"/>
    <x v="7"/>
    <x v="3"/>
    <n v="11.526"/>
    <n v="14.888"/>
    <n v="13.587"/>
    <n v="14.776999999999999"/>
    <n v="13.659000000000001"/>
    <n v="9.1059999999999999"/>
    <n v="11.368"/>
    <n v="12.208"/>
    <n v="9.798"/>
    <n v="4.1289999999999996"/>
    <n v="7.1559999999999997"/>
    <n v="7.7450000000000001"/>
    <n v="9.8330000000000002"/>
    <n v="12.32"/>
    <n v="17.193999999999999"/>
    <n v="20.443000000000001"/>
    <n v="15.226000000000001"/>
    <n v="13.724"/>
    <n v="8.5630000000000006"/>
    <n v="8.1029999999999998"/>
    <n v="11.875"/>
    <n v="12.827"/>
    <n v="16.370999999999999"/>
    <n v="12.581"/>
    <n v="11.869"/>
    <n v="16.004000000000001"/>
    <n v="15.282"/>
    <n v="19.515999999999998"/>
    <n v="11.585000000000001"/>
    <n v="7.0679999999999996"/>
    <n v="6.0830000000000002"/>
    <n v="3.8570000000000002"/>
    <n v="5.8369999999999997"/>
    <n v="0.56799999999999995"/>
    <n v="6.9000000000000006E-2"/>
    <n v="0.53700000000000003"/>
    <n v="0.14000000000000001"/>
    <n v="20.172000000000001"/>
  </r>
  <r>
    <x v="4"/>
    <s v="PEST CONTROL"/>
    <s v="SC JOHNSON"/>
    <x v="2"/>
    <x v="5"/>
    <x v="3"/>
    <x v="7"/>
    <x v="4"/>
    <n v="5.4090052000000002"/>
    <n v="5.5911539000000001"/>
    <n v="6.2109395000000003"/>
    <n v="6.1928796999999998"/>
    <n v="5.9315696999999998"/>
    <n v="5.6190256999999999"/>
    <n v="6.2901807999999999"/>
    <n v="5.7410511"/>
    <n v="5.3942964"/>
    <n v="3.1262954999999999"/>
    <n v="3.3844422999999999"/>
    <n v="3.3828076"/>
    <n v="3.3853067000000001"/>
    <n v="4.4727701"/>
    <n v="4.6640161999999998"/>
    <n v="5.2509930000000002"/>
    <n v="3.8596287"/>
    <n v="3.7451894000000001"/>
    <n v="3.1962674"/>
    <n v="3.4463568000000002"/>
    <n v="4.8696543999999999"/>
    <n v="3.8577471999999999"/>
    <n v="3.8970056"/>
    <n v="2.1192912000000002"/>
    <n v="2.7529135"/>
    <n v="3.7497989999999999"/>
    <n v="3.9092129999999998"/>
    <n v="3.9704814000000002"/>
    <n v="3.0063989000000002"/>
    <n v="2.6294713999999999"/>
    <n v="2.4292691999999998"/>
    <n v="2.0944617000000001"/>
    <n v="1.9258842"/>
    <n v="0.45485009999999998"/>
    <n v="0.3877679"/>
    <n v="0.52269710000000003"/>
    <n v="0.45331909999999997"/>
    <n v="0.14000000000000001"/>
  </r>
  <r>
    <x v="4"/>
    <s v="PEST CONTROL"/>
    <s v="SC JOHNSON"/>
    <x v="2"/>
    <x v="5"/>
    <x v="3"/>
    <x v="7"/>
    <x v="5"/>
    <n v="0.17100000000000001"/>
    <n v="0.14899999999999999"/>
    <n v="0.152"/>
    <n v="0.156"/>
    <n v="0.156"/>
    <n v="0.20200000000000001"/>
    <n v="0.193"/>
    <n v="0.188"/>
    <n v="9.2999999999999999E-2"/>
    <n v="9.7000000000000003E-2"/>
    <n v="0.107"/>
    <n v="0.10100000000000001"/>
    <n v="0.13200000000000001"/>
    <n v="0.127"/>
    <n v="6.3E-2"/>
    <n v="0.17100000000000001"/>
    <n v="0.122"/>
    <n v="0.113"/>
    <n v="0.11"/>
    <n v="9.6000000000000002E-2"/>
    <n v="0.10299999999999999"/>
    <n v="0.107"/>
    <n v="0.113"/>
    <n v="7.9000000000000001E-2"/>
    <n v="8.1000000000000003E-2"/>
    <n v="5.1999999999999998E-2"/>
    <n v="4.2000000000000003E-2"/>
    <n v="4.2000000000000003E-2"/>
    <n v="5.5E-2"/>
    <n v="5.8000000000000003E-2"/>
    <n v="6.2E-2"/>
    <n v="5.6000000000000001E-2"/>
    <n v="1.4999999999999999E-2"/>
    <n v="1.4999999999999999E-2"/>
    <n v="1.7000000000000001E-2"/>
    <n v="2.1000000000000001E-2"/>
    <n v="0.02"/>
    <n v="0.45331909999999997"/>
  </r>
  <r>
    <x v="4"/>
    <s v="PEST CONTROL"/>
    <s v="SC JOHNSON"/>
    <x v="3"/>
    <x v="0"/>
    <x v="0"/>
    <x v="8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3"/>
    <x v="0"/>
    <x v="0"/>
    <x v="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3"/>
    <x v="0"/>
    <x v="0"/>
    <x v="8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3"/>
    <x v="0"/>
    <x v="0"/>
    <x v="8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3"/>
    <x v="0"/>
    <x v="0"/>
    <x v="8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3"/>
    <x v="0"/>
    <x v="0"/>
    <x v="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PEST CONTROL"/>
    <s v="SC JOHNSON"/>
    <x v="3"/>
    <x v="0"/>
    <x v="0"/>
    <x v="9"/>
    <x v="0"/>
    <n v="102.151"/>
    <n v="177.07"/>
    <n v="327.82400000000001"/>
    <n v="438.81099999999998"/>
    <n v="620.60299999999995"/>
    <n v="434.77600000000001"/>
    <n v="346.55"/>
    <n v="216.75"/>
    <n v="137.91300000000001"/>
    <n v="129.24100000000001"/>
    <n v="34.316000000000003"/>
    <n v="22.864999999999998"/>
    <n v="23.033999999999999"/>
    <n v="72.397999999999996"/>
    <n v="191.05699999999999"/>
    <n v="401.44799999999998"/>
    <n v="387.71899999999999"/>
    <n v="399.923"/>
    <n v="440.01299999999998"/>
    <n v="240.87200000000001"/>
    <n v="241.63800000000001"/>
    <n v="190.24799999999999"/>
    <n v="97.48"/>
    <n v="88.510999999999996"/>
    <n v="32.978000000000002"/>
    <n v="71.572000000000003"/>
    <n v="188.72800000000001"/>
    <n v="376.77100000000002"/>
    <n v="664.18299999999999"/>
    <n v="465.786"/>
    <n v="575.36"/>
    <n v="431.44900000000001"/>
    <n v="201.357"/>
    <n v="112.41200000000001"/>
    <n v="92.861999999999995"/>
    <n v="49.606999999999999"/>
    <n v="72.730999999999995"/>
    <n v="72.730999999999995"/>
  </r>
  <r>
    <x v="4"/>
    <s v="PEST CONTROL"/>
    <s v="SC JOHNSON"/>
    <x v="3"/>
    <x v="0"/>
    <x v="0"/>
    <x v="9"/>
    <x v="1"/>
    <n v="26762.998"/>
    <n v="45297.802000000003"/>
    <n v="79795.808000000005"/>
    <n v="98326.047000000006"/>
    <n v="151608.01"/>
    <n v="95881.274000000005"/>
    <n v="75983.678"/>
    <n v="45103.841"/>
    <n v="32587.173999999999"/>
    <n v="32186.983"/>
    <n v="6420.8040000000001"/>
    <n v="8564.4130000000005"/>
    <n v="5635.6729999999998"/>
    <n v="16465.654999999999"/>
    <n v="42149.915000000001"/>
    <n v="91251.066999999995"/>
    <n v="99656.395000000004"/>
    <n v="104521.183"/>
    <n v="119270.91099999999"/>
    <n v="66104.657999999996"/>
    <n v="68630.070000000007"/>
    <n v="55774.574999999997"/>
    <n v="30456.361000000001"/>
    <n v="27751.537"/>
    <n v="7613.308"/>
    <n v="17714.704000000002"/>
    <n v="52910.862000000001"/>
    <n v="101104.34600000001"/>
    <n v="168393.353"/>
    <n v="126096.548"/>
    <n v="161392.829"/>
    <n v="117198.929"/>
    <n v="56475.421999999999"/>
    <n v="35445.582000000002"/>
    <n v="29456.772000000001"/>
    <n v="14918.078"/>
    <n v="22663.588"/>
    <n v="22663.588"/>
  </r>
  <r>
    <x v="4"/>
    <s v="PEST CONTROL"/>
    <s v="SC JOHNSON"/>
    <x v="3"/>
    <x v="0"/>
    <x v="0"/>
    <x v="9"/>
    <x v="2"/>
    <n v="0.17699999999999999"/>
    <n v="0.19"/>
    <n v="0.23"/>
    <n v="0.25"/>
    <n v="0.23400000000000001"/>
    <n v="0.17799999999999999"/>
    <n v="0.17799999999999999"/>
    <n v="0.16600000000000001"/>
    <n v="0.154"/>
    <n v="0.215"/>
    <n v="6.6000000000000003E-2"/>
    <n v="4.8000000000000001E-2"/>
    <n v="3.9E-2"/>
    <n v="0.1"/>
    <n v="0.153"/>
    <n v="0.2"/>
    <n v="0.16900000000000001"/>
    <n v="0.183"/>
    <n v="0.2"/>
    <n v="0.153"/>
    <n v="0.19900000000000001"/>
    <n v="0.221"/>
    <n v="0.13500000000000001"/>
    <n v="0.15"/>
    <n v="5.5E-2"/>
    <n v="9.1999999999999998E-2"/>
    <n v="0.17100000000000001"/>
    <n v="0.17299999999999999"/>
    <n v="0.185"/>
    <n v="0.152"/>
    <n v="0.13100000000000001"/>
    <n v="8.6999999999999994E-2"/>
    <n v="6.5000000000000002E-2"/>
    <n v="7.2999999999999995E-2"/>
    <n v="0.1"/>
    <n v="8.1000000000000003E-2"/>
    <n v="0.126"/>
    <n v="0.14399999999999999"/>
  </r>
  <r>
    <x v="4"/>
    <s v="PEST CONTROL"/>
    <s v="SC JOHNSON"/>
    <x v="3"/>
    <x v="0"/>
    <x v="0"/>
    <x v="9"/>
    <x v="3"/>
    <n v="14.585000000000001"/>
    <n v="19.968"/>
    <n v="33.512999999999998"/>
    <n v="36.473999999999997"/>
    <n v="42.959000000000003"/>
    <n v="36.274000000000001"/>
    <n v="28.091999999999999"/>
    <n v="25.370999999999999"/>
    <n v="16.321999999999999"/>
    <n v="18.247"/>
    <n v="10.199"/>
    <n v="12.617000000000001"/>
    <n v="13.51"/>
    <n v="19.95"/>
    <n v="35.414999999999999"/>
    <n v="38.436"/>
    <n v="41.253"/>
    <n v="34.619999999999997"/>
    <n v="32.564999999999998"/>
    <n v="26.291"/>
    <n v="22.225999999999999"/>
    <n v="19.094999999999999"/>
    <n v="19.91"/>
    <n v="20.027999999999999"/>
    <n v="20.951000000000001"/>
    <n v="17.922000000000001"/>
    <n v="32.423000000000002"/>
    <n v="43.115000000000002"/>
    <n v="54.569000000000003"/>
    <n v="45.198999999999998"/>
    <n v="46.835999999999999"/>
    <n v="46.052999999999997"/>
    <n v="26.113"/>
    <n v="18.173999999999999"/>
    <n v="19.675000000000001"/>
    <n v="15.516999999999999"/>
    <n v="15.026"/>
    <n v="399.57900000000001"/>
  </r>
  <r>
    <x v="4"/>
    <s v="PEST CONTROL"/>
    <s v="SC JOHNSON"/>
    <x v="3"/>
    <x v="0"/>
    <x v="0"/>
    <x v="9"/>
    <x v="4"/>
    <n v="8.3084044000000006"/>
    <n v="9.9369709999999998"/>
    <n v="12.275677099999999"/>
    <n v="12.610824600000001"/>
    <n v="15.6247404"/>
    <n v="15.1779466"/>
    <n v="13.408611000000001"/>
    <n v="14.2802057"/>
    <n v="10.682953599999999"/>
    <n v="8.3802851"/>
    <n v="6.6465801999999998"/>
    <n v="7.0801832999999998"/>
    <n v="7.460102"/>
    <n v="8.7549282000000002"/>
    <n v="12.8281647"/>
    <n v="15.0043302"/>
    <n v="16.976725600000002"/>
    <n v="15.715766199999999"/>
    <n v="16.355992199999999"/>
    <n v="14.296227699999999"/>
    <n v="12.9654106"/>
    <n v="11.6978519"/>
    <n v="11.185176800000001"/>
    <n v="10.498483200000001"/>
    <n v="10.719749999999999"/>
    <n v="12.1054368"/>
    <n v="15.7220494"/>
    <n v="18.447612500000002"/>
    <n v="21.290423799999999"/>
    <n v="18.9225271"/>
    <n v="18.813480599999998"/>
    <n v="19.152161799999998"/>
    <n v="14.233488100000001"/>
    <n v="10.438141099999999"/>
    <n v="11.8837498"/>
    <n v="10.853873800000001"/>
    <n v="11.7323796"/>
    <n v="15.026"/>
  </r>
  <r>
    <x v="4"/>
    <s v="PEST CONTROL"/>
    <s v="SC JOHNSON"/>
    <x v="3"/>
    <x v="0"/>
    <x v="0"/>
    <x v="9"/>
    <x v="5"/>
    <n v="0.91900000000000004"/>
    <n v="1.032"/>
    <n v="0.89700000000000002"/>
    <n v="0.89400000000000002"/>
    <n v="0.95299999999999996"/>
    <n v="0.88200000000000001"/>
    <n v="0.77200000000000002"/>
    <n v="0.92900000000000005"/>
    <n v="0.79"/>
    <n v="0.5"/>
    <n v="0.60699999999999998"/>
    <n v="0.64800000000000002"/>
    <n v="0.65700000000000003"/>
    <n v="0.626"/>
    <n v="0.63600000000000001"/>
    <n v="0.67200000000000004"/>
    <n v="0.69399999999999995"/>
    <n v="0.57399999999999995"/>
    <n v="0.625"/>
    <n v="0.63600000000000001"/>
    <n v="0.64100000000000001"/>
    <n v="0.70399999999999996"/>
    <n v="0.68"/>
    <n v="0.74099999999999999"/>
    <n v="0.74099999999999999"/>
    <n v="0.74399999999999999"/>
    <n v="0.73799999999999999"/>
    <n v="0.81"/>
    <n v="0.69499999999999995"/>
    <n v="0.7"/>
    <n v="0.67900000000000005"/>
    <n v="0.63600000000000001"/>
    <n v="0.61899999999999999"/>
    <n v="0.63200000000000001"/>
    <n v="0.76200000000000001"/>
    <n v="0.83599999999999997"/>
    <n v="0.80100000000000005"/>
    <n v="11.7323796"/>
  </r>
  <r>
    <x v="4"/>
    <s v="PEST CONTROL"/>
    <s v="SC JOHNSON"/>
    <x v="3"/>
    <x v="0"/>
    <x v="0"/>
    <x v="10"/>
    <x v="0"/>
    <n v="286.06599999999997"/>
    <n v="707.18899999999996"/>
    <n v="998.43100000000004"/>
    <n v="1779.76"/>
    <n v="1737.0129999999999"/>
    <n v="1967.441"/>
    <n v="1704.5619999999999"/>
    <n v="1472.7339999999999"/>
    <n v="1165.6199999999999"/>
    <n v="628.00800000000004"/>
    <n v="651.30600000000004"/>
    <n v="537.95399999999995"/>
    <n v="556.19399999999996"/>
    <n v="425.02600000000001"/>
    <n v="711.40700000000004"/>
    <n v="1038.4839999999999"/>
    <n v="1395.1559999999999"/>
    <n v="1632.09"/>
    <n v="1674.9870000000001"/>
    <n v="1338.2070000000001"/>
    <n v="981.63400000000001"/>
    <n v="532.17999999999995"/>
    <n v="369.57600000000002"/>
    <n v="372.55900000000003"/>
    <n v="405.87299999999999"/>
    <n v="430.46699999999998"/>
    <n v="742.69500000000005"/>
    <n v="1727.8"/>
    <n v="2823.8710000000001"/>
    <n v="2749.43"/>
    <n v="2978.9259999999999"/>
    <n v="2855.877"/>
    <n v="1936.0260000000001"/>
    <n v="1236.72"/>
    <n v="822.99199999999996"/>
    <n v="348.98500000000001"/>
    <n v="289.24700000000001"/>
    <n v="5944.817"/>
  </r>
  <r>
    <x v="4"/>
    <s v="PEST CONTROL"/>
    <s v="SC JOHNSON"/>
    <x v="3"/>
    <x v="0"/>
    <x v="0"/>
    <x v="10"/>
    <x v="1"/>
    <n v="43811.847000000002"/>
    <n v="134332.92199999999"/>
    <n v="179464.53700000001"/>
    <n v="325037.11300000001"/>
    <n v="302840.20699999999"/>
    <n v="315898.62800000003"/>
    <n v="273547.42"/>
    <n v="239232.44099999999"/>
    <n v="343938.92"/>
    <n v="95940.331999999995"/>
    <n v="83569.956999999995"/>
    <n v="74374.273000000001"/>
    <n v="73534.936000000002"/>
    <n v="68590.173999999999"/>
    <n v="107691.694"/>
    <n v="177115.696"/>
    <n v="232612.24799999999"/>
    <n v="258877.74299999999"/>
    <n v="254281.62"/>
    <n v="203925.39499999999"/>
    <n v="157868.18799999999"/>
    <n v="89029.542000000001"/>
    <n v="58950.623"/>
    <n v="52307.116000000002"/>
    <n v="61799.114999999998"/>
    <n v="61927.368999999999"/>
    <n v="99372.293000000005"/>
    <n v="248365.72200000001"/>
    <n v="422489.36800000002"/>
    <n v="431446.03600000002"/>
    <n v="502811.01799999998"/>
    <n v="505237"/>
    <n v="380945.326"/>
    <n v="256783.59400000001"/>
    <n v="175412.18700000001"/>
    <n v="78757.554999999993"/>
    <n v="58233.004000000001"/>
    <n v="58233.004000000001"/>
  </r>
  <r>
    <x v="4"/>
    <s v="PEST CONTROL"/>
    <s v="SC JOHNSON"/>
    <x v="3"/>
    <x v="0"/>
    <x v="0"/>
    <x v="10"/>
    <x v="2"/>
    <n v="0.254"/>
    <n v="0.40899999999999997"/>
    <n v="0.372"/>
    <n v="0.52600000000000002"/>
    <n v="0.33800000000000002"/>
    <n v="0.374"/>
    <n v="0.41199999999999998"/>
    <n v="0.53800000000000003"/>
    <n v="0.55900000000000005"/>
    <n v="0.438"/>
    <n v="0.41599999999999998"/>
    <n v="0.434"/>
    <n v="0.33800000000000002"/>
    <n v="0.23899999999999999"/>
    <n v="0.22700000000000001"/>
    <n v="0.23599999999999999"/>
    <n v="0.247"/>
    <n v="0.29899999999999999"/>
    <n v="0.29899999999999999"/>
    <n v="0.33300000000000002"/>
    <n v="0.35099999999999998"/>
    <n v="0.254"/>
    <n v="0.182"/>
    <n v="0.22700000000000001"/>
    <n v="0.252"/>
    <n v="0.19900000000000001"/>
    <n v="0.23300000000000001"/>
    <n v="0.29799999999999999"/>
    <n v="0.29699999999999999"/>
    <n v="0.34100000000000003"/>
    <n v="0.27700000000000002"/>
    <n v="0.23699999999999999"/>
    <n v="0.28000000000000003"/>
    <n v="0.35"/>
    <n v="0.378"/>
    <n v="0.27800000000000002"/>
    <n v="0.22900000000000001"/>
    <n v="11.731999999999999"/>
  </r>
  <r>
    <x v="4"/>
    <s v="PEST CONTROL"/>
    <s v="SC JOHNSON"/>
    <x v="3"/>
    <x v="0"/>
    <x v="0"/>
    <x v="10"/>
    <x v="3"/>
    <n v="40.463999999999999"/>
    <n v="53.070999999999998"/>
    <n v="58.122"/>
    <n v="60.744999999999997"/>
    <n v="60.923999999999999"/>
    <n v="58.234999999999999"/>
    <n v="56.945"/>
    <n v="57.631999999999998"/>
    <n v="50.786999999999999"/>
    <n v="46.768000000000001"/>
    <n v="43.491999999999997"/>
    <n v="44.222000000000001"/>
    <n v="48.363"/>
    <n v="41.372999999999998"/>
    <n v="52.408000000000001"/>
    <n v="51.698999999999998"/>
    <n v="58.220999999999997"/>
    <n v="59.055"/>
    <n v="56.753999999999998"/>
    <n v="57.780999999999999"/>
    <n v="52.475000000000001"/>
    <n v="55.74"/>
    <n v="49.031999999999996"/>
    <n v="46.015000000000001"/>
    <n v="48.387"/>
    <n v="51.149000000000001"/>
    <n v="61.652000000000001"/>
    <n v="65.275000000000006"/>
    <n v="70.691000000000003"/>
    <n v="67.736000000000004"/>
    <n v="70.527000000000001"/>
    <n v="67.626000000000005"/>
    <n v="59.061999999999998"/>
    <n v="57.161000000000001"/>
    <n v="52.956000000000003"/>
    <n v="39.871000000000002"/>
    <n v="41.561"/>
    <n v="37499.067999999999"/>
  </r>
  <r>
    <x v="4"/>
    <s v="PEST CONTROL"/>
    <s v="SC JOHNSON"/>
    <x v="3"/>
    <x v="0"/>
    <x v="0"/>
    <x v="10"/>
    <x v="4"/>
    <n v="22.290350499999999"/>
    <n v="28.2125302"/>
    <n v="32.514341000000002"/>
    <n v="33.826213799999998"/>
    <n v="37.113363"/>
    <n v="39.196267499999998"/>
    <n v="39.017900599999997"/>
    <n v="39.538792800000003"/>
    <n v="35.141826999999999"/>
    <n v="29.103372199999999"/>
    <n v="27.903762199999999"/>
    <n v="29.157355800000001"/>
    <n v="29.876252999999998"/>
    <n v="28.4914396"/>
    <n v="35.984070000000003"/>
    <n v="38.971990699999999"/>
    <n v="43.072125"/>
    <n v="41.0698334"/>
    <n v="40.200794100000003"/>
    <n v="42.9107299"/>
    <n v="39.287322400000001"/>
    <n v="36.272304699999999"/>
    <n v="34.493172999999999"/>
    <n v="32.5177567"/>
    <n v="33.5936156"/>
    <n v="35.307685499999998"/>
    <n v="39.7819717"/>
    <n v="40.660304500000002"/>
    <n v="44.174720499999999"/>
    <n v="47.132604000000001"/>
    <n v="47.692585399999999"/>
    <n v="48.188460800000001"/>
    <n v="41.992701699999998"/>
    <n v="36.205131999999999"/>
    <n v="35.304665200000002"/>
    <n v="30.614299800000001"/>
    <n v="32.853959799999998"/>
    <n v="41.561"/>
  </r>
  <r>
    <x v="4"/>
    <s v="PEST CONTROL"/>
    <s v="SC JOHNSON"/>
    <x v="3"/>
    <x v="0"/>
    <x v="0"/>
    <x v="10"/>
    <x v="5"/>
    <n v="1.367"/>
    <n v="1.897"/>
    <n v="1.9650000000000001"/>
    <n v="2.2909999999999999"/>
    <n v="2.46"/>
    <n v="2.585"/>
    <n v="3.2490000000000001"/>
    <n v="3.1819999999999999"/>
    <n v="3.4630000000000001"/>
    <n v="3.1030000000000002"/>
    <n v="2.9769999999999999"/>
    <n v="3.403"/>
    <n v="3.52"/>
    <n v="3.1480000000000001"/>
    <n v="2.3159999999999998"/>
    <n v="2.746"/>
    <n v="3.298"/>
    <n v="2.9340000000000002"/>
    <n v="2.65"/>
    <n v="3.1219999999999999"/>
    <n v="3.0070000000000001"/>
    <n v="2.9220000000000002"/>
    <n v="2.5779999999999998"/>
    <n v="2.7040000000000002"/>
    <n v="2.698"/>
    <n v="2.5"/>
    <n v="2.7490000000000001"/>
    <n v="2.7330000000000001"/>
    <n v="2.6070000000000002"/>
    <n v="2.5790000000000002"/>
    <n v="2.996"/>
    <n v="2.8769999999999998"/>
    <n v="2.7440000000000002"/>
    <n v="2.6579999999999999"/>
    <n v="2.6989999999999998"/>
    <n v="3.4049999999999998"/>
    <n v="3.3460000000000001"/>
    <n v="32.853959799999998"/>
  </r>
  <r>
    <x v="4"/>
    <s v="PEST CONTROL"/>
    <s v="SC JOHNSON"/>
    <x v="3"/>
    <x v="0"/>
    <x v="3"/>
    <x v="11"/>
    <x v="0"/>
    <n v="34.020000000000003"/>
    <n v="60.957000000000001"/>
    <n v="120.899"/>
    <n v="173.16900000000001"/>
    <n v="70.763000000000005"/>
    <n v="45.021000000000001"/>
    <n v="42.317999999999998"/>
    <n v="38.325000000000003"/>
    <n v="10.103999999999999"/>
    <n v="0"/>
    <n v="0"/>
    <n v="0"/>
    <n v="0"/>
    <n v="19.856000000000002"/>
    <n v="62.728999999999999"/>
    <n v="0"/>
    <n v="0"/>
    <n v="16.376999999999999"/>
    <n v="22.154"/>
    <n v="43.682000000000002"/>
    <n v="0"/>
    <n v="37.901000000000003"/>
    <n v="0"/>
    <n v="0"/>
    <n v="0"/>
    <n v="6.3470000000000004"/>
    <n v="0"/>
    <n v="0"/>
    <n v="0"/>
    <n v="0"/>
    <n v="0"/>
    <n v="0"/>
    <n v="0"/>
    <n v="0"/>
    <n v="0"/>
    <n v="10.029"/>
    <n v="0"/>
    <n v="0"/>
  </r>
  <r>
    <x v="4"/>
    <s v="PEST CONTROL"/>
    <s v="SC JOHNSON"/>
    <x v="3"/>
    <x v="0"/>
    <x v="3"/>
    <x v="11"/>
    <x v="1"/>
    <n v="12854.174000000001"/>
    <n v="34003.686000000002"/>
    <n v="59784.048000000003"/>
    <n v="81060.183999999994"/>
    <n v="34312.019"/>
    <n v="20158.63"/>
    <n v="18771.601999999999"/>
    <n v="16748.828000000001"/>
    <n v="4546.598"/>
    <n v="0"/>
    <n v="0"/>
    <n v="0"/>
    <n v="0"/>
    <n v="5261.8890000000001"/>
    <n v="22235.83"/>
    <n v="0"/>
    <n v="0"/>
    <n v="4644.0249999999996"/>
    <n v="10680.267"/>
    <n v="15552.502"/>
    <n v="0"/>
    <n v="10645.245000000001"/>
    <n v="0"/>
    <n v="0"/>
    <n v="0"/>
    <n v="3452.5320000000002"/>
    <n v="0"/>
    <n v="0"/>
    <n v="0"/>
    <n v="0"/>
    <n v="0"/>
    <n v="0"/>
    <n v="0"/>
    <n v="0"/>
    <n v="0"/>
    <n v="2507.3609999999999"/>
    <n v="0"/>
    <n v="0"/>
  </r>
  <r>
    <x v="4"/>
    <s v="PEST CONTROL"/>
    <s v="SC JOHNSON"/>
    <x v="3"/>
    <x v="0"/>
    <x v="3"/>
    <x v="11"/>
    <x v="2"/>
    <n v="0.38"/>
    <n v="0.42199999999999999"/>
    <n v="0.54900000000000004"/>
    <n v="0.63700000000000001"/>
    <n v="0.17299999999999999"/>
    <n v="0.11899999999999999"/>
    <n v="0.14000000000000001"/>
    <n v="0.19"/>
    <n v="7.2999999999999995E-2"/>
    <n v="0"/>
    <n v="0"/>
    <n v="0"/>
    <n v="0"/>
    <n v="0.17799999999999999"/>
    <n v="0.32600000000000001"/>
    <n v="0"/>
    <n v="0"/>
    <n v="4.8000000000000001E-2"/>
    <n v="6.5000000000000002E-2"/>
    <n v="0.17899999999999999"/>
    <n v="0"/>
    <n v="0.28399999999999997"/>
    <n v="0"/>
    <n v="0"/>
    <n v="0"/>
    <n v="5.2999999999999999E-2"/>
    <n v="0"/>
    <n v="0"/>
    <n v="0"/>
    <n v="0"/>
    <n v="0"/>
    <n v="0"/>
    <n v="0"/>
    <n v="0"/>
    <n v="0"/>
    <n v="0.106"/>
    <n v="0"/>
    <n v="0"/>
  </r>
  <r>
    <x v="4"/>
    <s v="PEST CONTROL"/>
    <s v="SC JOHNSON"/>
    <x v="3"/>
    <x v="0"/>
    <x v="3"/>
    <x v="11"/>
    <x v="3"/>
    <n v="8.3040000000000003"/>
    <n v="12.709"/>
    <n v="11.895"/>
    <n v="13.404999999999999"/>
    <n v="8.3580000000000005"/>
    <n v="7.4020000000000001"/>
    <n v="6.6020000000000003"/>
    <n v="5.3250000000000002"/>
    <n v="4.657"/>
    <n v="5.8449999999999998"/>
    <n v="4.492"/>
    <n v="4.3239999999999998"/>
    <n v="3.0579999999999998"/>
    <n v="5.2649999999999997"/>
    <n v="4.7910000000000004"/>
    <n v="3.2410000000000001"/>
    <n v="3.0670000000000002"/>
    <n v="3.3410000000000002"/>
    <n v="4.899"/>
    <n v="6.1529999999999996"/>
    <n v="6.149"/>
    <n v="7.8789999999999996"/>
    <n v="7.8010000000000002"/>
    <n v="6.093"/>
    <n v="3.972"/>
    <n v="2.63"/>
    <n v="0.318"/>
    <n v="0.59899999999999998"/>
    <n v="0.79800000000000004"/>
    <n v="1.153"/>
    <n v="0.90200000000000002"/>
    <n v="2.3420000000000001"/>
    <n v="4.6639999999999997"/>
    <n v="6.181"/>
    <n v="2.9580000000000002"/>
    <n v="2.16"/>
    <n v="1.3220000000000001"/>
    <n v="194.58500000000001"/>
  </r>
  <r>
    <x v="4"/>
    <s v="PEST CONTROL"/>
    <s v="SC JOHNSON"/>
    <x v="3"/>
    <x v="0"/>
    <x v="3"/>
    <x v="11"/>
    <x v="4"/>
    <n v="5.6968743999999996"/>
    <n v="6.6792902999999999"/>
    <n v="6.6038015999999997"/>
    <n v="6.5039759000000004"/>
    <n v="7.1882467999999999"/>
    <n v="5.8659441000000001"/>
    <n v="5.8659584000000002"/>
    <n v="5.7439187"/>
    <n v="5.0115031999999999"/>
    <n v="4.1762305"/>
    <n v="3.3024689999999999"/>
    <n v="3.3008739"/>
    <n v="3.3033125000000001"/>
    <n v="3.2993462999999998"/>
    <n v="3.2387476999999998"/>
    <n v="3.129184"/>
    <n v="3.1120394999999998"/>
    <n v="3.2276444"/>
    <n v="4.0392105000000003"/>
    <n v="3.7380803999999999"/>
    <n v="3.7368622999999999"/>
    <n v="3.9322987999999999"/>
    <n v="1.9432685000000001"/>
    <n v="1.8142427000000001"/>
    <n v="1.9954113"/>
    <n v="1.9925185999999999"/>
    <n v="1.3597402999999999"/>
    <n v="1.3586195999999999"/>
    <n v="1.3542841000000001"/>
    <n v="1.3726624999999999"/>
    <n v="1.3728617000000001"/>
    <n v="1.3725331999999999"/>
    <n v="1.4711616000000001"/>
    <n v="3.0903051000000001"/>
    <n v="3.0887720999999999"/>
    <n v="2.8839812"/>
    <n v="2.8801562000000001"/>
    <n v="1.3220000000000001"/>
  </r>
  <r>
    <x v="4"/>
    <s v="PEST CONTROL"/>
    <s v="SC JOHNSON"/>
    <x v="3"/>
    <x v="0"/>
    <x v="3"/>
    <x v="11"/>
    <x v="5"/>
    <n v="0.58599999999999997"/>
    <n v="0.52200000000000002"/>
    <n v="0.40799999999999997"/>
    <n v="0.46600000000000003"/>
    <n v="0.46500000000000002"/>
    <n v="0.47099999999999997"/>
    <n v="0.40799999999999997"/>
    <n v="0.40300000000000002"/>
    <n v="0.39"/>
    <n v="0.40799999999999997"/>
    <n v="0.42499999999999999"/>
    <n v="0.41599999999999998"/>
    <n v="0.42599999999999999"/>
    <n v="0.377"/>
    <n v="0.35699999999999998"/>
    <n v="0.33400000000000002"/>
    <n v="0.32500000000000001"/>
    <n v="0.30499999999999999"/>
    <n v="0.36"/>
    <n v="0.38800000000000001"/>
    <n v="0.39100000000000001"/>
    <n v="0.34"/>
    <n v="0.36"/>
    <n v="0.40200000000000002"/>
    <n v="0.432"/>
    <n v="0.41799999999999998"/>
    <n v="0.33300000000000002"/>
    <n v="0.33600000000000002"/>
    <n v="0.30399999999999999"/>
    <n v="0.316"/>
    <n v="0.33900000000000002"/>
    <n v="0.32500000000000001"/>
    <n v="0.34399999999999997"/>
    <n v="0.36699999999999999"/>
    <n v="0.40200000000000002"/>
    <n v="0.38"/>
    <n v="0.39"/>
    <n v="2.8801562000000001"/>
  </r>
  <r>
    <x v="4"/>
    <s v="PEST CONTROL"/>
    <s v="SC JOHNSON"/>
    <x v="3"/>
    <x v="0"/>
    <x v="3"/>
    <x v="8"/>
    <x v="0"/>
    <n v="135.30600000000001"/>
    <n v="243.17599999999999"/>
    <n v="460.72199999999998"/>
    <n v="664.35599999999999"/>
    <n v="1500.41"/>
    <n v="1307.8779999999999"/>
    <n v="1047.607"/>
    <n v="941.75900000000001"/>
    <n v="512.85599999999999"/>
    <n v="302.56799999999998"/>
    <n v="217.08699999999999"/>
    <n v="158.489"/>
    <n v="60.145000000000003"/>
    <n v="138.24600000000001"/>
    <n v="447.79399999999998"/>
    <n v="989.26199999999994"/>
    <n v="921.06500000000005"/>
    <n v="904.63800000000003"/>
    <n v="943.45799999999997"/>
    <n v="622.56600000000003"/>
    <n v="515.375"/>
    <n v="239"/>
    <n v="244.18700000000001"/>
    <n v="251.358"/>
    <n v="339.71699999999998"/>
    <n v="415.851"/>
    <n v="300.35599999999999"/>
    <n v="906.34400000000005"/>
    <n v="1423.6130000000001"/>
    <n v="1291.374"/>
    <n v="1818.153"/>
    <n v="2541.3069999999998"/>
    <n v="1780.9390000000001"/>
    <n v="929.45899999999995"/>
    <n v="698.83799999999997"/>
    <n v="305.84300000000002"/>
    <n v="152.65199999999999"/>
    <n v="1703.7760000000001"/>
  </r>
  <r>
    <x v="4"/>
    <s v="PEST CONTROL"/>
    <s v="SC JOHNSON"/>
    <x v="3"/>
    <x v="0"/>
    <x v="3"/>
    <x v="8"/>
    <x v="1"/>
    <n v="15454.235000000001"/>
    <n v="29499.912"/>
    <n v="55470.540999999997"/>
    <n v="80671.343999999997"/>
    <n v="188824.64600000001"/>
    <n v="167234.48499999999"/>
    <n v="138157.658"/>
    <n v="133198.92800000001"/>
    <n v="73872.406000000003"/>
    <n v="45050.163999999997"/>
    <n v="32161.796999999999"/>
    <n v="23263.74"/>
    <n v="7982.8680000000004"/>
    <n v="19334.098000000002"/>
    <n v="59925.618000000002"/>
    <n v="133868.98000000001"/>
    <n v="130501.057"/>
    <n v="119371.554"/>
    <n v="128777.077"/>
    <n v="87728.437000000005"/>
    <n v="70102.486000000004"/>
    <n v="34584.803999999996"/>
    <n v="33157.271000000001"/>
    <n v="34743.716"/>
    <n v="47563.934000000001"/>
    <n v="56354.718000000001"/>
    <n v="43129.398999999998"/>
    <n v="138433.58300000001"/>
    <n v="218390.58499999999"/>
    <n v="196209.791"/>
    <n v="276634.141"/>
    <n v="390856.98100000003"/>
    <n v="258378.329"/>
    <n v="129321.568"/>
    <n v="107266.48299999999"/>
    <n v="45570.845000000001"/>
    <n v="19463.004000000001"/>
    <n v="19463.004000000001"/>
  </r>
  <r>
    <x v="4"/>
    <s v="PEST CONTROL"/>
    <s v="SC JOHNSON"/>
    <x v="3"/>
    <x v="0"/>
    <x v="3"/>
    <x v="8"/>
    <x v="2"/>
    <n v="6.2E-2"/>
    <n v="6.9000000000000006E-2"/>
    <n v="8.5999999999999993E-2"/>
    <n v="0.10100000000000001"/>
    <n v="0.151"/>
    <n v="0.14299999999999999"/>
    <n v="0.14299999999999999"/>
    <n v="0.192"/>
    <n v="0.153"/>
    <n v="0.13400000000000001"/>
    <n v="0.112"/>
    <n v="8.8999999999999996E-2"/>
    <n v="2.7E-2"/>
    <n v="5.0999999999999997E-2"/>
    <n v="9.5000000000000001E-2"/>
    <n v="0.129"/>
    <n v="0.10299999999999999"/>
    <n v="0.10299999999999999"/>
    <n v="0.111"/>
    <n v="0.10299999999999999"/>
    <n v="0.112"/>
    <n v="7.3999999999999996E-2"/>
    <n v="8.6999999999999994E-2"/>
    <n v="0.114"/>
    <n v="0.15"/>
    <n v="0.14199999999999999"/>
    <n v="7.1999999999999995E-2"/>
    <n v="0.111"/>
    <n v="0.106"/>
    <n v="0.112"/>
    <n v="0.109"/>
    <n v="0.13400000000000001"/>
    <n v="0.14699999999999999"/>
    <n v="0.15"/>
    <n v="0.20100000000000001"/>
    <n v="0.13300000000000001"/>
    <n v="6.6000000000000003E-2"/>
    <n v="3.3620000000000001"/>
  </r>
  <r>
    <x v="4"/>
    <s v="PEST CONTROL"/>
    <s v="SC JOHNSON"/>
    <x v="3"/>
    <x v="0"/>
    <x v="3"/>
    <x v="8"/>
    <x v="3"/>
    <n v="29.614999999999998"/>
    <n v="35.613999999999997"/>
    <n v="51.174999999999997"/>
    <n v="54.045999999999999"/>
    <n v="58.616"/>
    <n v="49.231000000000002"/>
    <n v="45.137"/>
    <n v="42.436999999999998"/>
    <n v="29.01"/>
    <n v="31.271000000000001"/>
    <n v="31.7"/>
    <n v="34.423000000000002"/>
    <n v="22.242000000000001"/>
    <n v="31.419"/>
    <n v="41.731000000000002"/>
    <n v="48.954999999999998"/>
    <n v="51.081000000000003"/>
    <n v="49.276000000000003"/>
    <n v="43.890999999999998"/>
    <n v="37.383000000000003"/>
    <n v="33.284999999999997"/>
    <n v="33.662999999999997"/>
    <n v="31.3"/>
    <n v="34.014000000000003"/>
    <n v="34.756999999999998"/>
    <n v="28.498999999999999"/>
    <n v="35.469000000000001"/>
    <n v="47.542000000000002"/>
    <n v="56.854999999999997"/>
    <n v="53.201000000000001"/>
    <n v="51.545000000000002"/>
    <n v="55.725999999999999"/>
    <n v="45.415999999999997"/>
    <n v="42.101999999999997"/>
    <n v="41.587000000000003"/>
    <n v="33.798999999999999"/>
    <n v="27.334"/>
    <n v="19671.595000000001"/>
  </r>
  <r>
    <x v="4"/>
    <s v="PEST CONTROL"/>
    <s v="SC JOHNSON"/>
    <x v="3"/>
    <x v="0"/>
    <x v="3"/>
    <x v="8"/>
    <x v="4"/>
    <n v="20.750751399999999"/>
    <n v="22.717185199999999"/>
    <n v="24.631376199999998"/>
    <n v="24.811899199999999"/>
    <n v="29.529804500000001"/>
    <n v="26.603307000000001"/>
    <n v="25.553035699999999"/>
    <n v="25.524846499999999"/>
    <n v="21.342487500000001"/>
    <n v="18.163776599999998"/>
    <n v="17.416298900000001"/>
    <n v="17.251882200000001"/>
    <n v="16.608923099999998"/>
    <n v="18.7444059"/>
    <n v="23.250432700000001"/>
    <n v="24.720069200000001"/>
    <n v="27.089269600000002"/>
    <n v="27.724391300000001"/>
    <n v="26.9585641"/>
    <n v="23.9641062"/>
    <n v="19.871413100000002"/>
    <n v="20.101670500000001"/>
    <n v="20.2802711"/>
    <n v="19.011239"/>
    <n v="20.415960200000001"/>
    <n v="21.651988200000002"/>
    <n v="21.8050912"/>
    <n v="27.3698616"/>
    <n v="33.5523296"/>
    <n v="33.7820854"/>
    <n v="33.830112300000003"/>
    <n v="34.8841204"/>
    <n v="28.317586299999999"/>
    <n v="23.179495899999999"/>
    <n v="23.25939"/>
    <n v="19.9518293"/>
    <n v="20.586938400000001"/>
    <n v="27.334"/>
  </r>
  <r>
    <x v="4"/>
    <s v="PEST CONTROL"/>
    <s v="SC JOHNSON"/>
    <x v="3"/>
    <x v="0"/>
    <x v="3"/>
    <x v="8"/>
    <x v="5"/>
    <n v="2.1949999999999998"/>
    <n v="1.9990000000000001"/>
    <n v="2.1480000000000001"/>
    <n v="2.06"/>
    <n v="2.5129999999999999"/>
    <n v="2.4260000000000002"/>
    <n v="2.351"/>
    <n v="2.3730000000000002"/>
    <n v="2.1059999999999999"/>
    <n v="2.04"/>
    <n v="2.2429999999999999"/>
    <n v="2.173"/>
    <n v="2.3090000000000002"/>
    <n v="2.4790000000000001"/>
    <n v="2.2240000000000002"/>
    <n v="2.306"/>
    <n v="2.3959999999999999"/>
    <n v="2.1110000000000002"/>
    <n v="2.2189999999999999"/>
    <n v="1.8480000000000001"/>
    <n v="1.87"/>
    <n v="2.0230000000000001"/>
    <n v="2.0990000000000002"/>
    <n v="2.23"/>
    <n v="2.58"/>
    <n v="2.59"/>
    <n v="2.3519999999999999"/>
    <n v="2.2309999999999999"/>
    <n v="2.7629999999999999"/>
    <n v="2.649"/>
    <n v="2.7389999999999999"/>
    <n v="2.1339999999999999"/>
    <n v="1.8520000000000001"/>
    <n v="1.978"/>
    <n v="2.044"/>
    <n v="2.2629999999999999"/>
    <n v="3.39"/>
    <n v="20.586938400000001"/>
  </r>
  <r>
    <x v="4"/>
    <s v="PEST CONTROL"/>
    <s v="SC JOHNSON"/>
    <x v="3"/>
    <x v="0"/>
    <x v="3"/>
    <x v="9"/>
    <x v="0"/>
    <n v="214.99199999999999"/>
    <n v="585.01400000000001"/>
    <n v="755.89599999999996"/>
    <n v="1089.654"/>
    <n v="1648.2149999999999"/>
    <n v="1386.0070000000001"/>
    <n v="1441.6089999999999"/>
    <n v="531.35599999999999"/>
    <n v="289.35700000000003"/>
    <n v="181.88900000000001"/>
    <n v="109.1"/>
    <n v="92.710999999999999"/>
    <n v="181.55799999999999"/>
    <n v="445.85399999999998"/>
    <n v="1049.3679999999999"/>
    <n v="1698.644"/>
    <n v="1710.547"/>
    <n v="1762.7449999999999"/>
    <n v="2049.0940000000001"/>
    <n v="1243.4490000000001"/>
    <n v="737.72799999999995"/>
    <n v="581.40599999999995"/>
    <n v="370.16500000000002"/>
    <n v="189.619"/>
    <n v="410.23599999999999"/>
    <n v="706.25099999999998"/>
    <n v="1131.7139999999999"/>
    <n v="2619.973"/>
    <n v="3346.8919999999998"/>
    <n v="2420.866"/>
    <n v="2995.9589999999998"/>
    <n v="2729.1689999999999"/>
    <n v="1672.037"/>
    <n v="396.726"/>
    <n v="390.38400000000001"/>
    <n v="180.18899999999999"/>
    <n v="284.20699999999999"/>
    <n v="284.20699999999999"/>
  </r>
  <r>
    <x v="4"/>
    <s v="PEST CONTROL"/>
    <s v="SC JOHNSON"/>
    <x v="3"/>
    <x v="0"/>
    <x v="3"/>
    <x v="9"/>
    <x v="1"/>
    <n v="57368.887999999999"/>
    <n v="175021.174"/>
    <n v="224787.609"/>
    <n v="331436.20699999999"/>
    <n v="491739.97499999998"/>
    <n v="414316.01199999999"/>
    <n v="404642.06199999998"/>
    <n v="148403.24100000001"/>
    <n v="85961.558999999994"/>
    <n v="52293.817000000003"/>
    <n v="35806.785000000003"/>
    <n v="29907.208999999999"/>
    <n v="55163.728999999999"/>
    <n v="130799.45"/>
    <n v="306722.40999999997"/>
    <n v="463874.14299999998"/>
    <n v="508410.13099999999"/>
    <n v="543727.30799999996"/>
    <n v="614734.06499999994"/>
    <n v="400415.652"/>
    <n v="251037.304"/>
    <n v="204574.875"/>
    <n v="119066.59699999999"/>
    <n v="62606.968000000001"/>
    <n v="134137.93700000001"/>
    <n v="234181.80799999999"/>
    <n v="383500.16600000003"/>
    <n v="869673.59400000004"/>
    <n v="1119347.023"/>
    <n v="820486.87600000005"/>
    <n v="1027622.201"/>
    <n v="955970.79399999999"/>
    <n v="593485.29200000002"/>
    <n v="134118.35800000001"/>
    <n v="126171.583"/>
    <n v="60560.828999999998"/>
    <n v="95121.46"/>
    <n v="95121.46"/>
  </r>
  <r>
    <x v="4"/>
    <s v="PEST CONTROL"/>
    <s v="SC JOHNSON"/>
    <x v="3"/>
    <x v="0"/>
    <x v="3"/>
    <x v="9"/>
    <x v="2"/>
    <n v="0.37"/>
    <n v="0.627"/>
    <n v="0.53100000000000003"/>
    <n v="0.62"/>
    <n v="0.622"/>
    <n v="0.56799999999999995"/>
    <n v="0.74"/>
    <n v="0.40699999999999997"/>
    <n v="0.32400000000000001"/>
    <n v="0.30199999999999999"/>
    <n v="0.21"/>
    <n v="0.19500000000000001"/>
    <n v="0.31"/>
    <n v="0.61699999999999999"/>
    <n v="0.84199999999999997"/>
    <n v="0.84399999999999997"/>
    <n v="0.747"/>
    <n v="0.80400000000000005"/>
    <n v="0.93"/>
    <n v="0.78800000000000003"/>
    <n v="0.60799999999999998"/>
    <n v="0.67500000000000004"/>
    <n v="0.51200000000000001"/>
    <n v="0.32100000000000001"/>
    <n v="0.67800000000000005"/>
    <n v="0.90500000000000003"/>
    <n v="1.024"/>
    <n v="1.206"/>
    <n v="0.93300000000000005"/>
    <n v="0.78800000000000003"/>
    <n v="0.68400000000000005"/>
    <n v="0.54800000000000004"/>
    <n v="0.54"/>
    <n v="0.25800000000000001"/>
    <n v="0.42"/>
    <n v="0.29399999999999998"/>
    <n v="0.49299999999999999"/>
    <n v="0.56100000000000005"/>
  </r>
  <r>
    <x v="4"/>
    <s v="PEST CONTROL"/>
    <s v="SC JOHNSON"/>
    <x v="3"/>
    <x v="0"/>
    <x v="3"/>
    <x v="9"/>
    <x v="3"/>
    <n v="45.905999999999999"/>
    <n v="59.228000000000002"/>
    <n v="68.147999999999996"/>
    <n v="62.673000000000002"/>
    <n v="72.498000000000005"/>
    <n v="62.154000000000003"/>
    <n v="58.984999999999999"/>
    <n v="57.482999999999997"/>
    <n v="55.933999999999997"/>
    <n v="48.712000000000003"/>
    <n v="39.53"/>
    <n v="44.664999999999999"/>
    <n v="45.927999999999997"/>
    <n v="62.164000000000001"/>
    <n v="74.596000000000004"/>
    <n v="74.942999999999998"/>
    <n v="72.734999999999999"/>
    <n v="74.102999999999994"/>
    <n v="74.685000000000002"/>
    <n v="70.792000000000002"/>
    <n v="65.019000000000005"/>
    <n v="64.290000000000006"/>
    <n v="62.679000000000002"/>
    <n v="60.261000000000003"/>
    <n v="60.98"/>
    <n v="68.084000000000003"/>
    <n v="75.210999999999999"/>
    <n v="80.305000000000007"/>
    <n v="85.376999999999995"/>
    <n v="83.414000000000001"/>
    <n v="86.856999999999999"/>
    <n v="81.89"/>
    <n v="70.843000000000004"/>
    <n v="60.942"/>
    <n v="54.945"/>
    <n v="41.152000000000001"/>
    <n v="45.664999999999999"/>
    <n v="1708.441"/>
  </r>
  <r>
    <x v="4"/>
    <s v="PEST CONTROL"/>
    <s v="SC JOHNSON"/>
    <x v="3"/>
    <x v="0"/>
    <x v="3"/>
    <x v="9"/>
    <x v="4"/>
    <n v="33.605806600000001"/>
    <n v="37.113169399999997"/>
    <n v="40.225439700000003"/>
    <n v="38.297494299999997"/>
    <n v="40.865250699999997"/>
    <n v="40.846844099999998"/>
    <n v="40.182635900000001"/>
    <n v="37.683335499999998"/>
    <n v="36.131403300000002"/>
    <n v="32.626457100000003"/>
    <n v="29.898154600000002"/>
    <n v="30.170762799999999"/>
    <n v="31.181791199999999"/>
    <n v="36.697672300000001"/>
    <n v="42.055708799999998"/>
    <n v="46.773984900000002"/>
    <n v="45.939404500000002"/>
    <n v="46.816006600000001"/>
    <n v="48.9867992"/>
    <n v="43.575983700000002"/>
    <n v="39.2252455"/>
    <n v="35.346374699999998"/>
    <n v="34.890794399999997"/>
    <n v="34.900228300000002"/>
    <n v="37.360175099999999"/>
    <n v="44.462732899999999"/>
    <n v="45.204667800000003"/>
    <n v="47.124501299999999"/>
    <n v="51.161751700000003"/>
    <n v="53.809267200000001"/>
    <n v="55.982241700000003"/>
    <n v="55.809953700000001"/>
    <n v="51.043688799999998"/>
    <n v="41.382396499999999"/>
    <n v="38.718828100000003"/>
    <n v="36.732194100000001"/>
    <n v="35.2007105"/>
    <n v="45.664999999999999"/>
  </r>
  <r>
    <x v="4"/>
    <s v="PEST CONTROL"/>
    <s v="SC JOHNSON"/>
    <x v="3"/>
    <x v="0"/>
    <x v="3"/>
    <x v="9"/>
    <x v="5"/>
    <n v="3.7090000000000001"/>
    <n v="3.5449999999999999"/>
    <n v="3.036"/>
    <n v="2.8159999999999998"/>
    <n v="2.8580000000000001"/>
    <n v="3.1419999999999999"/>
    <n v="2.714"/>
    <n v="2.9990000000000001"/>
    <n v="3.0990000000000002"/>
    <n v="3.0579999999999998"/>
    <n v="3.1379999999999999"/>
    <n v="3.1240000000000001"/>
    <n v="2.9649999999999999"/>
    <n v="3.1619999999999999"/>
    <n v="3.0179999999999998"/>
    <n v="2.9359999999999999"/>
    <n v="3.1880000000000002"/>
    <n v="3.6"/>
    <n v="3.87"/>
    <n v="4.01"/>
    <n v="4.1680000000000001"/>
    <n v="4.0410000000000004"/>
    <n v="4.2169999999999996"/>
    <n v="4.13"/>
    <n v="4.1680000000000001"/>
    <n v="4.4909999999999997"/>
    <n v="4.1539999999999999"/>
    <n v="3.5830000000000002"/>
    <n v="3.5739999999999998"/>
    <n v="3.6560000000000001"/>
    <n v="3.42"/>
    <n v="3.5579999999999998"/>
    <n v="3.3490000000000002"/>
    <n v="3.3149999999999999"/>
    <n v="3.105"/>
    <n v="3.4609999999999999"/>
    <n v="3.3420000000000001"/>
    <n v="35.2007105"/>
  </r>
  <r>
    <x v="4"/>
    <s v="PEST CONTROL"/>
    <s v="SC JOHNSON"/>
    <x v="3"/>
    <x v="0"/>
    <x v="3"/>
    <x v="10"/>
    <x v="0"/>
    <n v="828.25800000000004"/>
    <n v="1482.2059999999999"/>
    <n v="2520.3989999999999"/>
    <n v="3845.0749999999998"/>
    <n v="6650.5079999999998"/>
    <n v="5303.9160000000002"/>
    <n v="3977.0709999999999"/>
    <n v="2591.35"/>
    <n v="1336.184"/>
    <n v="643.13699999999994"/>
    <n v="635.76400000000001"/>
    <n v="637.77599999999995"/>
    <n v="739.90099999999995"/>
    <n v="1140.838"/>
    <n v="2552.902"/>
    <n v="4455.3149999999996"/>
    <n v="4491.7820000000002"/>
    <n v="3997.1979999999999"/>
    <n v="3847.4560000000001"/>
    <n v="2667.402"/>
    <n v="1994.366"/>
    <n v="1142.5840000000001"/>
    <n v="1281.7850000000001"/>
    <n v="715.26400000000001"/>
    <n v="653.92600000000004"/>
    <n v="1126.52"/>
    <n v="1893.471"/>
    <n v="4036.136"/>
    <n v="6082.875"/>
    <n v="4875.6459999999997"/>
    <n v="7045.4709999999995"/>
    <n v="6181.665"/>
    <n v="4572.0789999999997"/>
    <n v="3180.1570000000002"/>
    <n v="2429.4169999999999"/>
    <n v="1964.819"/>
    <n v="1192.2639999999999"/>
    <n v="13559.546"/>
  </r>
  <r>
    <x v="4"/>
    <s v="PEST CONTROL"/>
    <s v="SC JOHNSON"/>
    <x v="3"/>
    <x v="0"/>
    <x v="3"/>
    <x v="10"/>
    <x v="1"/>
    <n v="166298.962"/>
    <n v="300147.91800000001"/>
    <n v="509811.01400000002"/>
    <n v="671465.71799999999"/>
    <n v="1201693.527"/>
    <n v="981970.32900000003"/>
    <n v="744185.81499999994"/>
    <n v="516795.97600000002"/>
    <n v="275819.09100000001"/>
    <n v="143934.818"/>
    <n v="134058.14300000001"/>
    <n v="140282.674"/>
    <n v="159202.74299999999"/>
    <n v="236373.595"/>
    <n v="581677.18400000001"/>
    <n v="924514.64399999997"/>
    <n v="995116.89300000004"/>
    <n v="953703.04"/>
    <n v="896187.28399999999"/>
    <n v="613705.755"/>
    <n v="444404.47600000002"/>
    <n v="255450.742"/>
    <n v="265465.614"/>
    <n v="153986.196"/>
    <n v="150933.18799999999"/>
    <n v="264499.76899999997"/>
    <n v="451683.69900000002"/>
    <n v="990495.299"/>
    <n v="1519165.781"/>
    <n v="1248072.0519999999"/>
    <n v="1717162.6569999999"/>
    <n v="1523543.6070000001"/>
    <n v="1090060.3999999999"/>
    <n v="731607.77"/>
    <n v="533412.87699999998"/>
    <n v="374525.712"/>
    <n v="252152.76500000001"/>
    <n v="252152.76500000001"/>
  </r>
  <r>
    <x v="4"/>
    <s v="PEST CONTROL"/>
    <s v="SC JOHNSON"/>
    <x v="3"/>
    <x v="0"/>
    <x v="3"/>
    <x v="10"/>
    <x v="2"/>
    <n v="0.61899999999999999"/>
    <n v="0.61299999999999999"/>
    <n v="0.67"/>
    <n v="0.83399999999999996"/>
    <n v="0.95299999999999996"/>
    <n v="0.84"/>
    <n v="0.87"/>
    <n v="0.84099999999999997"/>
    <n v="0.65500000000000003"/>
    <n v="0.47499999999999998"/>
    <n v="0.45900000000000002"/>
    <n v="0.51900000000000002"/>
    <n v="0.46800000000000003"/>
    <n v="0.54600000000000004"/>
    <n v="0.76500000000000001"/>
    <n v="0.90200000000000002"/>
    <n v="0.79500000000000004"/>
    <n v="0.72099999999999997"/>
    <n v="0.71299999999999997"/>
    <n v="0.65300000000000002"/>
    <n v="0.63100000000000001"/>
    <n v="0.52700000000000002"/>
    <n v="0.56999999999999995"/>
    <n v="0.438"/>
    <n v="0.442"/>
    <n v="0.504"/>
    <n v="0.61299999999999999"/>
    <n v="0.64100000000000001"/>
    <n v="0.6"/>
    <n v="0.60499999999999998"/>
    <n v="0.54"/>
    <n v="0.442"/>
    <n v="0.53700000000000003"/>
    <n v="0.72199999999999998"/>
    <n v="0.79200000000000004"/>
    <n v="0.78500000000000003"/>
    <n v="0.56000000000000005"/>
    <n v="26.759"/>
  </r>
  <r>
    <x v="4"/>
    <s v="PEST CONTROL"/>
    <s v="SC JOHNSON"/>
    <x v="3"/>
    <x v="0"/>
    <x v="3"/>
    <x v="10"/>
    <x v="3"/>
    <n v="58.521999999999998"/>
    <n v="71.146000000000001"/>
    <n v="72.429000000000002"/>
    <n v="74.239999999999995"/>
    <n v="79.305000000000007"/>
    <n v="78.013999999999996"/>
    <n v="78.53"/>
    <n v="74.954999999999998"/>
    <n v="76.043000000000006"/>
    <n v="72.537000000000006"/>
    <n v="65.888999999999996"/>
    <n v="66.12"/>
    <n v="62.622999999999998"/>
    <n v="66.051000000000002"/>
    <n v="83.6"/>
    <n v="83.534000000000006"/>
    <n v="83.25"/>
    <n v="83.626000000000005"/>
    <n v="80.322000000000003"/>
    <n v="78.179000000000002"/>
    <n v="75.849000000000004"/>
    <n v="76.335999999999999"/>
    <n v="73.81"/>
    <n v="67.84"/>
    <n v="65.644999999999996"/>
    <n v="72.393000000000001"/>
    <n v="82.611999999999995"/>
    <n v="86.793999999999997"/>
    <n v="92.087000000000003"/>
    <n v="86.522999999999996"/>
    <n v="88.096000000000004"/>
    <n v="86.367999999999995"/>
    <n v="82.891999999999996"/>
    <n v="80.89"/>
    <n v="79.667000000000002"/>
    <n v="72.873000000000005"/>
    <n v="70.911000000000001"/>
    <n v="42109.978000000003"/>
  </r>
  <r>
    <x v="4"/>
    <s v="PEST CONTROL"/>
    <s v="SC JOHNSON"/>
    <x v="3"/>
    <x v="0"/>
    <x v="3"/>
    <x v="10"/>
    <x v="4"/>
    <n v="41.415691099999997"/>
    <n v="44.623835499999998"/>
    <n v="46.003120099999997"/>
    <n v="45.9826798"/>
    <n v="48.064982399999998"/>
    <n v="53.283673100000001"/>
    <n v="54.078251399999999"/>
    <n v="50.257137999999998"/>
    <n v="48.330500800000003"/>
    <n v="42.830435399999999"/>
    <n v="42.083894999999998"/>
    <n v="42.928833699999998"/>
    <n v="44.307364100000001"/>
    <n v="46.050695599999997"/>
    <n v="56.163672099999999"/>
    <n v="57.829619299999997"/>
    <n v="61.109963299999997"/>
    <n v="60.2448257"/>
    <n v="56.845206500000003"/>
    <n v="55.315870799999999"/>
    <n v="54.738964600000003"/>
    <n v="53.875012099999999"/>
    <n v="52.4473743"/>
    <n v="48.305731899999998"/>
    <n v="49.157526099999998"/>
    <n v="56.404477999999997"/>
    <n v="61.0862044"/>
    <n v="62.748465500000002"/>
    <n v="67.083573900000005"/>
    <n v="63.0424668"/>
    <n v="61.998549099999998"/>
    <n v="62.209248299999999"/>
    <n v="60.0211179"/>
    <n v="56.432583899999997"/>
    <n v="53.944268399999999"/>
    <n v="47.270661500000003"/>
    <n v="49.3943382"/>
    <n v="70.911000000000001"/>
  </r>
  <r>
    <x v="4"/>
    <s v="PEST CONTROL"/>
    <s v="SC JOHNSON"/>
    <x v="3"/>
    <x v="0"/>
    <x v="3"/>
    <x v="10"/>
    <x v="5"/>
    <n v="6.452"/>
    <n v="5.9390000000000001"/>
    <n v="6.4450000000000003"/>
    <n v="5.9189999999999996"/>
    <n v="4.9550000000000001"/>
    <n v="5.1689999999999996"/>
    <n v="5.3419999999999996"/>
    <n v="5.2519999999999998"/>
    <n v="5.8289999999999997"/>
    <n v="5.9720000000000004"/>
    <n v="5.8620000000000001"/>
    <n v="5.6159999999999997"/>
    <n v="6.1479999999999997"/>
    <n v="6.18"/>
    <n v="6.9610000000000003"/>
    <n v="5.9829999999999997"/>
    <n v="5.7240000000000002"/>
    <n v="5.6349999999999998"/>
    <n v="5.7409999999999997"/>
    <n v="5.702"/>
    <n v="6.242"/>
    <n v="6.4180000000000001"/>
    <n v="5.8650000000000002"/>
    <n v="6.0140000000000002"/>
    <n v="6.3289999999999997"/>
    <n v="6.5780000000000003"/>
    <n v="6.02"/>
    <n v="6.3159999999999998"/>
    <n v="6.5979999999999999"/>
    <n v="6.2510000000000003"/>
    <n v="6.7869999999999999"/>
    <n v="6.4560000000000004"/>
    <n v="7.9809999999999999"/>
    <n v="7.008"/>
    <n v="6.1769999999999996"/>
    <n v="5.274"/>
    <n v="5.68"/>
    <n v="49.3943382"/>
  </r>
  <r>
    <x v="4"/>
    <s v="PEST CONTROL"/>
    <s v="SC JOHNSON"/>
    <x v="4"/>
    <x v="6"/>
    <x v="3"/>
    <x v="0"/>
    <x v="0"/>
    <n v="162.72800000000001"/>
    <n v="256.09399999999999"/>
    <n v="423.28800000000001"/>
    <n v="497.15499999999997"/>
    <n v="677.20799999999997"/>
    <n v="525.80700000000002"/>
    <n v="452.09899999999999"/>
    <n v="285.40800000000002"/>
    <n v="214.78100000000001"/>
    <n v="131.06299999999999"/>
    <n v="181.982"/>
    <n v="163.11099999999999"/>
    <n v="77.186999999999998"/>
    <n v="188.40700000000001"/>
    <n v="452.12700000000001"/>
    <n v="420.55500000000001"/>
    <n v="537.20299999999997"/>
    <n v="505.09199999999998"/>
    <n v="378.22500000000002"/>
    <n v="274.209"/>
    <n v="252.959"/>
    <n v="303.35399999999998"/>
    <n v="181.636"/>
    <n v="164.81899999999999"/>
    <n v="179.40700000000001"/>
    <n v="283.04300000000001"/>
    <n v="156.16"/>
    <n v="221.684"/>
    <n v="362.89100000000002"/>
    <n v="444.529"/>
    <n v="534.21900000000005"/>
    <n v="519.88"/>
    <n v="430.51799999999997"/>
    <n v="361.22899999999998"/>
    <n v="197.792"/>
    <n v="227.08799999999999"/>
    <n v="267.221"/>
    <n v="267.221"/>
  </r>
  <r>
    <x v="4"/>
    <s v="PEST CONTROL"/>
    <s v="SC JOHNSON"/>
    <x v="4"/>
    <x v="6"/>
    <x v="3"/>
    <x v="0"/>
    <x v="1"/>
    <n v="31395.982"/>
    <n v="53472.587"/>
    <n v="88033.328999999998"/>
    <n v="105693.98299999999"/>
    <n v="142675.76699999999"/>
    <n v="112802.156"/>
    <n v="98727.88"/>
    <n v="58871.964"/>
    <n v="44070.968999999997"/>
    <n v="27991.791000000001"/>
    <n v="40349.317000000003"/>
    <n v="37221.053999999996"/>
    <n v="18401.971000000001"/>
    <n v="45045.610999999997"/>
    <n v="98125.008000000002"/>
    <n v="90674.928"/>
    <n v="104990.33199999999"/>
    <n v="106315.92"/>
    <n v="76324.224000000002"/>
    <n v="53410.055"/>
    <n v="48147.084999999999"/>
    <n v="56731.076000000001"/>
    <n v="33797.167000000001"/>
    <n v="30879.415000000001"/>
    <n v="33259.110999999997"/>
    <n v="54966.985000000001"/>
    <n v="32149.021000000001"/>
    <n v="44610.824999999997"/>
    <n v="67639.672000000006"/>
    <n v="85619.971999999994"/>
    <n v="111642.276"/>
    <n v="109433.651"/>
    <n v="85457.267999999996"/>
    <n v="74817.039000000004"/>
    <n v="39500.438999999998"/>
    <n v="44457.597999999998"/>
    <n v="52135.574999999997"/>
    <n v="52135.574999999997"/>
  </r>
  <r>
    <x v="4"/>
    <s v="PEST CONTROL"/>
    <s v="SC JOHNSON"/>
    <x v="4"/>
    <x v="6"/>
    <x v="3"/>
    <x v="0"/>
    <x v="2"/>
    <n v="2.3079999999999998"/>
    <n v="2.3050000000000002"/>
    <n v="2.4769999999999999"/>
    <n v="2.375"/>
    <n v="2.1309999999999998"/>
    <n v="1.7609999999999999"/>
    <n v="1.8919999999999999"/>
    <n v="1.792"/>
    <n v="1.982"/>
    <n v="1.7829999999999999"/>
    <n v="2.9670000000000001"/>
    <n v="2.9950000000000001"/>
    <n v="1.119"/>
    <n v="2.242"/>
    <n v="3.0009999999999999"/>
    <n v="1.6910000000000001"/>
    <n v="1.891"/>
    <n v="1.885"/>
    <n v="1.3979999999999999"/>
    <n v="1.4019999999999999"/>
    <n v="1.702"/>
    <n v="2.8319999999999999"/>
    <n v="2.0779999999999998"/>
    <n v="2.3079999999999998"/>
    <n v="2.4780000000000002"/>
    <n v="2.9780000000000002"/>
    <n v="1.171"/>
    <n v="0.84199999999999997"/>
    <n v="0.83199999999999996"/>
    <n v="1.169"/>
    <n v="0.98399999999999999"/>
    <n v="0.85399999999999998"/>
    <n v="1.133"/>
    <n v="1.911"/>
    <n v="1.704"/>
    <n v="2.9950000000000001"/>
    <n v="3.75"/>
    <n v="0.52700000000000002"/>
  </r>
  <r>
    <x v="4"/>
    <s v="PEST CONTROL"/>
    <s v="SC JOHNSON"/>
    <x v="4"/>
    <x v="6"/>
    <x v="3"/>
    <x v="0"/>
    <x v="3"/>
    <n v="34.273000000000003"/>
    <n v="34.280999999999999"/>
    <n v="43.924999999999997"/>
    <n v="45.445999999999998"/>
    <n v="49.588999999999999"/>
    <n v="42.709000000000003"/>
    <n v="40.17"/>
    <n v="34.381999999999998"/>
    <n v="32.371000000000002"/>
    <n v="32.606000000000002"/>
    <n v="28.843"/>
    <n v="31.259"/>
    <n v="27.620999999999999"/>
    <n v="31.596"/>
    <n v="47.484999999999999"/>
    <n v="47.308"/>
    <n v="42.929000000000002"/>
    <n v="35.253"/>
    <n v="26.614000000000001"/>
    <n v="28.452999999999999"/>
    <n v="31.283000000000001"/>
    <n v="35.094999999999999"/>
    <n v="38.112000000000002"/>
    <n v="34.972999999999999"/>
    <n v="33.954000000000001"/>
    <n v="26.341999999999999"/>
    <n v="23.378"/>
    <n v="15.077"/>
    <n v="18.265000000000001"/>
    <n v="22.553000000000001"/>
    <n v="20.373999999999999"/>
    <n v="18.952000000000002"/>
    <n v="34.622"/>
    <n v="37.872999999999998"/>
    <n v="34.747"/>
    <n v="34.712000000000003"/>
    <n v="22.221"/>
    <n v="437.98399999999998"/>
  </r>
  <r>
    <x v="4"/>
    <s v="PEST CONTROL"/>
    <s v="SC JOHNSON"/>
    <x v="4"/>
    <x v="6"/>
    <x v="3"/>
    <x v="0"/>
    <x v="4"/>
    <n v="18.440815799999999"/>
    <n v="18.783185499999998"/>
    <n v="22.399256699999999"/>
    <n v="22.089424399999999"/>
    <n v="23.037308700000001"/>
    <n v="22.5842174"/>
    <n v="21.991532599999999"/>
    <n v="20.1451736"/>
    <n v="19.5826283"/>
    <n v="17.324929000000001"/>
    <n v="14.3661803"/>
    <n v="14.552687499999999"/>
    <n v="14.1197453"/>
    <n v="15.381751"/>
    <n v="21.7134897"/>
    <n v="23.644890100000001"/>
    <n v="21.437100099999999"/>
    <n v="19.379287900000001"/>
    <n v="17.109855100000001"/>
    <n v="15.6610371"/>
    <n v="13.7929967"/>
    <n v="13.6914295"/>
    <n v="14.272056299999999"/>
    <n v="13.326361800000001"/>
    <n v="13.9175038"/>
    <n v="13.955443600000001"/>
    <n v="15.147417600000001"/>
    <n v="15.9894313"/>
    <n v="18.907585699999998"/>
    <n v="17.568449300000001"/>
    <n v="17.570998299999999"/>
    <n v="16.198738899999999"/>
    <n v="16.034524099999999"/>
    <n v="15.437010600000001"/>
    <n v="14.312848499999999"/>
    <n v="13.531596"/>
    <n v="13.1587551"/>
    <n v="22.221"/>
  </r>
  <r>
    <x v="4"/>
    <s v="PEST CONTROL"/>
    <s v="SC JOHNSON"/>
    <x v="4"/>
    <x v="6"/>
    <x v="3"/>
    <x v="0"/>
    <x v="5"/>
    <n v="0.78500000000000003"/>
    <n v="0.69499999999999995"/>
    <n v="0.879"/>
    <n v="0.72"/>
    <n v="0.66300000000000003"/>
    <n v="0.84899999999999998"/>
    <n v="0.99099999999999999"/>
    <n v="1.0820000000000001"/>
    <n v="0.95299999999999996"/>
    <n v="0.92800000000000005"/>
    <n v="0.70499999999999996"/>
    <n v="0.68700000000000006"/>
    <n v="0.745"/>
    <n v="0.60699999999999998"/>
    <n v="0.77600000000000002"/>
    <n v="0.79100000000000004"/>
    <n v="1.03"/>
    <n v="1.022"/>
    <n v="0.78200000000000003"/>
    <n v="0.95299999999999996"/>
    <n v="1.046"/>
    <n v="0.84899999999999998"/>
    <n v="0.84899999999999998"/>
    <n v="0.91300000000000003"/>
    <n v="0.78800000000000003"/>
    <n v="0.746"/>
    <n v="0.89800000000000002"/>
    <n v="0.84799999999999998"/>
    <n v="1.1020000000000001"/>
    <n v="0.85"/>
    <n v="0.91"/>
    <n v="0.78900000000000003"/>
    <n v="0.86899999999999999"/>
    <n v="0.85799999999999998"/>
    <n v="0.97799999999999998"/>
    <n v="0.91500000000000004"/>
    <n v="0.78"/>
    <n v="13.1587551"/>
  </r>
  <r>
    <x v="5"/>
    <s v="PEST CONTROL"/>
    <s v="SC JOHNSON"/>
    <x v="0"/>
    <x v="0"/>
    <x v="0"/>
    <x v="0"/>
    <x v="0"/>
    <n v="255.381"/>
    <n v="671.75800000000004"/>
    <n v="517.26300000000003"/>
    <n v="860.02499999999998"/>
    <n v="1470.4949999999999"/>
    <n v="1638.325"/>
    <n v="1358.6189999999999"/>
    <n v="959.69600000000003"/>
    <n v="625.32500000000005"/>
    <n v="364.48599999999999"/>
    <n v="291.61099999999999"/>
    <n v="326.08800000000002"/>
    <n v="313.42399999999998"/>
    <n v="353.40600000000001"/>
    <n v="430.13299999999998"/>
    <n v="660.3"/>
    <n v="1075.549"/>
    <n v="1205.76"/>
    <n v="1449.0450000000001"/>
    <n v="667.14599999999996"/>
    <n v="306.62"/>
    <n v="362.05599999999998"/>
    <n v="279.935"/>
    <n v="241.905"/>
    <n v="150.80099999999999"/>
    <n v="188.24"/>
    <n v="548.67899999999997"/>
    <n v="1155.7149999999999"/>
    <n v="2425.4780000000001"/>
    <n v="2728.1959999999999"/>
    <n v="3613.2280000000001"/>
    <n v="5164.1369999999997"/>
    <n v="2271.3960000000002"/>
    <n v="614.19100000000003"/>
    <n v="230.84800000000001"/>
    <n v="131.65299999999999"/>
    <n v="225.38200000000001"/>
    <n v="225.38200000000001"/>
  </r>
  <r>
    <x v="5"/>
    <s v="PEST CONTROL"/>
    <s v="SC JOHNSON"/>
    <x v="0"/>
    <x v="0"/>
    <x v="0"/>
    <x v="0"/>
    <x v="1"/>
    <n v="41588.089999999997"/>
    <n v="109265.399"/>
    <n v="86531.399000000005"/>
    <n v="141826.258"/>
    <n v="248695.45199999999"/>
    <n v="283097.136"/>
    <n v="245167.28400000001"/>
    <n v="170475.236"/>
    <n v="115150.781"/>
    <n v="69042.308999999994"/>
    <n v="55131.218999999997"/>
    <n v="56458.608999999997"/>
    <n v="54464.476000000002"/>
    <n v="63756.095000000001"/>
    <n v="76896.434999999998"/>
    <n v="119347.77499999999"/>
    <n v="199737.34400000001"/>
    <n v="215456.29500000001"/>
    <n v="262692.95699999999"/>
    <n v="118658.197"/>
    <n v="50968.074000000001"/>
    <n v="67610.817999999999"/>
    <n v="52368.654999999999"/>
    <n v="47005"/>
    <n v="32233.313999999998"/>
    <n v="41843.063999999998"/>
    <n v="113787.757"/>
    <n v="233191.37"/>
    <n v="485383.674"/>
    <n v="570880.75199999998"/>
    <n v="806934.50100000005"/>
    <n v="1075515.497"/>
    <n v="489533.41100000002"/>
    <n v="130910.355"/>
    <n v="46646.993999999999"/>
    <n v="28388.478999999999"/>
    <n v="51246.786999999997"/>
    <n v="51246.786999999997"/>
  </r>
  <r>
    <x v="5"/>
    <s v="PEST CONTROL"/>
    <s v="SC JOHNSON"/>
    <x v="0"/>
    <x v="0"/>
    <x v="0"/>
    <x v="0"/>
    <x v="2"/>
    <n v="0.22500000000000001"/>
    <n v="0.434"/>
    <n v="0.26900000000000002"/>
    <n v="0.34699999999999998"/>
    <n v="0.495"/>
    <n v="0.50900000000000001"/>
    <n v="0.45900000000000002"/>
    <n v="0.41599999999999998"/>
    <n v="0.374"/>
    <n v="0.29699999999999999"/>
    <n v="0.27600000000000002"/>
    <n v="0.32"/>
    <n v="0.28599999999999998"/>
    <n v="0.25600000000000001"/>
    <n v="0.22500000000000001"/>
    <n v="0.28199999999999997"/>
    <n v="0.38300000000000001"/>
    <n v="0.47099999999999997"/>
    <n v="0.52700000000000002"/>
    <n v="0.30299999999999999"/>
    <n v="0.16600000000000001"/>
    <n v="0.23300000000000001"/>
    <n v="0.221"/>
    <n v="0.23699999999999999"/>
    <n v="0.13800000000000001"/>
    <n v="0.14099999999999999"/>
    <n v="0.32300000000000001"/>
    <n v="0.46899999999999997"/>
    <n v="0.85699999999999998"/>
    <n v="0.84"/>
    <n v="0.98199999999999998"/>
    <n v="1.429"/>
    <n v="0.84199999999999997"/>
    <n v="0.28899999999999998"/>
    <n v="0.14799999999999999"/>
    <n v="0.125"/>
    <n v="0.26200000000000001"/>
    <n v="9.4E-2"/>
  </r>
  <r>
    <x v="5"/>
    <s v="PEST CONTROL"/>
    <s v="SC JOHNSON"/>
    <x v="0"/>
    <x v="0"/>
    <x v="0"/>
    <x v="0"/>
    <x v="3"/>
    <n v="27.204999999999998"/>
    <n v="29.846"/>
    <n v="32.58"/>
    <n v="33.466999999999999"/>
    <n v="37.552999999999997"/>
    <n v="30.164999999999999"/>
    <n v="33.043999999999997"/>
    <n v="30.602"/>
    <n v="29.146999999999998"/>
    <n v="25.024999999999999"/>
    <n v="26.66"/>
    <n v="29.785"/>
    <n v="29.422000000000001"/>
    <n v="27.908000000000001"/>
    <n v="34.906999999999996"/>
    <n v="34.887"/>
    <n v="37.710999999999999"/>
    <n v="35.895000000000003"/>
    <n v="35.195"/>
    <n v="34.360999999999997"/>
    <n v="23.433"/>
    <n v="21.991"/>
    <n v="21.382999999999999"/>
    <n v="19.661999999999999"/>
    <n v="21.100999999999999"/>
    <n v="21.645"/>
    <n v="29.492999999999999"/>
    <n v="40.378"/>
    <n v="43.601999999999997"/>
    <n v="41.179000000000002"/>
    <n v="48.753999999999998"/>
    <n v="53.9"/>
    <n v="34.753999999999998"/>
    <n v="29.012"/>
    <n v="19.494"/>
    <n v="18.530999999999999"/>
    <n v="19.765999999999998"/>
    <n v="987.84199999999998"/>
  </r>
  <r>
    <x v="5"/>
    <s v="PEST CONTROL"/>
    <s v="SC JOHNSON"/>
    <x v="0"/>
    <x v="0"/>
    <x v="0"/>
    <x v="0"/>
    <x v="4"/>
    <n v="14.392811200000001"/>
    <n v="17.014689300000001"/>
    <n v="17.847435999999998"/>
    <n v="17.482610600000001"/>
    <n v="19.746943600000002"/>
    <n v="17.749654400000001"/>
    <n v="16.975060500000001"/>
    <n v="14.872647799999999"/>
    <n v="15.050223799999999"/>
    <n v="14.4486662"/>
    <n v="14.372882799999999"/>
    <n v="14.4631896"/>
    <n v="13.3967575"/>
    <n v="14.818320999999999"/>
    <n v="15.2334236"/>
    <n v="15.6289505"/>
    <n v="16.8810666"/>
    <n v="19.342737199999998"/>
    <n v="17.794127199999998"/>
    <n v="17.063150100000001"/>
    <n v="13.918184999999999"/>
    <n v="13.731480899999999"/>
    <n v="13.8071821"/>
    <n v="13.4325726"/>
    <n v="14.5908909"/>
    <n v="15.521081000000001"/>
    <n v="16.826437500000001"/>
    <n v="18.708257100000001"/>
    <n v="22.306445100000001"/>
    <n v="22.297176499999999"/>
    <n v="27.2380675"/>
    <n v="28.2352442"/>
    <n v="21.0868565"/>
    <n v="16.042973799999999"/>
    <n v="9.4400601000000002"/>
    <n v="9.8190282999999994"/>
    <n v="10.814977600000001"/>
    <n v="19.765999999999998"/>
  </r>
  <r>
    <x v="5"/>
    <s v="PEST CONTROL"/>
    <s v="SC JOHNSON"/>
    <x v="0"/>
    <x v="0"/>
    <x v="0"/>
    <x v="0"/>
    <x v="5"/>
    <n v="0.82499999999999996"/>
    <n v="0.74"/>
    <n v="0.748"/>
    <n v="0.58799999999999997"/>
    <n v="0.90300000000000002"/>
    <n v="0.67900000000000005"/>
    <n v="0.89200000000000002"/>
    <n v="0.77900000000000003"/>
    <n v="0.78600000000000003"/>
    <n v="0.54300000000000004"/>
    <n v="0.66600000000000004"/>
    <n v="0.68500000000000005"/>
    <n v="0.63"/>
    <n v="0.48099999999999998"/>
    <n v="1.0449999999999999"/>
    <n v="0.78500000000000003"/>
    <n v="0.748"/>
    <n v="0.84"/>
    <n v="0.68799999999999994"/>
    <n v="0.56200000000000006"/>
    <n v="0.47499999999999998"/>
    <n v="0.55800000000000005"/>
    <n v="0.57899999999999996"/>
    <n v="0.50900000000000001"/>
    <n v="0.66800000000000004"/>
    <n v="0.65200000000000002"/>
    <n v="0.52"/>
    <n v="0.60399999999999998"/>
    <n v="0.46100000000000002"/>
    <n v="0.60699999999999998"/>
    <n v="1.153"/>
    <n v="0.92300000000000004"/>
    <n v="0.66300000000000003"/>
    <n v="0.61699999999999999"/>
    <n v="0.437"/>
    <n v="0.438"/>
    <n v="0.48"/>
    <n v="10.814977600000001"/>
  </r>
  <r>
    <x v="5"/>
    <s v="PEST CONTROL"/>
    <s v="SC JOHNSON"/>
    <x v="0"/>
    <x v="0"/>
    <x v="0"/>
    <x v="1"/>
    <x v="0"/>
    <n v="105.467"/>
    <n v="74.135999999999996"/>
    <n v="81.525999999999996"/>
    <n v="84.236999999999995"/>
    <n v="194.328"/>
    <n v="176.74100000000001"/>
    <n v="5"/>
    <n v="94.350999999999999"/>
    <n v="64.162999999999997"/>
    <n v="63.162999999999997"/>
    <n v="63.162999999999997"/>
    <n v="60.113"/>
    <n v="79.753"/>
    <n v="116.29300000000001"/>
    <n v="59.91"/>
    <n v="19.53"/>
    <n v="0"/>
    <n v="0"/>
    <n v="20.51"/>
    <n v="14.391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0"/>
    <x v="0"/>
    <x v="0"/>
    <x v="1"/>
    <x v="1"/>
    <n v="10796.916999999999"/>
    <n v="6369.9290000000001"/>
    <n v="6903.1639999999998"/>
    <n v="7474.6559999999999"/>
    <n v="18564.466"/>
    <n v="15326.617"/>
    <n v="357.5"/>
    <n v="8800.4069999999992"/>
    <n v="5767.665"/>
    <n v="5684.665"/>
    <n v="5684.665"/>
    <n v="5410.1760000000004"/>
    <n v="7318.0060000000003"/>
    <n v="10466.405000000001"/>
    <n v="3594.5929999999998"/>
    <n v="1913.9880000000001"/>
    <n v="0"/>
    <n v="0"/>
    <n v="1620.252"/>
    <n v="1136.93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0"/>
    <x v="0"/>
    <x v="0"/>
    <x v="1"/>
    <x v="2"/>
    <n v="3.4000000000000002E-2"/>
    <n v="1.7000000000000001E-2"/>
    <n v="1.4999999999999999E-2"/>
    <n v="1.2E-2"/>
    <n v="2.4E-2"/>
    <n v="0.02"/>
    <n v="1E-3"/>
    <n v="1.4999999999999999E-2"/>
    <n v="1.4E-2"/>
    <n v="1.9E-2"/>
    <n v="2.1999999999999999E-2"/>
    <n v="2.1000000000000001E-2"/>
    <n v="2.5999999999999999E-2"/>
    <n v="3.1E-2"/>
    <n v="1.0999999999999999E-2"/>
    <n v="3.0000000000000001E-3"/>
    <n v="0"/>
    <n v="0"/>
    <n v="3.0000000000000001E-3"/>
    <n v="2E-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0"/>
    <x v="0"/>
    <x v="0"/>
    <x v="1"/>
    <x v="3"/>
    <n v="4.9749999999999996"/>
    <n v="3.8130000000000002"/>
    <n v="7.4980000000000002"/>
    <n v="5.6660000000000004"/>
    <n v="6.718"/>
    <n v="5.359"/>
    <n v="5.0129999999999999"/>
    <n v="5.7629999999999999"/>
    <n v="5.0069999999999997"/>
    <n v="6.8250000000000002"/>
    <n v="6.02"/>
    <n v="4.7169999999999996"/>
    <n v="7.01"/>
    <n v="4.851"/>
    <n v="5.4909999999999997"/>
    <n v="4.5010000000000003"/>
    <n v="6.1989999999999998"/>
    <n v="5.1740000000000004"/>
    <n v="3.9529999999999998"/>
    <n v="4.21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0"/>
    <x v="0"/>
    <x v="0"/>
    <x v="1"/>
    <x v="4"/>
    <n v="4.0570048999999999"/>
    <n v="2.8293697"/>
    <n v="3.9544052000000001"/>
    <n v="3.7102602"/>
    <n v="3.5880941000000002"/>
    <n v="3.6275743"/>
    <n v="3.3254893000000001"/>
    <n v="3.8401405999999998"/>
    <n v="3.7501262999999998"/>
    <n v="3.7123401999999999"/>
    <n v="3.7132809"/>
    <n v="3.5441364000000002"/>
    <n v="3.5864606000000001"/>
    <n v="3.4858896000000001"/>
    <n v="2.9185580999999998"/>
    <n v="1.8940695999999999"/>
    <n v="0.94568839999999998"/>
    <n v="0.9456985"/>
    <n v="1.1181053000000001"/>
    <n v="1.11808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0"/>
    <x v="0"/>
    <x v="0"/>
    <x v="1"/>
    <x v="5"/>
    <n v="0.13800000000000001"/>
    <n v="9.9000000000000005E-2"/>
    <n v="0.1"/>
    <n v="0.14899999999999999"/>
    <n v="0.11600000000000001"/>
    <n v="7.2999999999999995E-2"/>
    <n v="0.08"/>
    <n v="0.17199999999999999"/>
    <n v="0.21199999999999999"/>
    <n v="0.20399999999999999"/>
    <n v="0.21099999999999999"/>
    <n v="0.192"/>
    <n v="0.18099999999999999"/>
    <n v="5.8000000000000003E-2"/>
    <n v="1.7999999999999999E-2"/>
    <n v="8.0000000000000002E-3"/>
    <n v="8.0000000000000002E-3"/>
    <n v="8.9999999999999993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0"/>
    <x v="0"/>
    <x v="1"/>
    <x v="0"/>
    <x v="0"/>
    <n v="853.04600000000005"/>
    <n v="1800.9929999999999"/>
    <n v="2899.13"/>
    <n v="3499.85"/>
    <n v="6949.7280000000001"/>
    <n v="6611.3860000000004"/>
    <n v="5000.1009999999997"/>
    <n v="2949.2959999999998"/>
    <n v="1588.211"/>
    <n v="1085.271"/>
    <n v="924.447"/>
    <n v="732.32"/>
    <n v="691.73299999999995"/>
    <n v="715.71699999999998"/>
    <n v="1849.576"/>
    <n v="3301.556"/>
    <n v="4603.84"/>
    <n v="4519.2250000000004"/>
    <n v="4921.07"/>
    <n v="3052.393"/>
    <n v="2001.9659999999999"/>
    <n v="1142.682"/>
    <n v="787.77800000000002"/>
    <n v="558.54300000000001"/>
    <n v="610.83699999999999"/>
    <n v="1054.472"/>
    <n v="1803.192"/>
    <n v="4889.6970000000001"/>
    <n v="9327.9680000000008"/>
    <n v="9081.8469999999998"/>
    <n v="12019.737999999999"/>
    <n v="14862.975"/>
    <n v="5709.06"/>
    <n v="2352.8969999999999"/>
    <n v="1569.039"/>
    <n v="821.505"/>
    <n v="796.75699999999995"/>
    <n v="796.75699999999995"/>
  </r>
  <r>
    <x v="5"/>
    <s v="PEST CONTROL"/>
    <s v="SC JOHNSON"/>
    <x v="0"/>
    <x v="0"/>
    <x v="1"/>
    <x v="0"/>
    <x v="1"/>
    <n v="211316.76199999999"/>
    <n v="489584.16499999998"/>
    <n v="793266.81599999999"/>
    <n v="981239.10600000003"/>
    <n v="1963668.5889999999"/>
    <n v="1880173.9069999999"/>
    <n v="1411859.628"/>
    <n v="845703.98100000003"/>
    <n v="461441.72200000001"/>
    <n v="321984.92599999998"/>
    <n v="261981.53599999999"/>
    <n v="207356.15100000001"/>
    <n v="196368.579"/>
    <n v="215165.899"/>
    <n v="541716.14599999995"/>
    <n v="937171.04299999995"/>
    <n v="1305661.2290000001"/>
    <n v="1264618.1640000001"/>
    <n v="1403301.108"/>
    <n v="843483.65800000005"/>
    <n v="532512.13399999996"/>
    <n v="300366.16399999999"/>
    <n v="215255.19200000001"/>
    <n v="158373.497"/>
    <n v="169938.43100000001"/>
    <n v="284026.80200000003"/>
    <n v="551132.34699999995"/>
    <n v="1598530.355"/>
    <n v="3110736.932"/>
    <n v="2891852.3309999998"/>
    <n v="4043019.6680000001"/>
    <n v="5278967.3849999998"/>
    <n v="2012908.0819999999"/>
    <n v="814536.174"/>
    <n v="482098.41399999999"/>
    <n v="263640.31599999999"/>
    <n v="271140.79499999998"/>
    <n v="271140.79499999998"/>
  </r>
  <r>
    <x v="5"/>
    <s v="PEST CONTROL"/>
    <s v="SC JOHNSON"/>
    <x v="0"/>
    <x v="0"/>
    <x v="1"/>
    <x v="0"/>
    <x v="2"/>
    <n v="0.76900000000000002"/>
    <n v="1.1830000000000001"/>
    <n v="1.5449999999999999"/>
    <n v="1.4710000000000001"/>
    <n v="2.4529999999999998"/>
    <n v="2.1240000000000001"/>
    <n v="1.756"/>
    <n v="1.3169999999999999"/>
    <n v="0.96399999999999997"/>
    <n v="0.90400000000000003"/>
    <n v="0.88400000000000001"/>
    <n v="0.72799999999999998"/>
    <n v="0.65600000000000003"/>
    <n v="0.53700000000000003"/>
    <n v="0.99399999999999999"/>
    <n v="1.4379999999999999"/>
    <n v="1.677"/>
    <n v="1.7969999999999999"/>
    <n v="1.82"/>
    <n v="1.41"/>
    <n v="1.0920000000000001"/>
    <n v="0.745"/>
    <n v="0.63"/>
    <n v="0.55000000000000004"/>
    <n v="0.58899999999999997"/>
    <n v="0.82499999999999996"/>
    <n v="1.073"/>
    <n v="2.0209999999999999"/>
    <n v="3.3570000000000002"/>
    <n v="2.8519999999999999"/>
    <n v="3.3450000000000002"/>
    <n v="4.2089999999999996"/>
    <n v="2.1349999999999998"/>
    <n v="1.113"/>
    <n v="1.0049999999999999"/>
    <n v="0.78200000000000003"/>
    <n v="0.92300000000000004"/>
    <n v="0.33200000000000002"/>
  </r>
  <r>
    <x v="5"/>
    <s v="PEST CONTROL"/>
    <s v="SC JOHNSON"/>
    <x v="0"/>
    <x v="0"/>
    <x v="1"/>
    <x v="0"/>
    <x v="3"/>
    <n v="53.305"/>
    <n v="56.027000000000001"/>
    <n v="66.147000000000006"/>
    <n v="76.185000000000002"/>
    <n v="80.613"/>
    <n v="72.453000000000003"/>
    <n v="69.483000000000004"/>
    <n v="65.625"/>
    <n v="61.828000000000003"/>
    <n v="58.622999999999998"/>
    <n v="59.073999999999998"/>
    <n v="62.619"/>
    <n v="62.781999999999996"/>
    <n v="64.930999999999997"/>
    <n v="78.525000000000006"/>
    <n v="83.394000000000005"/>
    <n v="82.076999999999998"/>
    <n v="83.542000000000002"/>
    <n v="79.552000000000007"/>
    <n v="72.521000000000001"/>
    <n v="66.611000000000004"/>
    <n v="53.947000000000003"/>
    <n v="52.542999999999999"/>
    <n v="56.701000000000001"/>
    <n v="54.472999999999999"/>
    <n v="59.805999999999997"/>
    <n v="66.747"/>
    <n v="70.376999999999995"/>
    <n v="73.293999999999997"/>
    <n v="80.593999999999994"/>
    <n v="76.328999999999994"/>
    <n v="79.531999999999996"/>
    <n v="55.923000000000002"/>
    <n v="48.613999999999997"/>
    <n v="44.588000000000001"/>
    <n v="43.813000000000002"/>
    <n v="50.731999999999999"/>
    <n v="3659.3870000000002"/>
  </r>
  <r>
    <x v="5"/>
    <s v="PEST CONTROL"/>
    <s v="SC JOHNSON"/>
    <x v="0"/>
    <x v="0"/>
    <x v="1"/>
    <x v="0"/>
    <x v="4"/>
    <n v="42.378616899999997"/>
    <n v="46.5497826"/>
    <n v="48.057934699999997"/>
    <n v="53.448577299999997"/>
    <n v="51.3905563"/>
    <n v="48.300677999999998"/>
    <n v="45.323612799999999"/>
    <n v="43.765275500000001"/>
    <n v="41.763730000000002"/>
    <n v="40.733374599999998"/>
    <n v="39.431621100000001"/>
    <n v="42.486620700000003"/>
    <n v="42.394910699999997"/>
    <n v="45.003055099999997"/>
    <n v="50.398614100000003"/>
    <n v="58.785922300000003"/>
    <n v="59.291698799999999"/>
    <n v="59.193980799999999"/>
    <n v="55.039270899999998"/>
    <n v="51.391367099999997"/>
    <n v="47.089294299999999"/>
    <n v="42.925013"/>
    <n v="40.457965600000001"/>
    <n v="39.939559299999999"/>
    <n v="39.726844200000002"/>
    <n v="42.682305800000002"/>
    <n v="48.408930300000002"/>
    <n v="52.366078899999998"/>
    <n v="57.680468500000003"/>
    <n v="58.7641451"/>
    <n v="55.3989884"/>
    <n v="56.1562245"/>
    <n v="45.548409700000001"/>
    <n v="37.610062599999999"/>
    <n v="33.876260600000002"/>
    <n v="31.508037900000001"/>
    <n v="31.332748299999999"/>
    <n v="50.731999999999999"/>
  </r>
  <r>
    <x v="5"/>
    <s v="PEST CONTROL"/>
    <s v="SC JOHNSON"/>
    <x v="0"/>
    <x v="0"/>
    <x v="1"/>
    <x v="0"/>
    <x v="5"/>
    <n v="3.4870000000000001"/>
    <n v="2.355"/>
    <n v="2.6309999999999998"/>
    <n v="2.605"/>
    <n v="2.3769999999999998"/>
    <n v="2.2069999999999999"/>
    <n v="1.837"/>
    <n v="1.897"/>
    <n v="1.9239999999999999"/>
    <n v="2.1640000000000001"/>
    <n v="2.226"/>
    <n v="2.2429999999999999"/>
    <n v="2.3290000000000002"/>
    <n v="2.6840000000000002"/>
    <n v="3.702"/>
    <n v="3.4870000000000001"/>
    <n v="3.2029999999999998"/>
    <n v="3.01"/>
    <n v="2.3769999999999998"/>
    <n v="2.327"/>
    <n v="2.383"/>
    <n v="2.1520000000000001"/>
    <n v="2.165"/>
    <n v="2.2679999999999998"/>
    <n v="2.1589999999999998"/>
    <n v="2.2759999999999998"/>
    <n v="2.02"/>
    <n v="2.4119999999999999"/>
    <n v="2.1890000000000001"/>
    <n v="2.734"/>
    <n v="2.2629999999999999"/>
    <n v="1.7689999999999999"/>
    <n v="1.758"/>
    <n v="1.613"/>
    <n v="1.46"/>
    <n v="1.635"/>
    <n v="1.7350000000000001"/>
    <n v="31.332748299999999"/>
  </r>
  <r>
    <x v="5"/>
    <s v="PEST CONTROL"/>
    <s v="SC JOHNSON"/>
    <x v="0"/>
    <x v="0"/>
    <x v="1"/>
    <x v="12"/>
    <x v="0"/>
    <n v="24.327000000000002"/>
    <n v="20.565999999999999"/>
    <n v="19.902000000000001"/>
    <n v="19.132999999999999"/>
    <n v="123.336"/>
    <n v="137.51"/>
    <n v="85.206000000000003"/>
    <n v="0"/>
    <n v="0"/>
    <n v="0"/>
    <n v="0"/>
    <n v="0"/>
    <n v="0"/>
    <n v="0"/>
    <n v="1"/>
    <n v="0"/>
    <n v="0.14299999999999999"/>
    <n v="1.857"/>
    <n v="1"/>
    <n v="0"/>
    <n v="1"/>
    <n v="0"/>
    <n v="0"/>
    <n v="0"/>
    <n v="1"/>
    <n v="1"/>
    <n v="1"/>
    <n v="1"/>
    <n v="5"/>
    <n v="0"/>
    <n v="0"/>
    <n v="53.866"/>
    <n v="53.921999999999997"/>
    <n v="55.664000000000001"/>
    <n v="53.921999999999997"/>
    <n v="0"/>
    <n v="0"/>
    <n v="0"/>
  </r>
  <r>
    <x v="5"/>
    <s v="PEST CONTROL"/>
    <s v="SC JOHNSON"/>
    <x v="0"/>
    <x v="0"/>
    <x v="1"/>
    <x v="12"/>
    <x v="1"/>
    <n v="8976.6849999999995"/>
    <n v="7588.6959999999999"/>
    <n v="7343.9"/>
    <n v="7060.0029999999997"/>
    <n v="45462.078000000001"/>
    <n v="48816.010999999999"/>
    <n v="28417.83"/>
    <n v="0"/>
    <n v="0"/>
    <n v="0"/>
    <n v="0"/>
    <n v="0"/>
    <n v="0"/>
    <n v="0"/>
    <n v="320"/>
    <n v="0"/>
    <n v="45.728000000000002"/>
    <n v="594.27200000000005"/>
    <n v="288"/>
    <n v="0"/>
    <n v="288"/>
    <n v="0"/>
    <n v="0"/>
    <n v="0"/>
    <n v="377"/>
    <n v="320"/>
    <n v="339.3"/>
    <n v="377"/>
    <n v="1809.6"/>
    <n v="0"/>
    <n v="0"/>
    <n v="17721.867999999999"/>
    <n v="17740.181"/>
    <n v="18313.39"/>
    <n v="17740.181"/>
    <n v="0"/>
    <n v="0"/>
    <n v="0"/>
  </r>
  <r>
    <x v="5"/>
    <s v="PEST CONTROL"/>
    <s v="SC JOHNSON"/>
    <x v="0"/>
    <x v="0"/>
    <x v="1"/>
    <x v="12"/>
    <x v="2"/>
    <n v="1.2999999999999999E-2"/>
    <n v="8.0000000000000002E-3"/>
    <n v="6.0000000000000001E-3"/>
    <n v="5.0000000000000001E-3"/>
    <n v="2.5000000000000001E-2"/>
    <n v="2.5999999999999999E-2"/>
    <n v="1.7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0"/>
    <n v="0"/>
    <n v="0"/>
    <n v="1E-3"/>
    <n v="0"/>
    <n v="0"/>
    <n v="8.9999999999999993E-3"/>
    <n v="1.2E-2"/>
    <n v="1.4999999999999999E-2"/>
    <n v="0.02"/>
    <n v="0"/>
    <n v="0"/>
    <n v="0"/>
  </r>
  <r>
    <x v="5"/>
    <s v="PEST CONTROL"/>
    <s v="SC JOHNSON"/>
    <x v="0"/>
    <x v="0"/>
    <x v="1"/>
    <x v="12"/>
    <x v="3"/>
    <n v="4.3689999999999998"/>
    <n v="3.6080000000000001"/>
    <n v="2.8530000000000002"/>
    <n v="2.597"/>
    <n v="2.7309999999999999"/>
    <n v="2.04"/>
    <n v="3.67"/>
    <n v="0"/>
    <n v="0"/>
    <n v="0"/>
    <n v="0"/>
    <n v="0"/>
    <n v="0"/>
    <n v="0"/>
    <n v="0.54500000000000004"/>
    <n v="0"/>
    <n v="0.55800000000000005"/>
    <n v="0.53600000000000003"/>
    <n v="0.495"/>
    <n v="0"/>
    <n v="0.34"/>
    <n v="0"/>
    <n v="0"/>
    <n v="0"/>
    <n v="0.187"/>
    <n v="0.36499999999999999"/>
    <n v="0.44700000000000001"/>
    <n v="0.58399999999999996"/>
    <n v="0.51300000000000001"/>
    <n v="0"/>
    <n v="0"/>
    <n v="3.2130000000000001"/>
    <n v="3.9510000000000001"/>
    <n v="4.7359999999999998"/>
    <n v="4.5359999999999996"/>
    <n v="0"/>
    <n v="0"/>
    <n v="0"/>
  </r>
  <r>
    <x v="5"/>
    <s v="PEST CONTROL"/>
    <s v="SC JOHNSON"/>
    <x v="0"/>
    <x v="0"/>
    <x v="1"/>
    <x v="12"/>
    <x v="4"/>
    <n v="2.0739261999999998"/>
    <n v="2.0722839"/>
    <n v="2.0719050999999999"/>
    <n v="2.0035968999999998"/>
    <n v="2.0343095"/>
    <n v="1.9994717"/>
    <n v="2.1536903000000001"/>
    <n v="0"/>
    <n v="0"/>
    <n v="0"/>
    <n v="0"/>
    <n v="0"/>
    <n v="0"/>
    <n v="0"/>
    <n v="3.7907299999999998E-2"/>
    <n v="0"/>
    <n v="3.8299399999999997E-2"/>
    <n v="3.8299800000000002E-2"/>
    <n v="3.8314899999999999E-2"/>
    <n v="0"/>
    <n v="3.8302500000000003E-2"/>
    <n v="0"/>
    <n v="0"/>
    <n v="0"/>
    <n v="3.8669799999999997E-2"/>
    <n v="3.8669799999999997E-2"/>
    <n v="3.8669799999999997E-2"/>
    <n v="3.8641799999999997E-2"/>
    <n v="3.8602900000000002E-2"/>
    <n v="0"/>
    <n v="0"/>
    <n v="0.95273079999999999"/>
    <n v="0.9528335"/>
    <n v="0.9530824"/>
    <n v="0.9528915"/>
    <n v="0"/>
    <n v="0"/>
    <n v="0"/>
  </r>
  <r>
    <x v="5"/>
    <s v="PEST CONTROL"/>
    <s v="SC JOHNSON"/>
    <x v="0"/>
    <x v="0"/>
    <x v="1"/>
    <x v="12"/>
    <x v="5"/>
    <n v="3.7999999999999999E-2"/>
    <n v="3.5999999999999997E-2"/>
    <n v="0.03"/>
    <n v="2.7E-2"/>
    <n v="3.1E-2"/>
    <n v="4.10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0"/>
    <x v="0"/>
    <x v="1"/>
    <x v="2"/>
    <x v="0"/>
    <n v="0"/>
    <n v="3.8570000000000002"/>
    <n v="22.053999999999998"/>
    <n v="26.053000000000001"/>
    <n v="303.55599999999998"/>
    <n v="198.91"/>
    <n v="22.428999999999998"/>
    <n v="1.571"/>
    <n v="1"/>
    <n v="1"/>
    <n v="0"/>
    <n v="0.28599999999999998"/>
    <n v="1.714"/>
    <n v="7.8330000000000002"/>
    <n v="99.105999999999995"/>
    <n v="227.23699999999999"/>
    <n v="260.04500000000002"/>
    <n v="225.983"/>
    <n v="84.858999999999995"/>
    <n v="136.81299999999999"/>
    <n v="54.793999999999997"/>
    <n v="39.466000000000001"/>
    <n v="51.936"/>
    <n v="51.055"/>
    <n v="55.664000000000001"/>
    <n v="92.838999999999999"/>
    <n v="143.958"/>
    <n v="209.584"/>
    <n v="320.21800000000002"/>
    <n v="293.05099999999999"/>
    <n v="424.911"/>
    <n v="840.54600000000005"/>
    <n v="450.66399999999999"/>
    <n v="214.69300000000001"/>
    <n v="89.869"/>
    <n v="63.485999999999997"/>
    <n v="22.571000000000002"/>
    <n v="22.571000000000002"/>
  </r>
  <r>
    <x v="5"/>
    <s v="PEST CONTROL"/>
    <s v="SC JOHNSON"/>
    <x v="0"/>
    <x v="0"/>
    <x v="1"/>
    <x v="2"/>
    <x v="1"/>
    <n v="0"/>
    <n v="1330.271"/>
    <n v="7597.8249999999998"/>
    <n v="9806.0280000000002"/>
    <n v="78938.837"/>
    <n v="51013.3"/>
    <n v="8503.1530000000002"/>
    <n v="547.84699999999998"/>
    <n v="345"/>
    <n v="310.5"/>
    <n v="0"/>
    <n v="112.852"/>
    <n v="677.149"/>
    <n v="2506.3780000000002"/>
    <n v="31342.195"/>
    <n v="70411.042000000001"/>
    <n v="78460.554999999993"/>
    <n v="68554.452000000005"/>
    <n v="27880.137999999999"/>
    <n v="46044.097000000002"/>
    <n v="20837.554"/>
    <n v="14641.880999999999"/>
    <n v="19268.414000000001"/>
    <n v="18941.512999999999"/>
    <n v="20651.273000000001"/>
    <n v="34353.108"/>
    <n v="50404.951999999997"/>
    <n v="87536.876999999993"/>
    <n v="137232.924"/>
    <n v="120096.467"/>
    <n v="179537.41"/>
    <n v="291506.85800000001"/>
    <n v="130271.181"/>
    <n v="69911.928"/>
    <n v="33341.474999999999"/>
    <n v="23553.437000000002"/>
    <n v="8681.0139999999992"/>
    <n v="8681.0139999999992"/>
  </r>
  <r>
    <x v="5"/>
    <s v="PEST CONTROL"/>
    <s v="SC JOHNSON"/>
    <x v="0"/>
    <x v="0"/>
    <x v="1"/>
    <x v="2"/>
    <x v="2"/>
    <n v="0"/>
    <n v="3.0000000000000001E-3"/>
    <n v="0.01"/>
    <n v="1.0999999999999999E-2"/>
    <n v="7.5999999999999998E-2"/>
    <n v="4.3999999999999997E-2"/>
    <n v="8.9999999999999993E-3"/>
    <n v="1E-3"/>
    <n v="1E-3"/>
    <n v="1E-3"/>
    <n v="0"/>
    <n v="0"/>
    <n v="2E-3"/>
    <n v="4.0000000000000001E-3"/>
    <n v="6.2E-2"/>
    <n v="0.113"/>
    <n v="0.108"/>
    <n v="0.10100000000000001"/>
    <n v="0.03"/>
    <n v="7.0000000000000007E-2"/>
    <n v="3.5000000000000003E-2"/>
    <n v="0.03"/>
    <n v="4.9000000000000002E-2"/>
    <n v="0.06"/>
    <n v="6.0999999999999999E-2"/>
    <n v="7.3999999999999996E-2"/>
    <n v="0.09"/>
    <n v="8.5999999999999993E-2"/>
    <n v="0.109"/>
    <n v="9.5000000000000001E-2"/>
    <n v="0.11899999999999999"/>
    <n v="0.22700000000000001"/>
    <n v="0.18"/>
    <n v="0.114"/>
    <n v="6.8000000000000005E-2"/>
    <n v="7.0999999999999994E-2"/>
    <n v="0.03"/>
    <n v="8.9999999999999993E-3"/>
  </r>
  <r>
    <x v="5"/>
    <s v="PEST CONTROL"/>
    <s v="SC JOHNSON"/>
    <x v="0"/>
    <x v="0"/>
    <x v="1"/>
    <x v="2"/>
    <x v="3"/>
    <n v="1.1890000000000001"/>
    <n v="1.321"/>
    <n v="1.7210000000000001"/>
    <n v="2.2109999999999999"/>
    <n v="7.351"/>
    <n v="6.274"/>
    <n v="3.2429999999999999"/>
    <n v="1.667"/>
    <n v="2.25"/>
    <n v="2.298"/>
    <n v="2.2189999999999999"/>
    <n v="1.839"/>
    <n v="1.7669999999999999"/>
    <n v="3.13"/>
    <n v="10.694000000000001"/>
    <n v="13.010999999999999"/>
    <n v="13.811"/>
    <n v="13.161"/>
    <n v="8.7249999999999996"/>
    <n v="7.9950000000000001"/>
    <n v="4.8689999999999998"/>
    <n v="5.2229999999999999"/>
    <n v="6.1070000000000002"/>
    <n v="3.9140000000000001"/>
    <n v="4.343"/>
    <n v="5.1150000000000002"/>
    <n v="5.944"/>
    <n v="9.6999999999999993"/>
    <n v="10.757999999999999"/>
    <n v="7.91"/>
    <n v="7.7610000000000001"/>
    <n v="14.172000000000001"/>
    <n v="10.917999999999999"/>
    <n v="6.1790000000000003"/>
    <n v="5.3929999999999998"/>
    <n v="2.508"/>
    <n v="1.6519999999999999"/>
    <n v="105.91200000000001"/>
  </r>
  <r>
    <x v="5"/>
    <s v="PEST CONTROL"/>
    <s v="SC JOHNSON"/>
    <x v="0"/>
    <x v="0"/>
    <x v="1"/>
    <x v="2"/>
    <x v="4"/>
    <n v="0.99153939999999996"/>
    <n v="1.0655281000000001"/>
    <n v="1.1400935999999999"/>
    <n v="1.1539313"/>
    <n v="2.3479646000000001"/>
    <n v="2.3577450999999998"/>
    <n v="1.3055601999999999"/>
    <n v="1.0635922"/>
    <n v="1.1711406"/>
    <n v="1.1712024000000001"/>
    <n v="1.1335055000000001"/>
    <n v="1.0834767999999999"/>
    <n v="1.2081884000000001"/>
    <n v="2.0531738000000002"/>
    <n v="4.3148352000000001"/>
    <n v="4.4226279000000002"/>
    <n v="4.3224685999999997"/>
    <n v="4.9081187999999996"/>
    <n v="3.6634787000000002"/>
    <n v="2.991241"/>
    <n v="1.9731552999999999"/>
    <n v="1.6869452"/>
    <n v="1.6855494"/>
    <n v="1.7336780000000001"/>
    <n v="1.6533662"/>
    <n v="1.808044"/>
    <n v="2.7876687000000002"/>
    <n v="3.4650916999999999"/>
    <n v="3.6994302000000001"/>
    <n v="3.3455832999999999"/>
    <n v="2.5509279999999999"/>
    <n v="4.4793982999999997"/>
    <n v="3.7997500999999998"/>
    <n v="2.7345812999999999"/>
    <n v="1.9257025000000001"/>
    <n v="1.9117917"/>
    <n v="1.9904389"/>
    <n v="1.6519999999999999"/>
  </r>
  <r>
    <x v="5"/>
    <s v="PEST CONTROL"/>
    <s v="SC JOHNSON"/>
    <x v="0"/>
    <x v="0"/>
    <x v="1"/>
    <x v="2"/>
    <x v="5"/>
    <n v="1.0999999999999999E-2"/>
    <n v="1.0999999999999999E-2"/>
    <n v="1.2E-2"/>
    <n v="8.0000000000000002E-3"/>
    <n v="3.5000000000000003E-2"/>
    <n v="0.01"/>
    <n v="1.0999999999999999E-2"/>
    <n v="1.0999999999999999E-2"/>
    <n v="1.4E-2"/>
    <n v="1.2999999999999999E-2"/>
    <n v="1.2999999999999999E-2"/>
    <n v="1.2E-2"/>
    <n v="1.2E-2"/>
    <n v="8.1000000000000003E-2"/>
    <n v="7.1999999999999995E-2"/>
    <n v="4.4999999999999998E-2"/>
    <n v="2.8000000000000001E-2"/>
    <n v="2.9000000000000001E-2"/>
    <n v="4.7E-2"/>
    <n v="8.9999999999999993E-3"/>
    <n v="0.01"/>
    <n v="0.01"/>
    <n v="0.01"/>
    <n v="1.0999999999999999E-2"/>
    <n v="0.01"/>
    <n v="0"/>
    <n v="0.06"/>
    <n v="6.4000000000000001E-2"/>
    <n v="0.06"/>
    <n v="4.5999999999999999E-2"/>
    <n v="4.7E-2"/>
    <n v="8.5000000000000006E-2"/>
    <n v="5.7000000000000002E-2"/>
    <n v="4.1000000000000002E-2"/>
    <n v="4.2000000000000003E-2"/>
    <n v="4.2000000000000003E-2"/>
    <n v="5.0999999999999997E-2"/>
    <n v="1.9904389"/>
  </r>
  <r>
    <x v="5"/>
    <s v="PEST CONTROL"/>
    <s v="SC JOHNSON"/>
    <x v="0"/>
    <x v="0"/>
    <x v="1"/>
    <x v="3"/>
    <x v="0"/>
    <n v="1182.133"/>
    <n v="2113.143"/>
    <n v="3224.8969999999999"/>
    <n v="4489.0209999999997"/>
    <n v="6775.3789999999999"/>
    <n v="7608.7439999999997"/>
    <n v="5730.866"/>
    <n v="4013.067"/>
    <n v="2663.2150000000001"/>
    <n v="1697.241"/>
    <n v="1325.528"/>
    <n v="1145.2750000000001"/>
    <n v="1205.5899999999999"/>
    <n v="1191.923"/>
    <n v="2193.759"/>
    <n v="3948.6379999999999"/>
    <n v="5721.5569999999998"/>
    <n v="5330.7820000000002"/>
    <n v="5684.7849999999999"/>
    <n v="4245.9830000000002"/>
    <n v="3448.288"/>
    <n v="2562.7919999999999"/>
    <n v="2265.777"/>
    <n v="1292.3520000000001"/>
    <n v="1329.71"/>
    <n v="2142.9270000000001"/>
    <n v="3289.049"/>
    <n v="7316.8590000000004"/>
    <n v="10905.1"/>
    <n v="13112.124"/>
    <n v="16430.600999999999"/>
    <n v="18801.814999999999"/>
    <n v="9939.3379999999997"/>
    <n v="5086.8130000000001"/>
    <n v="3113.3649999999998"/>
    <n v="1832.3520000000001"/>
    <n v="1249.1220000000001"/>
    <n v="1249.1220000000001"/>
  </r>
  <r>
    <x v="5"/>
    <s v="PEST CONTROL"/>
    <s v="SC JOHNSON"/>
    <x v="0"/>
    <x v="0"/>
    <x v="1"/>
    <x v="3"/>
    <x v="1"/>
    <n v="165441.584"/>
    <n v="289002.04399999999"/>
    <n v="419287.17499999999"/>
    <n v="612830.34299999999"/>
    <n v="1050036.4509999999"/>
    <n v="1121356.6240000001"/>
    <n v="859032.94"/>
    <n v="538154.79299999995"/>
    <n v="361662.41899999999"/>
    <n v="240513.39199999999"/>
    <n v="184821.12599999999"/>
    <n v="145212.36600000001"/>
    <n v="155250.51699999999"/>
    <n v="167293.652"/>
    <n v="362171.67"/>
    <n v="665245.88899999997"/>
    <n v="951843.97499999998"/>
    <n v="891574.04799999995"/>
    <n v="945345.93900000001"/>
    <n v="685137.86199999996"/>
    <n v="556991.91099999996"/>
    <n v="401290.45199999999"/>
    <n v="378868.68900000001"/>
    <n v="237802.80600000001"/>
    <n v="223521.24799999999"/>
    <n v="328698.88500000001"/>
    <n v="526330.52599999995"/>
    <n v="1230071.6040000001"/>
    <n v="1858766.6429999999"/>
    <n v="2253934.074"/>
    <n v="2701358.8879999998"/>
    <n v="3479977.7009999999"/>
    <n v="1741216.7960000001"/>
    <n v="931639.70700000005"/>
    <n v="507257.93400000001"/>
    <n v="281068.07699999999"/>
    <n v="196818.77600000001"/>
    <n v="196818.77600000001"/>
  </r>
  <r>
    <x v="5"/>
    <s v="PEST CONTROL"/>
    <s v="SC JOHNSON"/>
    <x v="0"/>
    <x v="0"/>
    <x v="1"/>
    <x v="3"/>
    <x v="2"/>
    <n v="0.45"/>
    <n v="0.56699999999999995"/>
    <n v="0.69499999999999995"/>
    <n v="0.79800000000000004"/>
    <n v="1.151"/>
    <n v="1.123"/>
    <n v="0.96899999999999997"/>
    <n v="0.77100000000000002"/>
    <n v="0.72899999999999998"/>
    <n v="0.67700000000000005"/>
    <n v="0.61599999999999999"/>
    <n v="0.53600000000000003"/>
    <n v="0.52400000000000002"/>
    <n v="0.437"/>
    <n v="0.68500000000000005"/>
    <n v="0.91"/>
    <n v="1.0509999999999999"/>
    <n v="1.0740000000000001"/>
    <n v="1.01"/>
    <n v="0.93100000000000005"/>
    <n v="0.876"/>
    <n v="0.71899999999999997"/>
    <n v="0.80500000000000005"/>
    <n v="0.68200000000000005"/>
    <n v="0.60699999999999998"/>
    <n v="0.72099999999999997"/>
    <n v="0.84799999999999998"/>
    <n v="1.3420000000000001"/>
    <n v="1.673"/>
    <n v="1.75"/>
    <n v="1.8540000000000001"/>
    <n v="2.4550000000000001"/>
    <n v="1.7270000000000001"/>
    <n v="1.1439999999999999"/>
    <n v="0.86699999999999999"/>
    <n v="0.71199999999999997"/>
    <n v="0.55500000000000005"/>
    <n v="0.52100000000000002"/>
  </r>
  <r>
    <x v="5"/>
    <s v="PEST CONTROL"/>
    <s v="SC JOHNSON"/>
    <x v="0"/>
    <x v="0"/>
    <x v="1"/>
    <x v="3"/>
    <x v="3"/>
    <n v="79.412000000000006"/>
    <n v="80.260000000000005"/>
    <n v="83.033000000000001"/>
    <n v="80.974999999999994"/>
    <n v="76.019000000000005"/>
    <n v="77.731999999999999"/>
    <n v="78.158000000000001"/>
    <n v="77.165000000000006"/>
    <n v="76.031000000000006"/>
    <n v="74.623000000000005"/>
    <n v="75.682000000000002"/>
    <n v="72.816999999999993"/>
    <n v="71.933999999999997"/>
    <n v="73.486000000000004"/>
    <n v="75.213999999999999"/>
    <n v="76.113"/>
    <n v="81.593000000000004"/>
    <n v="78.350999999999999"/>
    <n v="77.795000000000002"/>
    <n v="71.308000000000007"/>
    <n v="69.638000000000005"/>
    <n v="62.622999999999998"/>
    <n v="63.869"/>
    <n v="61.777999999999999"/>
    <n v="64.95"/>
    <n v="66.37"/>
    <n v="72.909000000000006"/>
    <n v="75.076999999999998"/>
    <n v="86.486000000000004"/>
    <n v="84.450999999999993"/>
    <n v="84.034000000000006"/>
    <n v="82.308999999999997"/>
    <n v="68.641999999999996"/>
    <n v="65.367000000000004"/>
    <n v="60.414000000000001"/>
    <n v="57.863"/>
    <n v="63.265999999999998"/>
    <n v="5765.1970000000001"/>
  </r>
  <r>
    <x v="5"/>
    <s v="PEST CONTROL"/>
    <s v="SC JOHNSON"/>
    <x v="0"/>
    <x v="0"/>
    <x v="1"/>
    <x v="3"/>
    <x v="4"/>
    <n v="57.240781699999999"/>
    <n v="57.681784700000001"/>
    <n v="58.798999299999998"/>
    <n v="54.106441099999998"/>
    <n v="47.732410700000003"/>
    <n v="51.657971199999999"/>
    <n v="51.568391200000001"/>
    <n v="49.377344000000001"/>
    <n v="47.315044200000003"/>
    <n v="44.341296499999999"/>
    <n v="44.850137500000002"/>
    <n v="46.609740299999999"/>
    <n v="45.694448299999998"/>
    <n v="45.872128500000002"/>
    <n v="48.524326100000003"/>
    <n v="50.366011399999998"/>
    <n v="53.052192900000001"/>
    <n v="51.832262200000002"/>
    <n v="48.497385600000001"/>
    <n v="46.919275800000001"/>
    <n v="44.398502700000002"/>
    <n v="40.523652200000001"/>
    <n v="40.1975415"/>
    <n v="39.510132400000003"/>
    <n v="42.795293299999997"/>
    <n v="45.931843000000001"/>
    <n v="52.523321799999998"/>
    <n v="58.157834899999997"/>
    <n v="62.000517299999998"/>
    <n v="61.237024099999999"/>
    <n v="60.8940269"/>
    <n v="59.742946600000003"/>
    <n v="51.626847699999999"/>
    <n v="45.132847599999998"/>
    <n v="42.552722899999999"/>
    <n v="44.110989600000003"/>
    <n v="47.549514700000003"/>
    <n v="63.265999999999998"/>
  </r>
  <r>
    <x v="5"/>
    <s v="PEST CONTROL"/>
    <s v="SC JOHNSON"/>
    <x v="0"/>
    <x v="0"/>
    <x v="1"/>
    <x v="3"/>
    <x v="5"/>
    <n v="4.4470000000000001"/>
    <n v="3.6720000000000002"/>
    <n v="2.919"/>
    <n v="2.923"/>
    <n v="3.5670000000000002"/>
    <n v="3.37"/>
    <n v="4.577"/>
    <n v="3.8860000000000001"/>
    <n v="4.1040000000000001"/>
    <n v="4.4260000000000002"/>
    <n v="4.4480000000000004"/>
    <n v="4.4269999999999996"/>
    <n v="4.2910000000000004"/>
    <n v="4.1269999999999998"/>
    <n v="5.2460000000000004"/>
    <n v="5.2460000000000004"/>
    <n v="4.8280000000000003"/>
    <n v="4.032"/>
    <n v="4.5540000000000003"/>
    <n v="4.63"/>
    <n v="4.1180000000000003"/>
    <n v="4.3330000000000002"/>
    <n v="4.5449999999999999"/>
    <n v="4.6449999999999996"/>
    <n v="4.6150000000000002"/>
    <n v="4.8010000000000002"/>
    <n v="4.4059999999999997"/>
    <n v="4.5839999999999996"/>
    <n v="4.3470000000000004"/>
    <n v="5.0880000000000001"/>
    <n v="4.6950000000000003"/>
    <n v="3.3370000000000002"/>
    <n v="2.7629999999999999"/>
    <n v="3.016"/>
    <n v="2.7120000000000002"/>
    <n v="2.6640000000000001"/>
    <n v="2.8029999999999999"/>
    <n v="47.549514700000003"/>
  </r>
  <r>
    <x v="5"/>
    <s v="PEST CONTROL"/>
    <s v="SC JOHNSON"/>
    <x v="1"/>
    <x v="1"/>
    <x v="2"/>
    <x v="4"/>
    <x v="0"/>
    <n v="0"/>
    <n v="0"/>
    <n v="1.143"/>
    <n v="7.1429999999999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1"/>
    <x v="1"/>
    <x v="2"/>
    <x v="4"/>
    <x v="1"/>
    <n v="0"/>
    <n v="0"/>
    <n v="305.154"/>
    <n v="1907.261"/>
    <n v="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1"/>
    <x v="1"/>
    <x v="2"/>
    <x v="4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1"/>
    <x v="1"/>
    <x v="2"/>
    <x v="4"/>
    <x v="3"/>
    <n v="0"/>
    <n v="0"/>
    <n v="2.5999999999999999E-2"/>
    <n v="0.20799999999999999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1"/>
    <x v="1"/>
    <x v="2"/>
    <x v="4"/>
    <x v="4"/>
    <n v="0"/>
    <n v="0"/>
    <n v="3.7380099999999999E-2"/>
    <n v="0.20056270000000001"/>
    <n v="3.7540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1"/>
    <x v="1"/>
    <x v="2"/>
    <x v="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1"/>
    <x v="1"/>
    <x v="3"/>
    <x v="0"/>
    <x v="0"/>
    <n v="3511.4279999999999"/>
    <n v="4276.0559999999996"/>
    <n v="5410.3360000000002"/>
    <n v="6400.3320000000003"/>
    <n v="8646.7990000000009"/>
    <n v="8241.6059999999998"/>
    <n v="6669.8559999999998"/>
    <n v="4831.42"/>
    <n v="4270.8010000000004"/>
    <n v="3246.8670000000002"/>
    <n v="2234.5509999999999"/>
    <n v="2369.623"/>
    <n v="2175.7280000000001"/>
    <n v="4037.5929999999998"/>
    <n v="5320.335"/>
    <n v="5402.616"/>
    <n v="6965.4229999999998"/>
    <n v="5307.0640000000003"/>
    <n v="5444.2430000000004"/>
    <n v="3949.9340000000002"/>
    <n v="3656.694"/>
    <n v="2834.6959999999999"/>
    <n v="2561.5100000000002"/>
    <n v="1870.864"/>
    <n v="2621.777"/>
    <n v="2408.0709999999999"/>
    <n v="4316.6279999999997"/>
    <n v="5250.3119999999999"/>
    <n v="6876.768"/>
    <n v="6917.1279999999997"/>
    <n v="8302.9120000000003"/>
    <n v="6790.0550000000003"/>
    <n v="4743.5630000000001"/>
    <n v="4418.643"/>
    <n v="3832.027"/>
    <n v="2416.799"/>
    <n v="1403.2560000000001"/>
    <n v="1403.2560000000001"/>
  </r>
  <r>
    <x v="5"/>
    <s v="PEST CONTROL"/>
    <s v="SC JOHNSON"/>
    <x v="1"/>
    <x v="1"/>
    <x v="3"/>
    <x v="0"/>
    <x v="1"/>
    <n v="726028.29599999997"/>
    <n v="919391.05599999998"/>
    <n v="1191990.8359999999"/>
    <n v="1387283.844"/>
    <n v="1917210.2849999999"/>
    <n v="1839248.2930000001"/>
    <n v="1372516.5179999999"/>
    <n v="1055270.48"/>
    <n v="914429.777"/>
    <n v="711342.48499999999"/>
    <n v="468765.11900000001"/>
    <n v="511748.27600000001"/>
    <n v="461532.06800000003"/>
    <n v="835722.05900000001"/>
    <n v="1059960.466"/>
    <n v="1098578.6610000001"/>
    <n v="1422463.1680000001"/>
    <n v="1080316.6299999999"/>
    <n v="1173402.9410000001"/>
    <n v="838491.32700000005"/>
    <n v="753331.598"/>
    <n v="627190.674"/>
    <n v="546081.04700000002"/>
    <n v="389149.95899999997"/>
    <n v="582617.76300000004"/>
    <n v="552546.47600000002"/>
    <n v="948772.76500000001"/>
    <n v="1172938.19"/>
    <n v="1542106.3640000001"/>
    <n v="1549716.5349999999"/>
    <n v="1893809.831"/>
    <n v="1603921.5079999999"/>
    <n v="1101809.149"/>
    <n v="1027065.041"/>
    <n v="894571.277"/>
    <n v="545537.73400000005"/>
    <n v="322027.92800000001"/>
    <n v="322027.92800000001"/>
  </r>
  <r>
    <x v="5"/>
    <s v="PEST CONTROL"/>
    <s v="SC JOHNSON"/>
    <x v="1"/>
    <x v="1"/>
    <x v="3"/>
    <x v="0"/>
    <x v="2"/>
    <n v="6.93"/>
    <n v="6.1369999999999996"/>
    <n v="6.2670000000000003"/>
    <n v="5.734"/>
    <n v="6.4320000000000004"/>
    <n v="5.657"/>
    <n v="4.9909999999999997"/>
    <n v="4.6349999999999998"/>
    <n v="5.6680000000000001"/>
    <n v="5.8390000000000004"/>
    <n v="4.7140000000000004"/>
    <n v="5.1459999999999999"/>
    <n v="4.3959999999999999"/>
    <n v="6.4649999999999999"/>
    <n v="6.1040000000000001"/>
    <n v="5.0199999999999996"/>
    <n v="5.3879999999999999"/>
    <n v="4.4800000000000004"/>
    <n v="4.2859999999999996"/>
    <n v="3.8660000000000001"/>
    <n v="4.2649999999999997"/>
    <n v="3.9340000000000002"/>
    <n v="4.3490000000000002"/>
    <n v="3.968"/>
    <n v="5.1710000000000003"/>
    <n v="3.8879999999999999"/>
    <n v="5.4489999999999998"/>
    <n v="4.5549999999999997"/>
    <n v="5.1840000000000002"/>
    <n v="4.5570000000000004"/>
    <n v="4.8380000000000001"/>
    <n v="4.0579999999999998"/>
    <n v="3.7810000000000001"/>
    <n v="4.4580000000000002"/>
    <n v="5.242"/>
    <n v="4.907"/>
    <n v="3.4740000000000002"/>
    <n v="0.58499999999999996"/>
  </r>
  <r>
    <x v="5"/>
    <s v="PEST CONTROL"/>
    <s v="SC JOHNSON"/>
    <x v="1"/>
    <x v="1"/>
    <x v="3"/>
    <x v="0"/>
    <x v="3"/>
    <n v="69.195999999999998"/>
    <n v="66.021000000000001"/>
    <n v="65.718000000000004"/>
    <n v="69.275999999999996"/>
    <n v="74.442999999999998"/>
    <n v="73.825000000000003"/>
    <n v="73.713999999999999"/>
    <n v="65.510000000000005"/>
    <n v="63.639000000000003"/>
    <n v="60.8"/>
    <n v="55.966999999999999"/>
    <n v="56.042999999999999"/>
    <n v="58.198999999999998"/>
    <n v="56.767000000000003"/>
    <n v="65.510999999999996"/>
    <n v="64.843999999999994"/>
    <n v="67.709999999999994"/>
    <n v="67.977000000000004"/>
    <n v="63.552999999999997"/>
    <n v="61.152000000000001"/>
    <n v="59.091999999999999"/>
    <n v="56.62"/>
    <n v="54.728999999999999"/>
    <n v="51.514000000000003"/>
    <n v="54.582000000000001"/>
    <n v="60.484000000000002"/>
    <n v="70.881"/>
    <n v="73.367999999999995"/>
    <n v="75.58"/>
    <n v="68.62"/>
    <n v="71.81"/>
    <n v="71.778000000000006"/>
    <n v="66.058999999999997"/>
    <n v="68.331000000000003"/>
    <n v="72.733999999999995"/>
    <n v="68.968999999999994"/>
    <n v="70.372"/>
    <n v="5877.6559999999999"/>
  </r>
  <r>
    <x v="5"/>
    <s v="PEST CONTROL"/>
    <s v="SC JOHNSON"/>
    <x v="1"/>
    <x v="1"/>
    <x v="3"/>
    <x v="0"/>
    <x v="4"/>
    <n v="42.443759100000001"/>
    <n v="41.521312399999999"/>
    <n v="44.319138000000002"/>
    <n v="44.633104400000001"/>
    <n v="45.640963800000002"/>
    <n v="46.096028400000002"/>
    <n v="47.720092299999997"/>
    <n v="46.062880800000002"/>
    <n v="44.567152"/>
    <n v="45.487201399999996"/>
    <n v="41.685068299999998"/>
    <n v="41.3913364"/>
    <n v="38.913085899999999"/>
    <n v="43.801356400000003"/>
    <n v="44.898455800000001"/>
    <n v="45.686910900000001"/>
    <n v="42.094126099999997"/>
    <n v="40.8147898"/>
    <n v="36.153169200000001"/>
    <n v="38.584253500000003"/>
    <n v="35.302607299999998"/>
    <n v="33.7592249"/>
    <n v="32.285213200000001"/>
    <n v="31.370898400000002"/>
    <n v="32.887857199999999"/>
    <n v="33.891737800000001"/>
    <n v="39.360115"/>
    <n v="41.288272800000001"/>
    <n v="42.920848599999999"/>
    <n v="40.999796699999997"/>
    <n v="41.395620299999997"/>
    <n v="42.544975899999997"/>
    <n v="39.094160100000003"/>
    <n v="39.048462499999999"/>
    <n v="43.161781300000001"/>
    <n v="42.531076800000001"/>
    <n v="40.825419699999998"/>
    <n v="70.372"/>
  </r>
  <r>
    <x v="5"/>
    <s v="PEST CONTROL"/>
    <s v="SC JOHNSON"/>
    <x v="1"/>
    <x v="1"/>
    <x v="3"/>
    <x v="0"/>
    <x v="5"/>
    <n v="3.298"/>
    <n v="3.371"/>
    <n v="3.2040000000000002"/>
    <n v="3.8559999999999999"/>
    <n v="3.0430000000000001"/>
    <n v="3.5"/>
    <n v="3.379"/>
    <n v="3.1680000000000001"/>
    <n v="3.1230000000000002"/>
    <n v="2.6720000000000002"/>
    <n v="2.5710000000000002"/>
    <n v="3.0129999999999999"/>
    <n v="3.109"/>
    <n v="3.286"/>
    <n v="3.6120000000000001"/>
    <n v="2.4849999999999999"/>
    <n v="2.1040000000000001"/>
    <n v="2.3559999999999999"/>
    <n v="2.6259999999999999"/>
    <n v="2.4849999999999999"/>
    <n v="2.6349999999999998"/>
    <n v="2.673"/>
    <n v="2.6440000000000001"/>
    <n v="2.7919999999999998"/>
    <n v="2.738"/>
    <n v="3.1579999999999999"/>
    <n v="3.0249999999999999"/>
    <n v="2.5619999999999998"/>
    <n v="2.9580000000000002"/>
    <n v="2.194"/>
    <n v="2.6"/>
    <n v="2.5459999999999998"/>
    <n v="2.585"/>
    <n v="3.1230000000000002"/>
    <n v="2.7549999999999999"/>
    <n v="2.8170000000000002"/>
    <n v="2.7730000000000001"/>
    <n v="40.825419699999998"/>
  </r>
  <r>
    <x v="5"/>
    <s v="PEST CONTROL"/>
    <s v="SC JOHNSON"/>
    <x v="1"/>
    <x v="1"/>
    <x v="3"/>
    <x v="4"/>
    <x v="0"/>
    <n v="32.831000000000003"/>
    <n v="176.81100000000001"/>
    <n v="178.46100000000001"/>
    <n v="273.20400000000001"/>
    <n v="337.53300000000002"/>
    <n v="319.70400000000001"/>
    <n v="502.05500000000001"/>
    <n v="345.08"/>
    <n v="314.428"/>
    <n v="35.216999999999999"/>
    <n v="46.851999999999997"/>
    <n v="43.704000000000001"/>
    <n v="164.114"/>
    <n v="165.06100000000001"/>
    <n v="433.08699999999999"/>
    <n v="454.351"/>
    <n v="390.63"/>
    <n v="166.17599999999999"/>
    <n v="364.80500000000001"/>
    <n v="163.07400000000001"/>
    <n v="164.00200000000001"/>
    <n v="177.93"/>
    <n v="93.662000000000006"/>
    <n v="76.655000000000001"/>
    <n v="99.775000000000006"/>
    <n v="592.62199999999996"/>
    <n v="532.52200000000005"/>
    <n v="755.30200000000002"/>
    <n v="396.05"/>
    <n v="296.53500000000003"/>
    <n v="492.51600000000002"/>
    <n v="517.93600000000004"/>
    <n v="212.755"/>
    <n v="178.095"/>
    <n v="180.685"/>
    <n v="123.131"/>
    <n v="128.583"/>
    <n v="128.583"/>
  </r>
  <r>
    <x v="5"/>
    <s v="PEST CONTROL"/>
    <s v="SC JOHNSON"/>
    <x v="1"/>
    <x v="1"/>
    <x v="3"/>
    <x v="4"/>
    <x v="1"/>
    <n v="10070.767"/>
    <n v="54013.428"/>
    <n v="54521.034"/>
    <n v="83181.846999999994"/>
    <n v="97362.293999999994"/>
    <n v="92286.267000000007"/>
    <n v="154483.573"/>
    <n v="116800.349"/>
    <n v="104449.781"/>
    <n v="9669.5630000000001"/>
    <n v="14055.074000000001"/>
    <n v="11890.987999999999"/>
    <n v="49161.203999999998"/>
    <n v="56934.067999999999"/>
    <n v="136082.99900000001"/>
    <n v="142333.00200000001"/>
    <n v="109678.522"/>
    <n v="56555.46"/>
    <n v="112754.609"/>
    <n v="56159.055999999997"/>
    <n v="58939.053"/>
    <n v="60868.226999999999"/>
    <n v="32449.223999999998"/>
    <n v="25149.260999999999"/>
    <n v="36456.296999999999"/>
    <n v="248825.799"/>
    <n v="217691.42499999999"/>
    <n v="304288.53700000001"/>
    <n v="143024.15700000001"/>
    <n v="108864.58100000001"/>
    <n v="180471.76500000001"/>
    <n v="186721.125"/>
    <n v="71461.804999999993"/>
    <n v="56016.894"/>
    <n v="62737.870999999999"/>
    <n v="42072.144"/>
    <n v="47170.427000000003"/>
    <n v="47170.427000000003"/>
  </r>
  <r>
    <x v="5"/>
    <s v="PEST CONTROL"/>
    <s v="SC JOHNSON"/>
    <x v="1"/>
    <x v="1"/>
    <x v="3"/>
    <x v="4"/>
    <x v="2"/>
    <n v="0"/>
    <n v="1E-3"/>
    <n v="1E-3"/>
    <n v="1E-3"/>
    <n v="1E-3"/>
    <n v="1E-3"/>
    <n v="1E-3"/>
    <n v="1E-3"/>
    <n v="1E-3"/>
    <n v="0"/>
    <n v="0"/>
    <n v="0"/>
    <n v="1E-3"/>
    <n v="1E-3"/>
    <n v="1E-3"/>
    <n v="1E-3"/>
    <n v="1E-3"/>
    <n v="0"/>
    <n v="1E-3"/>
    <n v="0"/>
    <n v="1E-3"/>
    <n v="1E-3"/>
    <n v="0"/>
    <n v="0"/>
    <n v="1E-3"/>
    <n v="3.0000000000000001E-3"/>
    <n v="2E-3"/>
    <n v="2E-3"/>
    <n v="1E-3"/>
    <n v="1E-3"/>
    <n v="1E-3"/>
    <n v="1E-3"/>
    <n v="0"/>
    <n v="0"/>
    <n v="1E-3"/>
    <n v="1E-3"/>
    <n v="1E-3"/>
    <n v="5.3999999999999999E-2"/>
  </r>
  <r>
    <x v="5"/>
    <s v="PEST CONTROL"/>
    <s v="SC JOHNSON"/>
    <x v="1"/>
    <x v="1"/>
    <x v="3"/>
    <x v="4"/>
    <x v="3"/>
    <n v="19.829999999999998"/>
    <n v="21.190999999999999"/>
    <n v="22.486000000000001"/>
    <n v="18.588999999999999"/>
    <n v="25.477"/>
    <n v="28.591000000000001"/>
    <n v="30.329000000000001"/>
    <n v="31.611999999999998"/>
    <n v="32.497"/>
    <n v="15.555999999999999"/>
    <n v="14.789"/>
    <n v="16.257999999999999"/>
    <n v="25.707000000000001"/>
    <n v="26.213000000000001"/>
    <n v="23.032"/>
    <n v="23.315999999999999"/>
    <n v="28.015999999999998"/>
    <n v="21.57"/>
    <n v="26.937999999999999"/>
    <n v="20.027000000000001"/>
    <n v="15.382999999999999"/>
    <n v="19.338000000000001"/>
    <n v="23.190999999999999"/>
    <n v="25.681999999999999"/>
    <n v="23.545000000000002"/>
    <n v="30.166"/>
    <n v="31.526"/>
    <n v="31.106000000000002"/>
    <n v="29.276"/>
    <n v="26.983000000000001"/>
    <n v="25.434000000000001"/>
    <n v="27.23"/>
    <n v="25.305"/>
    <n v="23.044"/>
    <n v="21.283999999999999"/>
    <n v="19.814"/>
    <n v="21.433"/>
    <n v="508.39"/>
  </r>
  <r>
    <x v="5"/>
    <s v="PEST CONTROL"/>
    <s v="SC JOHNSON"/>
    <x v="1"/>
    <x v="1"/>
    <x v="3"/>
    <x v="4"/>
    <x v="4"/>
    <n v="6.8635476999999998"/>
    <n v="10.2874309"/>
    <n v="10.547211300000001"/>
    <n v="9.8950297999999997"/>
    <n v="11.883980299999999"/>
    <n v="12.402870699999999"/>
    <n v="12.5610914"/>
    <n v="12.8211019"/>
    <n v="13.249567600000001"/>
    <n v="9.7314939999999996"/>
    <n v="10.110744199999999"/>
    <n v="10.6188552"/>
    <n v="13.827787000000001"/>
    <n v="12.6721108"/>
    <n v="12.697653300000001"/>
    <n v="12.195316500000001"/>
    <n v="12.9013393"/>
    <n v="11.6819355"/>
    <n v="14.8516198"/>
    <n v="13.231177000000001"/>
    <n v="13.199897500000001"/>
    <n v="13.594674700000001"/>
    <n v="13.1615704"/>
    <n v="12.997964"/>
    <n v="12.127856299999999"/>
    <n v="14.865435"/>
    <n v="15.1425602"/>
    <n v="12.716027199999999"/>
    <n v="12.7804114"/>
    <n v="10.8673856"/>
    <n v="13.063659100000001"/>
    <n v="15.3725945"/>
    <n v="13.666812999999999"/>
    <n v="11.9140081"/>
    <n v="9.3538820000000005"/>
    <n v="8.8793504999999993"/>
    <n v="7.8737361000000003"/>
    <n v="21.433"/>
  </r>
  <r>
    <x v="5"/>
    <s v="PEST CONTROL"/>
    <s v="SC JOHNSON"/>
    <x v="1"/>
    <x v="1"/>
    <x v="3"/>
    <x v="4"/>
    <x v="5"/>
    <n v="0.12"/>
    <n v="0.22"/>
    <n v="0.12"/>
    <n v="0.20499999999999999"/>
    <n v="0.28799999999999998"/>
    <n v="0.26300000000000001"/>
    <n v="0.25"/>
    <n v="0.313"/>
    <n v="0.23"/>
    <n v="0.23100000000000001"/>
    <n v="0.245"/>
    <n v="0.25"/>
    <n v="0.30299999999999999"/>
    <n v="0.24199999999999999"/>
    <n v="0.315"/>
    <n v="0.28399999999999997"/>
    <n v="0.216"/>
    <n v="0.22600000000000001"/>
    <n v="0.20799999999999999"/>
    <n v="0.28699999999999998"/>
    <n v="0.252"/>
    <n v="0.27200000000000002"/>
    <n v="0.34499999999999997"/>
    <n v="0.33800000000000002"/>
    <n v="0.26100000000000001"/>
    <n v="0.52200000000000002"/>
    <n v="0.33800000000000002"/>
    <n v="0.30199999999999999"/>
    <n v="0.193"/>
    <n v="0.17"/>
    <n v="0.26800000000000002"/>
    <n v="0.27500000000000002"/>
    <n v="0.29499999999999998"/>
    <n v="0.25600000000000001"/>
    <n v="0.247"/>
    <n v="0.26200000000000001"/>
    <n v="0.247"/>
    <n v="7.8737361000000003"/>
  </r>
  <r>
    <x v="5"/>
    <s v="PEST CONTROL"/>
    <s v="SC JOHNSON"/>
    <x v="1"/>
    <x v="1"/>
    <x v="3"/>
    <x v="5"/>
    <x v="0"/>
    <n v="255.25899999999999"/>
    <n v="381.59500000000003"/>
    <n v="540.17600000000004"/>
    <n v="607.99599999999998"/>
    <n v="873.76700000000005"/>
    <n v="815.89499999999998"/>
    <n v="789.06899999999996"/>
    <n v="672.45899999999995"/>
    <n v="448.34899999999999"/>
    <n v="391.91800000000001"/>
    <n v="312.47500000000002"/>
    <n v="191.01499999999999"/>
    <n v="294.31"/>
    <n v="616.25900000000001"/>
    <n v="645.65800000000002"/>
    <n v="944.84199999999998"/>
    <n v="1033.9059999999999"/>
    <n v="1164.0360000000001"/>
    <n v="979.71400000000006"/>
    <n v="944.40700000000004"/>
    <n v="515.13800000000003"/>
    <n v="411.10500000000002"/>
    <n v="362.18"/>
    <n v="310.71300000000002"/>
    <n v="397.33499999999998"/>
    <n v="743.92100000000005"/>
    <n v="858.36400000000003"/>
    <n v="1445.4110000000001"/>
    <n v="1511.7239999999999"/>
    <n v="1123.1959999999999"/>
    <n v="1103.578"/>
    <n v="999.32399999999996"/>
    <n v="668.36699999999996"/>
    <n v="458.09100000000001"/>
    <n v="382.32"/>
    <n v="456.41300000000001"/>
    <n v="356.35399999999998"/>
    <n v="2138.1239999999998"/>
  </r>
  <r>
    <x v="5"/>
    <s v="PEST CONTROL"/>
    <s v="SC JOHNSON"/>
    <x v="1"/>
    <x v="1"/>
    <x v="3"/>
    <x v="5"/>
    <x v="1"/>
    <n v="68874.482999999993"/>
    <n v="109646.308"/>
    <n v="157046.15100000001"/>
    <n v="177818.58100000001"/>
    <n v="252663.73699999999"/>
    <n v="237950.15599999999"/>
    <n v="218716.04800000001"/>
    <n v="189857.946"/>
    <n v="128612.819"/>
    <n v="111234.74"/>
    <n v="92148.255000000005"/>
    <n v="51741.144999999997"/>
    <n v="85278.642999999996"/>
    <n v="185874.266"/>
    <n v="199880.19099999999"/>
    <n v="299120.93800000002"/>
    <n v="328025.75699999998"/>
    <n v="365105.55800000002"/>
    <n v="324589.69400000002"/>
    <n v="306830.54100000003"/>
    <n v="158744.95499999999"/>
    <n v="133975.071"/>
    <n v="124290.90300000001"/>
    <n v="113949.75599999999"/>
    <n v="136795.29699999999"/>
    <n v="280403.31199999998"/>
    <n v="309048.40000000002"/>
    <n v="527781.90599999996"/>
    <n v="564505.125"/>
    <n v="434703.34700000001"/>
    <n v="429947.53100000002"/>
    <n v="391088.67800000001"/>
    <n v="234711.88200000001"/>
    <n v="162173.845"/>
    <n v="139081.88800000001"/>
    <n v="175484.402"/>
    <n v="136650.39499999999"/>
    <n v="136650.39499999999"/>
  </r>
  <r>
    <x v="5"/>
    <s v="PEST CONTROL"/>
    <s v="SC JOHNSON"/>
    <x v="1"/>
    <x v="1"/>
    <x v="3"/>
    <x v="5"/>
    <x v="2"/>
    <n v="8.0000000000000002E-3"/>
    <n v="8.9999999999999993E-3"/>
    <n v="0.01"/>
    <n v="8.9999999999999993E-3"/>
    <n v="1.0999999999999999E-2"/>
    <n v="8.9999999999999993E-3"/>
    <n v="0.01"/>
    <n v="1.0999999999999999E-2"/>
    <n v="0.01"/>
    <n v="1.2E-2"/>
    <n v="1.0999999999999999E-2"/>
    <n v="7.0000000000000001E-3"/>
    <n v="0.01"/>
    <n v="1.6E-2"/>
    <n v="1.2E-2"/>
    <n v="1.4E-2"/>
    <n v="1.2999999999999999E-2"/>
    <n v="1.6E-2"/>
    <n v="1.2999999999999999E-2"/>
    <n v="1.4999999999999999E-2"/>
    <n v="0.01"/>
    <n v="8.9999999999999993E-3"/>
    <n v="0.01"/>
    <n v="1.0999999999999999E-2"/>
    <n v="1.2999999999999999E-2"/>
    <n v="0.02"/>
    <n v="1.7999999999999999E-2"/>
    <n v="2.1000000000000001E-2"/>
    <n v="1.9E-2"/>
    <n v="1.2E-2"/>
    <n v="1.0999999999999999E-2"/>
    <n v="0.01"/>
    <n v="8.9999999999999993E-3"/>
    <n v="8.0000000000000002E-3"/>
    <n v="8.9999999999999993E-3"/>
    <n v="1.4999999999999999E-2"/>
    <n v="1.4999999999999999E-2"/>
    <n v="0.89200000000000002"/>
  </r>
  <r>
    <x v="5"/>
    <s v="PEST CONTROL"/>
    <s v="SC JOHNSON"/>
    <x v="1"/>
    <x v="1"/>
    <x v="3"/>
    <x v="5"/>
    <x v="3"/>
    <n v="15.666"/>
    <n v="24.704999999999998"/>
    <n v="27.402000000000001"/>
    <n v="34.118000000000002"/>
    <n v="34.335000000000001"/>
    <n v="30.710999999999999"/>
    <n v="29.478999999999999"/>
    <n v="35.618000000000002"/>
    <n v="33.862000000000002"/>
    <n v="30.402999999999999"/>
    <n v="28.077000000000002"/>
    <n v="23.785"/>
    <n v="38.360999999999997"/>
    <n v="37.11"/>
    <n v="35.561999999999998"/>
    <n v="36.698999999999998"/>
    <n v="40.491"/>
    <n v="36.247"/>
    <n v="37.768000000000001"/>
    <n v="32.585999999999999"/>
    <n v="27.404"/>
    <n v="29.416"/>
    <n v="35.79"/>
    <n v="37.191000000000003"/>
    <n v="37.877000000000002"/>
    <n v="46.273000000000003"/>
    <n v="49.857999999999997"/>
    <n v="54.188000000000002"/>
    <n v="56.945"/>
    <n v="41.387"/>
    <n v="38.661000000000001"/>
    <n v="40.514000000000003"/>
    <n v="29.768000000000001"/>
    <n v="27.218"/>
    <n v="25.582999999999998"/>
    <n v="27.366"/>
    <n v="26.550999999999998"/>
    <n v="5419.5559999999996"/>
  </r>
  <r>
    <x v="5"/>
    <s v="PEST CONTROL"/>
    <s v="SC JOHNSON"/>
    <x v="1"/>
    <x v="1"/>
    <x v="3"/>
    <x v="5"/>
    <x v="4"/>
    <n v="14.229562700000001"/>
    <n v="16.977526699999999"/>
    <n v="16.401087199999999"/>
    <n v="17.320513500000001"/>
    <n v="18.1883537"/>
    <n v="16.7680799"/>
    <n v="16.310683300000001"/>
    <n v="19.412903400000001"/>
    <n v="19.966515000000001"/>
    <n v="19.377030000000001"/>
    <n v="17.8852908"/>
    <n v="16.925405699999999"/>
    <n v="20.256796000000001"/>
    <n v="19.736774700000002"/>
    <n v="19.0184286"/>
    <n v="20.200199699999999"/>
    <n v="20.389596699999998"/>
    <n v="19.459015399999998"/>
    <n v="21.245877799999999"/>
    <n v="21.465892400000001"/>
    <n v="18.839103699999999"/>
    <n v="18.7085109"/>
    <n v="17.974388900000001"/>
    <n v="16.9548396"/>
    <n v="19.067152799999999"/>
    <n v="21.5025218"/>
    <n v="21.968556800000002"/>
    <n v="21.3651546"/>
    <n v="21.694512199999998"/>
    <n v="18.184461599999999"/>
    <n v="17.8931118"/>
    <n v="19.226064399999998"/>
    <n v="16.743919000000002"/>
    <n v="13.7511095"/>
    <n v="14.2707377"/>
    <n v="13.317359400000001"/>
    <n v="12.003975199999999"/>
    <n v="26.550999999999998"/>
  </r>
  <r>
    <x v="5"/>
    <s v="PEST CONTROL"/>
    <s v="SC JOHNSON"/>
    <x v="1"/>
    <x v="1"/>
    <x v="3"/>
    <x v="5"/>
    <x v="5"/>
    <n v="0.314"/>
    <n v="0.39400000000000002"/>
    <n v="0.19900000000000001"/>
    <n v="0.75"/>
    <n v="0.36299999999999999"/>
    <n v="0.28699999999999998"/>
    <n v="0.41499999999999998"/>
    <n v="0.43099999999999999"/>
    <n v="0.51800000000000002"/>
    <n v="0.47099999999999997"/>
    <n v="0.35699999999999998"/>
    <n v="0.35899999999999999"/>
    <n v="0.38800000000000001"/>
    <n v="0.29499999999999998"/>
    <n v="0.55700000000000005"/>
    <n v="0.53"/>
    <n v="0.28899999999999998"/>
    <n v="0.52800000000000002"/>
    <n v="0.41199999999999998"/>
    <n v="0.33200000000000002"/>
    <n v="0.48099999999999998"/>
    <n v="0.435"/>
    <n v="0.60299999999999998"/>
    <n v="0.58599999999999997"/>
    <n v="0.624"/>
    <n v="1.0229999999999999"/>
    <n v="0.86599999999999999"/>
    <n v="0.76800000000000002"/>
    <n v="0.502"/>
    <n v="0.47599999999999998"/>
    <n v="0.48099999999999998"/>
    <n v="0.29499999999999998"/>
    <n v="0.36399999999999999"/>
    <n v="0.35199999999999998"/>
    <n v="0.35899999999999999"/>
    <n v="0.38500000000000001"/>
    <n v="0.439"/>
    <n v="12.003975199999999"/>
  </r>
  <r>
    <x v="5"/>
    <s v="PEST CONTROL"/>
    <s v="SC JOHNSON"/>
    <x v="1"/>
    <x v="2"/>
    <x v="3"/>
    <x v="0"/>
    <x v="0"/>
    <n v="382.45600000000002"/>
    <n v="697.93600000000004"/>
    <n v="1012.973"/>
    <n v="887.76599999999996"/>
    <n v="1452.7929999999999"/>
    <n v="1115.7560000000001"/>
    <n v="1213.6559999999999"/>
    <n v="669.17499999999995"/>
    <n v="715.428"/>
    <n v="637.71400000000006"/>
    <n v="769.33100000000002"/>
    <n v="967.01300000000003"/>
    <n v="712.19600000000003"/>
    <n v="366.976"/>
    <n v="990.13300000000004"/>
    <n v="1294.5909999999999"/>
    <n v="1127.3230000000001"/>
    <n v="1272.1379999999999"/>
    <n v="1289.347"/>
    <n v="1038.7049999999999"/>
    <n v="839.14"/>
    <n v="834.61599999999999"/>
    <n v="770.43799999999999"/>
    <n v="544.23"/>
    <n v="594.92600000000004"/>
    <n v="654.726"/>
    <n v="977.22900000000004"/>
    <n v="788.66899999999998"/>
    <n v="942.30100000000004"/>
    <n v="830.92100000000005"/>
    <n v="616.95500000000004"/>
    <n v="496.55799999999999"/>
    <n v="252.29499999999999"/>
    <n v="319.70499999999998"/>
    <n v="320.88600000000002"/>
    <n v="406.75"/>
    <n v="411.74299999999999"/>
    <n v="411.74299999999999"/>
  </r>
  <r>
    <x v="5"/>
    <s v="PEST CONTROL"/>
    <s v="SC JOHNSON"/>
    <x v="1"/>
    <x v="2"/>
    <x v="3"/>
    <x v="0"/>
    <x v="1"/>
    <n v="108421.212"/>
    <n v="182194.85200000001"/>
    <n v="269982.94900000002"/>
    <n v="244809.82199999999"/>
    <n v="401186.03600000002"/>
    <n v="304265.63"/>
    <n v="331573.70299999998"/>
    <n v="184998.93700000001"/>
    <n v="198317.27100000001"/>
    <n v="163263.21"/>
    <n v="196751.62100000001"/>
    <n v="247083.617"/>
    <n v="184571.60200000001"/>
    <n v="101834.41"/>
    <n v="259465.68"/>
    <n v="362577.005"/>
    <n v="306203.234"/>
    <n v="341941.03100000002"/>
    <n v="378814.26"/>
    <n v="304230.90600000002"/>
    <n v="258325.128"/>
    <n v="256403.269"/>
    <n v="239782.53599999999"/>
    <n v="167781.34400000001"/>
    <n v="190063.40599999999"/>
    <n v="213511.63500000001"/>
    <n v="318667.609"/>
    <n v="248196.296"/>
    <n v="310253.70400000003"/>
    <n v="257362.196"/>
    <n v="189855.28099999999"/>
    <n v="158006.79699999999"/>
    <n v="78233.062000000005"/>
    <n v="100580.894"/>
    <n v="101682.849"/>
    <n v="135719.465"/>
    <n v="125555.51"/>
    <n v="125555.51"/>
  </r>
  <r>
    <x v="5"/>
    <s v="PEST CONTROL"/>
    <s v="SC JOHNSON"/>
    <x v="1"/>
    <x v="2"/>
    <x v="3"/>
    <x v="0"/>
    <x v="2"/>
    <n v="0.79700000000000004"/>
    <n v="1.0660000000000001"/>
    <n v="1.2470000000000001"/>
    <n v="0.84699999999999998"/>
    <n v="1.155"/>
    <n v="0.82"/>
    <n v="0.97"/>
    <n v="0.68600000000000005"/>
    <n v="1.012"/>
    <n v="1.2290000000000001"/>
    <n v="1.72"/>
    <n v="2.2410000000000001"/>
    <n v="1.5349999999999999"/>
    <n v="0.627"/>
    <n v="1.218"/>
    <n v="1.2889999999999999"/>
    <n v="0.93600000000000005"/>
    <n v="1.1559999999999999"/>
    <n v="1.0880000000000001"/>
    <n v="1.095"/>
    <n v="1.052"/>
    <n v="1.244"/>
    <n v="1.4059999999999999"/>
    <n v="1.238"/>
    <n v="1.2629999999999999"/>
    <n v="1.1379999999999999"/>
    <n v="1.331"/>
    <n v="0.73599999999999999"/>
    <n v="0.76400000000000001"/>
    <n v="0.58699999999999997"/>
    <n v="0.38600000000000001"/>
    <n v="0.316"/>
    <n v="0.215"/>
    <n v="0.34599999999999997"/>
    <n v="0.47199999999999998"/>
    <n v="0.88800000000000001"/>
    <n v="1.0980000000000001"/>
    <n v="0.17199999999999999"/>
  </r>
  <r>
    <x v="5"/>
    <s v="PEST CONTROL"/>
    <s v="SC JOHNSON"/>
    <x v="1"/>
    <x v="2"/>
    <x v="3"/>
    <x v="0"/>
    <x v="3"/>
    <n v="37.045999999999999"/>
    <n v="39.146999999999998"/>
    <n v="40.585000000000001"/>
    <n v="46.487000000000002"/>
    <n v="46.231999999999999"/>
    <n v="44.436999999999998"/>
    <n v="42.317"/>
    <n v="44.203000000000003"/>
    <n v="40.654000000000003"/>
    <n v="40.456000000000003"/>
    <n v="43.017000000000003"/>
    <n v="45.262999999999998"/>
    <n v="46.411000000000001"/>
    <n v="41.423999999999999"/>
    <n v="44.774000000000001"/>
    <n v="41.421999999999997"/>
    <n v="45.716000000000001"/>
    <n v="49.366999999999997"/>
    <n v="46.237000000000002"/>
    <n v="44.795000000000002"/>
    <n v="45.585000000000001"/>
    <n v="40.133000000000003"/>
    <n v="36.091999999999999"/>
    <n v="34.161000000000001"/>
    <n v="30.099"/>
    <n v="33.926000000000002"/>
    <n v="36.875"/>
    <n v="28.574999999999999"/>
    <n v="24.853000000000002"/>
    <n v="23.849"/>
    <n v="21.678000000000001"/>
    <n v="22.024000000000001"/>
    <n v="17.977"/>
    <n v="20.337"/>
    <n v="21.693000000000001"/>
    <n v="25.33"/>
    <n v="25.192"/>
    <n v="950.13499999999999"/>
  </r>
  <r>
    <x v="5"/>
    <s v="PEST CONTROL"/>
    <s v="SC JOHNSON"/>
    <x v="1"/>
    <x v="2"/>
    <x v="3"/>
    <x v="0"/>
    <x v="4"/>
    <n v="22.197049199999999"/>
    <n v="23.7828491"/>
    <n v="24.546962300000001"/>
    <n v="25.952193600000001"/>
    <n v="24.612670699999999"/>
    <n v="23.963603800000001"/>
    <n v="24.052731300000001"/>
    <n v="25.686685900000001"/>
    <n v="22.726067700000002"/>
    <n v="24.817837600000001"/>
    <n v="24.827584399999999"/>
    <n v="26.631593599999999"/>
    <n v="23.294269799999999"/>
    <n v="22.757482100000001"/>
    <n v="24.695500200000001"/>
    <n v="22.717597099999999"/>
    <n v="18.893124799999999"/>
    <n v="22.7077189"/>
    <n v="20.996103000000002"/>
    <n v="20.5633591"/>
    <n v="20.772041300000001"/>
    <n v="20.2290691"/>
    <n v="19.5662606"/>
    <n v="18.985191400000001"/>
    <n v="19.065567399999999"/>
    <n v="18.321043400000001"/>
    <n v="19.8830934"/>
    <n v="18.687777000000001"/>
    <n v="16.9356258"/>
    <n v="16.315139500000001"/>
    <n v="15.6408451"/>
    <n v="15.5229029"/>
    <n v="12.2261889"/>
    <n v="12.493666299999999"/>
    <n v="13.9282045"/>
    <n v="14.5606654"/>
    <n v="14.7197786"/>
    <n v="25.192"/>
  </r>
  <r>
    <x v="5"/>
    <s v="PEST CONTROL"/>
    <s v="SC JOHNSON"/>
    <x v="1"/>
    <x v="2"/>
    <x v="3"/>
    <x v="0"/>
    <x v="5"/>
    <n v="0.94399999999999995"/>
    <n v="0.76200000000000001"/>
    <n v="0.91600000000000004"/>
    <n v="0.997"/>
    <n v="0.98899999999999999"/>
    <n v="0.89400000000000002"/>
    <n v="0.872"/>
    <n v="0.91"/>
    <n v="1.02"/>
    <n v="0.999"/>
    <n v="0.91900000000000004"/>
    <n v="0.93"/>
    <n v="0.78400000000000003"/>
    <n v="0.88100000000000001"/>
    <n v="0.93200000000000005"/>
    <n v="0.67100000000000004"/>
    <n v="0.65200000000000002"/>
    <n v="0.71299999999999997"/>
    <n v="0.67400000000000004"/>
    <n v="0.70799999999999996"/>
    <n v="0.71"/>
    <n v="0.69199999999999995"/>
    <n v="0.748"/>
    <n v="0.81599999999999995"/>
    <n v="0.83899999999999997"/>
    <n v="0.91600000000000004"/>
    <n v="0.58799999999999997"/>
    <n v="0.61599999999999999"/>
    <n v="0.51500000000000001"/>
    <n v="0.60299999999999998"/>
    <n v="0.47699999999999998"/>
    <n v="0.38100000000000001"/>
    <n v="0.499"/>
    <n v="0.47"/>
    <n v="0.48099999999999998"/>
    <n v="0.39600000000000002"/>
    <n v="0.434"/>
    <n v="14.7197786"/>
  </r>
  <r>
    <x v="5"/>
    <s v="PEST CONTROL"/>
    <s v="SC JOHNSON"/>
    <x v="1"/>
    <x v="3"/>
    <x v="2"/>
    <x v="0"/>
    <x v="0"/>
    <n v="159.33699999999999"/>
    <n v="419.07499999999999"/>
    <n v="664.05399999999997"/>
    <n v="583.69200000000001"/>
    <n v="975.61800000000005"/>
    <n v="1046.1669999999999"/>
    <n v="1111.6120000000001"/>
    <n v="805.03499999999997"/>
    <n v="357.47199999999998"/>
    <n v="268.73700000000002"/>
    <n v="232.017"/>
    <n v="229.86600000000001"/>
    <n v="398.82900000000001"/>
    <n v="383.19600000000003"/>
    <n v="875.30399999999997"/>
    <n v="815.72500000000002"/>
    <n v="980.67600000000004"/>
    <n v="660.04200000000003"/>
    <n v="446.02"/>
    <n v="324.02800000000002"/>
    <n v="301.12400000000002"/>
    <n v="341.64600000000002"/>
    <n v="189.82"/>
    <n v="312.53300000000002"/>
    <n v="242.22"/>
    <n v="432.46499999999997"/>
    <n v="389.41300000000001"/>
    <n v="315.04199999999997"/>
    <n v="554.29100000000005"/>
    <n v="556.17100000000005"/>
    <n v="762.14499999999998"/>
    <n v="340.15"/>
    <n v="437.79500000000002"/>
    <n v="277.505"/>
    <n v="193.80600000000001"/>
    <n v="0"/>
    <n v="59.99"/>
    <n v="59.99"/>
  </r>
  <r>
    <x v="5"/>
    <s v="PEST CONTROL"/>
    <s v="SC JOHNSON"/>
    <x v="1"/>
    <x v="3"/>
    <x v="2"/>
    <x v="0"/>
    <x v="1"/>
    <n v="19766.164000000001"/>
    <n v="54450.917000000001"/>
    <n v="88760.678"/>
    <n v="78715.573999999993"/>
    <n v="135118.601"/>
    <n v="147198.856"/>
    <n v="157885.44899999999"/>
    <n v="114100.74400000001"/>
    <n v="50039.423999999999"/>
    <n v="37990.911999999997"/>
    <n v="31595.611000000001"/>
    <n v="33456.565999999999"/>
    <n v="54976.796999999999"/>
    <n v="52866.758999999998"/>
    <n v="120269.099"/>
    <n v="115659.625"/>
    <n v="142634.291"/>
    <n v="92721.407000000007"/>
    <n v="67679.343999999997"/>
    <n v="48764.107000000004"/>
    <n v="43353.917999999998"/>
    <n v="51641.758000000002"/>
    <n v="28183.683000000001"/>
    <n v="45281.561999999998"/>
    <n v="33718.32"/>
    <n v="61814.589"/>
    <n v="59227.775000000001"/>
    <n v="45331.34"/>
    <n v="81492.978000000003"/>
    <n v="75713.486999999994"/>
    <n v="108337.613"/>
    <n v="44693.906999999999"/>
    <n v="59581.919999999998"/>
    <n v="43992.773999999998"/>
    <n v="27583.975999999999"/>
    <n v="0"/>
    <n v="8698.5400000000009"/>
    <n v="8698.5400000000009"/>
  </r>
  <r>
    <x v="5"/>
    <s v="PEST CONTROL"/>
    <s v="SC JOHNSON"/>
    <x v="1"/>
    <x v="3"/>
    <x v="2"/>
    <x v="0"/>
    <x v="2"/>
    <n v="0.255"/>
    <n v="0.49299999999999999"/>
    <n v="0.629"/>
    <n v="0.42899999999999999"/>
    <n v="0.59699999999999998"/>
    <n v="0.59099999999999997"/>
    <n v="0.68300000000000005"/>
    <n v="0.63500000000000001"/>
    <n v="0.38900000000000001"/>
    <n v="0.39800000000000002"/>
    <n v="0.39900000000000002"/>
    <n v="0.41"/>
    <n v="0.66100000000000003"/>
    <n v="0.504"/>
    <n v="0.82799999999999996"/>
    <n v="0.625"/>
    <n v="0.627"/>
    <n v="0.46100000000000002"/>
    <n v="0.28999999999999998"/>
    <n v="0.26300000000000001"/>
    <n v="0.28999999999999998"/>
    <n v="0.39200000000000002"/>
    <n v="0.26600000000000001"/>
    <n v="0.54700000000000004"/>
    <n v="0.39600000000000002"/>
    <n v="0.57799999999999996"/>
    <n v="0.40799999999999997"/>
    <n v="0.22600000000000001"/>
    <n v="0.34599999999999997"/>
    <n v="0.30199999999999999"/>
    <n v="0.36599999999999999"/>
    <n v="0.16700000000000001"/>
    <n v="0.28799999999999998"/>
    <n v="0.23100000000000001"/>
    <n v="0.219"/>
    <n v="0"/>
    <n v="0.123"/>
    <n v="2.5000000000000001E-2"/>
  </r>
  <r>
    <x v="5"/>
    <s v="PEST CONTROL"/>
    <s v="SC JOHNSON"/>
    <x v="1"/>
    <x v="3"/>
    <x v="2"/>
    <x v="0"/>
    <x v="3"/>
    <n v="10.72"/>
    <n v="14.221"/>
    <n v="25.632999999999999"/>
    <n v="26.742000000000001"/>
    <n v="25.739000000000001"/>
    <n v="18.023"/>
    <n v="15.673999999999999"/>
    <n v="15.231"/>
    <n v="10.769"/>
    <n v="9.4250000000000007"/>
    <n v="12.569000000000001"/>
    <n v="12.301"/>
    <n v="22.974"/>
    <n v="20.161999999999999"/>
    <n v="25.483000000000001"/>
    <n v="23.693999999999999"/>
    <n v="25.384"/>
    <n v="23.388999999999999"/>
    <n v="12.242000000000001"/>
    <n v="11.205"/>
    <n v="14.223000000000001"/>
    <n v="14.308"/>
    <n v="11.308"/>
    <n v="10.196999999999999"/>
    <n v="9.1820000000000004"/>
    <n v="16.948"/>
    <n v="7.6470000000000002"/>
    <n v="7.2309999999999999"/>
    <n v="10.92"/>
    <n v="10.583"/>
    <n v="9.58"/>
    <n v="9.9580000000000002"/>
    <n v="11.563000000000001"/>
    <n v="6.63"/>
    <n v="7.835"/>
    <n v="5.9749999999999996"/>
    <n v="6.0529999999999999"/>
    <n v="267.017"/>
  </r>
  <r>
    <x v="5"/>
    <s v="PEST CONTROL"/>
    <s v="SC JOHNSON"/>
    <x v="1"/>
    <x v="3"/>
    <x v="2"/>
    <x v="0"/>
    <x v="4"/>
    <n v="8.8316224000000005"/>
    <n v="10.171419200000001"/>
    <n v="11.2410984"/>
    <n v="11.708893"/>
    <n v="12.769534999999999"/>
    <n v="11.1699269"/>
    <n v="12.5026929"/>
    <n v="12.1902439"/>
    <n v="12.2932538"/>
    <n v="12.6726426"/>
    <n v="13.0656319"/>
    <n v="12.725252899999999"/>
    <n v="16.0935293"/>
    <n v="17.380483399999999"/>
    <n v="19.829985799999999"/>
    <n v="21.1466976"/>
    <n v="19.8125781"/>
    <n v="16.150564200000002"/>
    <n v="12.337434699999999"/>
    <n v="12.367494600000001"/>
    <n v="12.786421600000001"/>
    <n v="12.0311038"/>
    <n v="10.439027400000001"/>
    <n v="11.1135903"/>
    <n v="9.8192302999999992"/>
    <n v="11.896563"/>
    <n v="10.967689"/>
    <n v="9.1062218000000001"/>
    <n v="10.3241098"/>
    <n v="8.1157686000000009"/>
    <n v="7.9485403999999997"/>
    <n v="6.5730130999999998"/>
    <n v="5.5220225999999997"/>
    <n v="3.7862491999999999"/>
    <n v="4.9097442999999998"/>
    <n v="4.2896244000000001"/>
    <n v="4.3423385999999997"/>
    <n v="6.0529999999999999"/>
  </r>
  <r>
    <x v="5"/>
    <s v="PEST CONTROL"/>
    <s v="SC JOHNSON"/>
    <x v="1"/>
    <x v="3"/>
    <x v="2"/>
    <x v="0"/>
    <x v="5"/>
    <n v="0.38600000000000001"/>
    <n v="0.40300000000000002"/>
    <n v="0.51500000000000001"/>
    <n v="0.39100000000000001"/>
    <n v="0.24299999999999999"/>
    <n v="0.42699999999999999"/>
    <n v="0.33100000000000002"/>
    <n v="0.502"/>
    <n v="0.52400000000000002"/>
    <n v="0.52800000000000002"/>
    <n v="0.497"/>
    <n v="0.56899999999999995"/>
    <n v="0.68300000000000005"/>
    <n v="1.1160000000000001"/>
    <n v="0.82299999999999995"/>
    <n v="0.621"/>
    <n v="0.55700000000000005"/>
    <n v="0.60499999999999998"/>
    <n v="0.52700000000000002"/>
    <n v="0.47299999999999998"/>
    <n v="0.432"/>
    <n v="0.624"/>
    <n v="0.54800000000000004"/>
    <n v="0.45600000000000002"/>
    <n v="0.46"/>
    <n v="0.39600000000000002"/>
    <n v="0.35499999999999998"/>
    <n v="0.378"/>
    <n v="0.27"/>
    <n v="0.26400000000000001"/>
    <n v="0.23799999999999999"/>
    <n v="0.224"/>
    <n v="0.14799999999999999"/>
    <n v="0.114"/>
    <n v="0.13800000000000001"/>
    <n v="0.14899999999999999"/>
    <n v="0.13"/>
    <n v="4.3423385999999997"/>
  </r>
  <r>
    <x v="5"/>
    <s v="PEST CONTROL"/>
    <s v="SC JOHNSON"/>
    <x v="1"/>
    <x v="4"/>
    <x v="2"/>
    <x v="0"/>
    <x v="0"/>
    <n v="543.56399999999996"/>
    <n v="651.48500000000001"/>
    <n v="920.66899999999998"/>
    <n v="563.39200000000005"/>
    <n v="432.97399999999999"/>
    <n v="1033.0170000000001"/>
    <n v="1318.768"/>
    <n v="898.83100000000002"/>
    <n v="434.55700000000002"/>
    <n v="360.77600000000001"/>
    <n v="419.55200000000002"/>
    <n v="264.96800000000002"/>
    <n v="428.52600000000001"/>
    <n v="437.62"/>
    <n v="554.26199999999994"/>
    <n v="605.95699999999999"/>
    <n v="480.29399999999998"/>
    <n v="298.57799999999997"/>
    <n v="562.86599999999999"/>
    <n v="430.17500000000001"/>
    <n v="417.59199999999998"/>
    <n v="362.69900000000001"/>
    <n v="334.73599999999999"/>
    <n v="240.53100000000001"/>
    <n v="291.48200000000003"/>
    <n v="315.85199999999998"/>
    <n v="591.40300000000002"/>
    <n v="1251.27"/>
    <n v="1452.2329999999999"/>
    <n v="1377.509"/>
    <n v="877.33199999999999"/>
    <n v="1402.5630000000001"/>
    <n v="856.72500000000002"/>
    <n v="566.24099999999999"/>
    <n v="541.73099999999999"/>
    <n v="431.202"/>
    <n v="610.64400000000001"/>
    <n v="610.64400000000001"/>
  </r>
  <r>
    <x v="5"/>
    <s v="PEST CONTROL"/>
    <s v="SC JOHNSON"/>
    <x v="1"/>
    <x v="4"/>
    <x v="2"/>
    <x v="0"/>
    <x v="1"/>
    <n v="78192.251999999993"/>
    <n v="92185.888000000006"/>
    <n v="134118.87100000001"/>
    <n v="84772.411999999997"/>
    <n v="57526.540999999997"/>
    <n v="148980.97700000001"/>
    <n v="146308.29300000001"/>
    <n v="103064.477"/>
    <n v="43988.548000000003"/>
    <n v="36576.031000000003"/>
    <n v="39068.970999999998"/>
    <n v="25237.002"/>
    <n v="44633.3"/>
    <n v="45307.832999999999"/>
    <n v="65594.118000000002"/>
    <n v="74900.320999999996"/>
    <n v="57722.726000000002"/>
    <n v="38420.474000000002"/>
    <n v="72716.899000000005"/>
    <n v="57891.447999999997"/>
    <n v="54654.114999999998"/>
    <n v="47509.754000000001"/>
    <n v="45857.326999999997"/>
    <n v="32151.217000000001"/>
    <n v="43221.648999999998"/>
    <n v="49892.213000000003"/>
    <n v="87520.282999999996"/>
    <n v="195394.633"/>
    <n v="221033.014"/>
    <n v="223996.14600000001"/>
    <n v="141068.31200000001"/>
    <n v="208097.579"/>
    <n v="138123.89000000001"/>
    <n v="92922.418999999994"/>
    <n v="72124.317999999999"/>
    <n v="67617.240999999995"/>
    <n v="96843.728000000003"/>
    <n v="96843.728000000003"/>
  </r>
  <r>
    <x v="5"/>
    <s v="PEST CONTROL"/>
    <s v="SC JOHNSON"/>
    <x v="1"/>
    <x v="4"/>
    <x v="2"/>
    <x v="0"/>
    <x v="2"/>
    <n v="0.875"/>
    <n v="0.77200000000000002"/>
    <n v="0.872"/>
    <n v="0.41399999999999998"/>
    <n v="0.26500000000000001"/>
    <n v="0.58899999999999997"/>
    <n v="0.81599999999999995"/>
    <n v="0.71499999999999997"/>
    <n v="0.47599999999999998"/>
    <n v="0.53500000000000003"/>
    <n v="0.72099999999999997"/>
    <n v="0.47199999999999998"/>
    <n v="0.73199999999999998"/>
    <n v="0.58199999999999996"/>
    <n v="0.52400000000000002"/>
    <n v="0.46400000000000002"/>
    <n v="0.309"/>
    <n v="0.21"/>
    <n v="0.36499999999999999"/>
    <n v="0.34899999999999998"/>
    <n v="0.40300000000000002"/>
    <n v="0.41899999999999998"/>
    <n v="0.47299999999999998"/>
    <n v="0.44400000000000001"/>
    <n v="0.51"/>
    <n v="0.432"/>
    <n v="0.64300000000000002"/>
    <n v="0.92"/>
    <n v="0.92"/>
    <n v="0.753"/>
    <n v="0.42699999999999999"/>
    <n v="0.68700000000000006"/>
    <n v="0.56299999999999994"/>
    <n v="0.47499999999999998"/>
    <n v="0.61299999999999999"/>
    <n v="0.72599999999999998"/>
    <n v="1.2529999999999999"/>
    <n v="0.255"/>
  </r>
  <r>
    <x v="5"/>
    <s v="PEST CONTROL"/>
    <s v="SC JOHNSON"/>
    <x v="1"/>
    <x v="4"/>
    <x v="2"/>
    <x v="0"/>
    <x v="3"/>
    <n v="22.765999999999998"/>
    <n v="18.972000000000001"/>
    <n v="15.861000000000001"/>
    <n v="9.1419999999999995"/>
    <n v="8.7590000000000003"/>
    <n v="10.845000000000001"/>
    <n v="15.32"/>
    <n v="17.061"/>
    <n v="16.001000000000001"/>
    <n v="14.848000000000001"/>
    <n v="14.885"/>
    <n v="14.952"/>
    <n v="13.881"/>
    <n v="13.035"/>
    <n v="12.398"/>
    <n v="12.867000000000001"/>
    <n v="13.898999999999999"/>
    <n v="15.026999999999999"/>
    <n v="14.24"/>
    <n v="12.342000000000001"/>
    <n v="14.398999999999999"/>
    <n v="20.251000000000001"/>
    <n v="20.931000000000001"/>
    <n v="24.818000000000001"/>
    <n v="25.626000000000001"/>
    <n v="18.645"/>
    <n v="19.844000000000001"/>
    <n v="26.585999999999999"/>
    <n v="27.504000000000001"/>
    <n v="18.608000000000001"/>
    <n v="15.154999999999999"/>
    <n v="19.068999999999999"/>
    <n v="20.265000000000001"/>
    <n v="21.399000000000001"/>
    <n v="21.277000000000001"/>
    <n v="21.867000000000001"/>
    <n v="24.61"/>
    <n v="1650.172"/>
  </r>
  <r>
    <x v="5"/>
    <s v="PEST CONTROL"/>
    <s v="SC JOHNSON"/>
    <x v="1"/>
    <x v="4"/>
    <x v="2"/>
    <x v="0"/>
    <x v="4"/>
    <n v="8.1293506000000004"/>
    <n v="9.2085930000000005"/>
    <n v="9.0708835000000008"/>
    <n v="6.8554928999999998"/>
    <n v="5.8474243000000001"/>
    <n v="7.5179999999999998"/>
    <n v="8.5964083000000002"/>
    <n v="7.7866628999999996"/>
    <n v="5.0600535000000004"/>
    <n v="4.1390158000000001"/>
    <n v="4.1400646999999999"/>
    <n v="3.9895548000000001"/>
    <n v="4.8769305999999997"/>
    <n v="4.7582475000000004"/>
    <n v="4.2908020000000002"/>
    <n v="4.3368301999999996"/>
    <n v="4.8722178999999999"/>
    <n v="4.8562608999999997"/>
    <n v="5.6770797999999996"/>
    <n v="5.9300294999999998"/>
    <n v="5.2753321"/>
    <n v="7.4877975000000001"/>
    <n v="7.5718002000000002"/>
    <n v="7.9099228000000004"/>
    <n v="7.6816021000000001"/>
    <n v="7.8736689000000002"/>
    <n v="8.1785508999999994"/>
    <n v="10.9934896"/>
    <n v="12.765973900000001"/>
    <n v="11.027941800000001"/>
    <n v="9.7775061999999995"/>
    <n v="10.897554"/>
    <n v="12.1479681"/>
    <n v="10.400540899999999"/>
    <n v="11.065248"/>
    <n v="11.925668999999999"/>
    <n v="13.280488099999999"/>
    <n v="24.61"/>
  </r>
  <r>
    <x v="5"/>
    <s v="PEST CONTROL"/>
    <s v="SC JOHNSON"/>
    <x v="1"/>
    <x v="4"/>
    <x v="2"/>
    <x v="0"/>
    <x v="5"/>
    <n v="0.63"/>
    <n v="0.39600000000000002"/>
    <n v="0.45700000000000002"/>
    <n v="0.33400000000000002"/>
    <n v="0.29699999999999999"/>
    <n v="0.49099999999999999"/>
    <n v="0.52500000000000002"/>
    <n v="0.48499999999999999"/>
    <n v="0.46800000000000003"/>
    <n v="0.38800000000000001"/>
    <n v="0.39200000000000002"/>
    <n v="0.23599999999999999"/>
    <n v="0.251"/>
    <n v="0.26600000000000001"/>
    <n v="0.187"/>
    <n v="0.18099999999999999"/>
    <n v="0.20599999999999999"/>
    <n v="0.18099999999999999"/>
    <n v="0.246"/>
    <n v="0.24299999999999999"/>
    <n v="0.27800000000000002"/>
    <n v="0.51800000000000002"/>
    <n v="0.48199999999999998"/>
    <n v="0.45300000000000001"/>
    <n v="0.432"/>
    <n v="0.36699999999999999"/>
    <n v="0.50800000000000001"/>
    <n v="0.58899999999999997"/>
    <n v="0.435"/>
    <n v="0.32700000000000001"/>
    <n v="0.2"/>
    <n v="0.49199999999999999"/>
    <n v="0.54500000000000004"/>
    <n v="0.67700000000000005"/>
    <n v="0.83399999999999996"/>
    <n v="0.74"/>
    <n v="0.77400000000000002"/>
    <n v="13.280488099999999"/>
  </r>
  <r>
    <x v="5"/>
    <s v="PEST CONTROL"/>
    <s v="SC JOHNSON"/>
    <x v="1"/>
    <x v="4"/>
    <x v="3"/>
    <x v="0"/>
    <x v="0"/>
    <n v="258.53800000000001"/>
    <n v="103.157"/>
    <n v="346.06099999999998"/>
    <n v="228.00700000000001"/>
    <n v="374.68400000000003"/>
    <n v="404.25799999999998"/>
    <n v="286.767"/>
    <n v="171.49700000000001"/>
    <n v="160.696"/>
    <n v="411.94400000000002"/>
    <n v="488.32100000000003"/>
    <n v="244.12299999999999"/>
    <n v="367.07600000000002"/>
    <n v="474.01900000000001"/>
    <n v="835.85"/>
    <n v="1622.9749999999999"/>
    <n v="2107.692"/>
    <n v="1710.588"/>
    <n v="2435.5050000000001"/>
    <n v="1338.49"/>
    <n v="1045.8019999999999"/>
    <n v="794.96400000000006"/>
    <n v="721.66600000000005"/>
    <n v="933.98900000000003"/>
    <n v="578.875"/>
    <n v="1304.8689999999999"/>
    <n v="2155.9490000000001"/>
    <n v="3610.2159999999999"/>
    <n v="3128.3"/>
    <n v="3194.5050000000001"/>
    <n v="3625.9659999999999"/>
    <n v="2966.2579999999998"/>
    <n v="2180.4870000000001"/>
    <n v="1820.6189999999999"/>
    <n v="1626.934"/>
    <n v="1110.23"/>
    <n v="1148.3499999999999"/>
    <n v="1148.3499999999999"/>
  </r>
  <r>
    <x v="5"/>
    <s v="PEST CONTROL"/>
    <s v="SC JOHNSON"/>
    <x v="1"/>
    <x v="4"/>
    <x v="3"/>
    <x v="0"/>
    <x v="1"/>
    <n v="58167.048999999999"/>
    <n v="29366.738000000001"/>
    <n v="92119.733999999997"/>
    <n v="64559.726000000002"/>
    <n v="112422.22"/>
    <n v="97099.801000000007"/>
    <n v="83262.914000000004"/>
    <n v="49305.489000000001"/>
    <n v="41322.398000000001"/>
    <n v="116383.594"/>
    <n v="136677.14600000001"/>
    <n v="66461.38"/>
    <n v="90214.789000000004"/>
    <n v="110844.57"/>
    <n v="195921.97700000001"/>
    <n v="380834.46899999998"/>
    <n v="493959.62300000002"/>
    <n v="431237.57799999998"/>
    <n v="594834.50399999996"/>
    <n v="328130.71799999999"/>
    <n v="259011.99799999999"/>
    <n v="206357.182"/>
    <n v="189983.58799999999"/>
    <n v="237852.17800000001"/>
    <n v="150368.86300000001"/>
    <n v="328845.25400000002"/>
    <n v="567726.16599999997"/>
    <n v="924552.647"/>
    <n v="844854.05599999998"/>
    <n v="926886.66899999999"/>
    <n v="1013826.4570000001"/>
    <n v="821879.96900000004"/>
    <n v="632937.92799999996"/>
    <n v="530922.06200000003"/>
    <n v="470403.95799999998"/>
    <n v="326502.98300000001"/>
    <n v="336874.54100000003"/>
    <n v="336874.54100000003"/>
  </r>
  <r>
    <x v="5"/>
    <s v="PEST CONTROL"/>
    <s v="SC JOHNSON"/>
    <x v="1"/>
    <x v="4"/>
    <x v="3"/>
    <x v="0"/>
    <x v="2"/>
    <n v="0.497"/>
    <n v="0.14499999999999999"/>
    <n v="0.39300000000000002"/>
    <n v="0.20100000000000001"/>
    <n v="0.27500000000000002"/>
    <n v="0.27400000000000002"/>
    <n v="0.21099999999999999"/>
    <n v="0.16200000000000001"/>
    <n v="0.21"/>
    <n v="0.73299999999999998"/>
    <n v="1.008"/>
    <n v="0.52200000000000002"/>
    <n v="0.73"/>
    <n v="0.748"/>
    <n v="0.94899999999999995"/>
    <n v="1.4910000000000001"/>
    <n v="1.6160000000000001"/>
    <n v="1.4350000000000001"/>
    <n v="1.8979999999999999"/>
    <n v="1.3029999999999999"/>
    <n v="1.21"/>
    <n v="1.0940000000000001"/>
    <n v="1.2150000000000001"/>
    <n v="1.9610000000000001"/>
    <n v="1.1359999999999999"/>
    <n v="2.105"/>
    <n v="2.746"/>
    <n v="3.169"/>
    <n v="2.4119999999999999"/>
    <n v="2.1520000000000001"/>
    <n v="2.1539999999999999"/>
    <n v="1.7809999999999999"/>
    <n v="1.766"/>
    <n v="1.875"/>
    <n v="2.266"/>
    <n v="2.3239999999999998"/>
    <n v="2.8940000000000001"/>
    <n v="0.47899999999999998"/>
  </r>
  <r>
    <x v="5"/>
    <s v="PEST CONTROL"/>
    <s v="SC JOHNSON"/>
    <x v="1"/>
    <x v="4"/>
    <x v="3"/>
    <x v="0"/>
    <x v="3"/>
    <n v="4.6779999999999999"/>
    <n v="4.0289999999999999"/>
    <n v="5.0090000000000003"/>
    <n v="2.16"/>
    <n v="2.9049999999999998"/>
    <n v="2.375"/>
    <n v="4.9880000000000004"/>
    <n v="4.5350000000000001"/>
    <n v="4.9009999999999998"/>
    <n v="13.18"/>
    <n v="11.4"/>
    <n v="10.711"/>
    <n v="16.045999999999999"/>
    <n v="14.244999999999999"/>
    <n v="22.927"/>
    <n v="27.667999999999999"/>
    <n v="45.49"/>
    <n v="47.750999999999998"/>
    <n v="47.109000000000002"/>
    <n v="43.682000000000002"/>
    <n v="38.377000000000002"/>
    <n v="30.484000000000002"/>
    <n v="25.585000000000001"/>
    <n v="30.385000000000002"/>
    <n v="27.692"/>
    <n v="38.593000000000004"/>
    <n v="43.956000000000003"/>
    <n v="47.719000000000001"/>
    <n v="52.69"/>
    <n v="46.798999999999999"/>
    <n v="44.057000000000002"/>
    <n v="51.548000000000002"/>
    <n v="42.463000000000001"/>
    <n v="40.326999999999998"/>
    <n v="40.706000000000003"/>
    <n v="49.81"/>
    <n v="52.835999999999999"/>
    <n v="1916.35"/>
  </r>
  <r>
    <x v="5"/>
    <s v="PEST CONTROL"/>
    <s v="SC JOHNSON"/>
    <x v="1"/>
    <x v="4"/>
    <x v="3"/>
    <x v="0"/>
    <x v="4"/>
    <n v="4.4997553000000003"/>
    <n v="4.2486531000000003"/>
    <n v="4.5272929"/>
    <n v="3.4012566999999998"/>
    <n v="4.1896886999999996"/>
    <n v="3.9070860999999999"/>
    <n v="3.0641970999999999"/>
    <n v="3.5289158"/>
    <n v="4.4331966999999999"/>
    <n v="8.0288938000000005"/>
    <n v="7.5845019000000002"/>
    <n v="7.5791744999999997"/>
    <n v="8.6027156999999992"/>
    <n v="8.6276232000000004"/>
    <n v="11.501185599999999"/>
    <n v="13.1431951"/>
    <n v="19.476462699999999"/>
    <n v="23.1763169"/>
    <n v="24.774986200000001"/>
    <n v="22.722028900000002"/>
    <n v="20.703364799999999"/>
    <n v="20.084609400000002"/>
    <n v="16.243033"/>
    <n v="17.100431"/>
    <n v="18.6523805"/>
    <n v="21.7787787"/>
    <n v="24.746364700000001"/>
    <n v="24.332809900000001"/>
    <n v="22.268151100000001"/>
    <n v="22.4108497"/>
    <n v="22.2396384"/>
    <n v="25.194823800000002"/>
    <n v="24.913100700000001"/>
    <n v="23.841438700000001"/>
    <n v="24.868467500000001"/>
    <n v="28.1999055"/>
    <n v="26.831277"/>
    <n v="52.835999999999999"/>
  </r>
  <r>
    <x v="5"/>
    <s v="PEST CONTROL"/>
    <s v="SC JOHNSON"/>
    <x v="1"/>
    <x v="4"/>
    <x v="3"/>
    <x v="0"/>
    <x v="5"/>
    <n v="0.17100000000000001"/>
    <n v="0.121"/>
    <n v="0.13100000000000001"/>
    <n v="8.7999999999999995E-2"/>
    <n v="0.14299999999999999"/>
    <n v="3.7999999999999999E-2"/>
    <n v="1.4999999999999999E-2"/>
    <n v="4.7E-2"/>
    <n v="3.1E-2"/>
    <n v="0.19600000000000001"/>
    <n v="0.17299999999999999"/>
    <n v="0.20100000000000001"/>
    <n v="0.161"/>
    <n v="0.22800000000000001"/>
    <n v="0.29099999999999998"/>
    <n v="0.44600000000000001"/>
    <n v="0.64"/>
    <n v="0.75800000000000001"/>
    <n v="0.82699999999999996"/>
    <n v="0.60899999999999999"/>
    <n v="0.57899999999999996"/>
    <n v="0.75900000000000001"/>
    <n v="0.82399999999999995"/>
    <n v="0.82099999999999995"/>
    <n v="0.88400000000000001"/>
    <n v="1.238"/>
    <n v="1.1830000000000001"/>
    <n v="0.80900000000000005"/>
    <n v="0.92300000000000004"/>
    <n v="0.81299999999999994"/>
    <n v="1.18"/>
    <n v="1.024"/>
    <n v="0.94199999999999995"/>
    <n v="0.872"/>
    <n v="0.92800000000000005"/>
    <n v="1.0509999999999999"/>
    <n v="0.93200000000000005"/>
    <n v="26.831277"/>
  </r>
  <r>
    <x v="5"/>
    <s v="PEST CONTROL"/>
    <s v="SC JOHNSON"/>
    <x v="2"/>
    <x v="0"/>
    <x v="2"/>
    <x v="0"/>
    <x v="0"/>
    <n v="3466.8209999999999"/>
    <n v="3727.3409999999999"/>
    <n v="5460.7520000000004"/>
    <n v="8658.7559999999994"/>
    <n v="9213.4169999999995"/>
    <n v="10689.136"/>
    <n v="9003.8130000000001"/>
    <n v="7666.1120000000001"/>
    <n v="5604.9170000000004"/>
    <n v="2737.194"/>
    <n v="2598.2089999999998"/>
    <n v="3276.5309999999999"/>
    <n v="3097.9679999999998"/>
    <n v="4574.1170000000002"/>
    <n v="6739.6490000000003"/>
    <n v="9330.3790000000008"/>
    <n v="10173.208000000001"/>
    <n v="9872.1579999999994"/>
    <n v="7900.7250000000004"/>
    <n v="5706.5010000000002"/>
    <n v="4996.75"/>
    <n v="4772.9960000000001"/>
    <n v="4306.2929999999997"/>
    <n v="3107.6190000000001"/>
    <n v="3103.5479999999998"/>
    <n v="3765.5320000000002"/>
    <n v="4736.9470000000001"/>
    <n v="5537.1049999999996"/>
    <n v="6667.326"/>
    <n v="7204.1559999999999"/>
    <n v="9701.8359999999993"/>
    <n v="9846.2369999999992"/>
    <n v="7280.4219999999996"/>
    <n v="5641.8580000000002"/>
    <n v="5125.2340000000004"/>
    <n v="3081.431"/>
    <n v="2590.4580000000001"/>
    <n v="2590.4580000000001"/>
  </r>
  <r>
    <x v="5"/>
    <s v="PEST CONTROL"/>
    <s v="SC JOHNSON"/>
    <x v="2"/>
    <x v="0"/>
    <x v="2"/>
    <x v="0"/>
    <x v="1"/>
    <n v="315037.02899999998"/>
    <n v="338062.64500000002"/>
    <n v="504964.90100000001"/>
    <n v="838341.74699999997"/>
    <n v="878949.26800000004"/>
    <n v="1036858.33"/>
    <n v="877795.75600000005"/>
    <n v="716678.23100000003"/>
    <n v="539926.17000000004"/>
    <n v="264778.72499999998"/>
    <n v="247394.23499999999"/>
    <n v="335095.61099999998"/>
    <n v="313596.16700000002"/>
    <n v="464957.26"/>
    <n v="676030.37"/>
    <n v="947218.33799999999"/>
    <n v="1067863.855"/>
    <n v="1040161.726"/>
    <n v="844084.90399999998"/>
    <n v="616908.51500000001"/>
    <n v="559808.12699999998"/>
    <n v="543770.94499999995"/>
    <n v="503110.08500000002"/>
    <n v="356723.66899999999"/>
    <n v="346245.61900000001"/>
    <n v="425992.01"/>
    <n v="532643.81799999997"/>
    <n v="648088.32400000002"/>
    <n v="783391.77599999995"/>
    <n v="831972.98100000003"/>
    <n v="1137754.4879999999"/>
    <n v="1158462.3189999999"/>
    <n v="900040.52399999998"/>
    <n v="703599.71699999995"/>
    <n v="626248.85800000001"/>
    <n v="381092.375"/>
    <n v="315879.28899999999"/>
    <n v="315879.28899999999"/>
  </r>
  <r>
    <x v="5"/>
    <s v="PEST CONTROL"/>
    <s v="SC JOHNSON"/>
    <x v="2"/>
    <x v="0"/>
    <x v="2"/>
    <x v="0"/>
    <x v="2"/>
    <n v="5.633"/>
    <n v="4.4189999999999996"/>
    <n v="5.2050000000000001"/>
    <n v="6.4169999999999998"/>
    <n v="5.7430000000000003"/>
    <n v="6.09"/>
    <n v="5.5810000000000004"/>
    <n v="6.117"/>
    <n v="6.1680000000000001"/>
    <n v="4.1529999999999996"/>
    <n v="4.5759999999999996"/>
    <n v="5.91"/>
    <n v="5.1630000000000003"/>
    <n v="6.03"/>
    <n v="6.383"/>
    <n v="7.1520000000000001"/>
    <n v="6.5060000000000002"/>
    <n v="6.93"/>
    <n v="5.1820000000000004"/>
    <n v="4.6379999999999999"/>
    <n v="4.8209999999999997"/>
    <n v="5.5110000000000001"/>
    <n v="6.101"/>
    <n v="5.4379999999999997"/>
    <n v="5.0750000000000002"/>
    <n v="5.0439999999999996"/>
    <n v="4.9749999999999996"/>
    <n v="3.9860000000000002"/>
    <n v="4.165"/>
    <n v="3.923"/>
    <n v="4.7009999999999996"/>
    <n v="4.8410000000000002"/>
    <n v="4.8239999999999998"/>
    <n v="4.7439999999999998"/>
    <n v="5.8289999999999997"/>
    <n v="5.2160000000000002"/>
    <n v="5.3540000000000001"/>
    <n v="1.081"/>
  </r>
  <r>
    <x v="5"/>
    <s v="PEST CONTROL"/>
    <s v="SC JOHNSON"/>
    <x v="2"/>
    <x v="0"/>
    <x v="2"/>
    <x v="0"/>
    <x v="3"/>
    <n v="59.283000000000001"/>
    <n v="58.375999999999998"/>
    <n v="70.045000000000002"/>
    <n v="74.099999999999994"/>
    <n v="77.445999999999998"/>
    <n v="72.200999999999993"/>
    <n v="77.260000000000005"/>
    <n v="70.659000000000006"/>
    <n v="66.507000000000005"/>
    <n v="63.210999999999999"/>
    <n v="65.819000000000003"/>
    <n v="63.390999999999998"/>
    <n v="64.691000000000003"/>
    <n v="65.77"/>
    <n v="62.167999999999999"/>
    <n v="65.302000000000007"/>
    <n v="69.84"/>
    <n v="70.763999999999996"/>
    <n v="72.606999999999999"/>
    <n v="64.037000000000006"/>
    <n v="58.47"/>
    <n v="58.381"/>
    <n v="54.243000000000002"/>
    <n v="54.604999999999997"/>
    <n v="51.293999999999997"/>
    <n v="58.898000000000003"/>
    <n v="61.436999999999998"/>
    <n v="59.847999999999999"/>
    <n v="55.231000000000002"/>
    <n v="46.790999999999997"/>
    <n v="47.573"/>
    <n v="48.926000000000002"/>
    <n v="48.966000000000001"/>
    <n v="50.984999999999999"/>
    <n v="48.290999999999997"/>
    <n v="52.734999999999999"/>
    <n v="55.014000000000003"/>
    <n v="7131.5290000000005"/>
  </r>
  <r>
    <x v="5"/>
    <s v="PEST CONTROL"/>
    <s v="SC JOHNSON"/>
    <x v="2"/>
    <x v="0"/>
    <x v="2"/>
    <x v="0"/>
    <x v="4"/>
    <n v="43.200696499999999"/>
    <n v="47.038542200000002"/>
    <n v="55.924281299999997"/>
    <n v="56.547034699999998"/>
    <n v="57.468294700000001"/>
    <n v="55.048360199999998"/>
    <n v="57.631368600000002"/>
    <n v="51.882420000000003"/>
    <n v="47.925796599999998"/>
    <n v="45.708117100000003"/>
    <n v="46.921632600000002"/>
    <n v="45.2297102"/>
    <n v="47.047882000000001"/>
    <n v="51.816031299999999"/>
    <n v="50.320183900000004"/>
    <n v="51.704831400000003"/>
    <n v="51.287012500000003"/>
    <n v="49.139901500000001"/>
    <n v="48.083163200000001"/>
    <n v="45.563560299999999"/>
    <n v="38.712452499999998"/>
    <n v="39.688120099999999"/>
    <n v="39.631422000000001"/>
    <n v="39.078192000000001"/>
    <n v="37.954491099999998"/>
    <n v="39.434933999999998"/>
    <n v="39.545884800000003"/>
    <n v="40.2032484"/>
    <n v="37.918802700000001"/>
    <n v="35.678554400000003"/>
    <n v="36.982703299999997"/>
    <n v="36.407062199999999"/>
    <n v="35.110747799999999"/>
    <n v="34.0904302"/>
    <n v="33.8628407"/>
    <n v="35.058530300000001"/>
    <n v="35.889474100000001"/>
    <n v="55.014000000000003"/>
  </r>
  <r>
    <x v="5"/>
    <s v="PEST CONTROL"/>
    <s v="SC JOHNSON"/>
    <x v="2"/>
    <x v="0"/>
    <x v="2"/>
    <x v="0"/>
    <x v="5"/>
    <n v="2.9860000000000002"/>
    <n v="2.9449999999999998"/>
    <n v="4.2549999999999999"/>
    <n v="5.2640000000000002"/>
    <n v="4.3209999999999997"/>
    <n v="4.2320000000000002"/>
    <n v="4.1079999999999997"/>
    <n v="3.5579999999999998"/>
    <n v="3.6349999999999998"/>
    <n v="3.4350000000000001"/>
    <n v="3.427"/>
    <n v="3.218"/>
    <n v="3.4420000000000002"/>
    <n v="2.6970000000000001"/>
    <n v="3.7879999999999998"/>
    <n v="5.1619999999999999"/>
    <n v="5.8849999999999998"/>
    <n v="3.7839999999999998"/>
    <n v="2.7709999999999999"/>
    <n v="3.2120000000000002"/>
    <n v="2.71"/>
    <n v="2.8090000000000002"/>
    <n v="2.952"/>
    <n v="2.9209999999999998"/>
    <n v="2.8540000000000001"/>
    <n v="3.0169999999999999"/>
    <n v="3.4209999999999998"/>
    <n v="2.7210000000000001"/>
    <n v="3.254"/>
    <n v="2.8279999999999998"/>
    <n v="3.16"/>
    <n v="3.5590000000000002"/>
    <n v="3.2010000000000001"/>
    <n v="3.0529999999999999"/>
    <n v="4.1440000000000001"/>
    <n v="3.6080000000000001"/>
    <n v="3.4670000000000001"/>
    <n v="35.889474100000001"/>
  </r>
  <r>
    <x v="5"/>
    <s v="PEST CONTROL"/>
    <s v="SC JOHNSON"/>
    <x v="2"/>
    <x v="0"/>
    <x v="0"/>
    <x v="0"/>
    <x v="0"/>
    <n v="3598.3560000000002"/>
    <n v="6181.8280000000004"/>
    <n v="8488.4240000000009"/>
    <n v="10381.368"/>
    <n v="12732.992"/>
    <n v="14222.734"/>
    <n v="13616.300999999999"/>
    <n v="12615.069"/>
    <n v="8740.5509999999995"/>
    <n v="5614.8559999999998"/>
    <n v="5119.26"/>
    <n v="4910.7700000000004"/>
    <n v="6088.0110000000004"/>
    <n v="6551.1559999999999"/>
    <n v="8897.7219999999998"/>
    <n v="9888.9159999999993"/>
    <n v="10868.102000000001"/>
    <n v="11056.709000000001"/>
    <n v="11394.303"/>
    <n v="9444.8029999999999"/>
    <n v="9044.6020000000008"/>
    <n v="7136.63"/>
    <n v="4722.57"/>
    <n v="3982.5889999999999"/>
    <n v="4476.7849999999999"/>
    <n v="6076.5219999999999"/>
    <n v="7134.41"/>
    <n v="10919.898999999999"/>
    <n v="11204.764999999999"/>
    <n v="12368.958000000001"/>
    <n v="12625.522000000001"/>
    <n v="11607.782999999999"/>
    <n v="9172.2900000000009"/>
    <n v="8058.0510000000004"/>
    <n v="4700.5039999999999"/>
    <n v="3323.6509999999998"/>
    <n v="1991.5719999999999"/>
    <n v="2079.7489999999998"/>
  </r>
  <r>
    <x v="5"/>
    <s v="PEST CONTROL"/>
    <s v="SC JOHNSON"/>
    <x v="2"/>
    <x v="0"/>
    <x v="0"/>
    <x v="0"/>
    <x v="1"/>
    <n v="477290.25900000002"/>
    <n v="830102.93"/>
    <n v="1127299.8060000001"/>
    <n v="1378960.7439999999"/>
    <n v="1667655.977"/>
    <n v="1850275.0519999999"/>
    <n v="1741298.064"/>
    <n v="1670456.5959999999"/>
    <n v="1152170.318"/>
    <n v="758450.97400000005"/>
    <n v="687973.25800000003"/>
    <n v="676164.58400000003"/>
    <n v="826309.42299999995"/>
    <n v="933770.06400000001"/>
    <n v="1334503.442"/>
    <n v="1483450.8149999999"/>
    <n v="1573724.4609999999"/>
    <n v="1647799.6980000001"/>
    <n v="1717512.733"/>
    <n v="1454603.858"/>
    <n v="1348831.777"/>
    <n v="1070437.257"/>
    <n v="707483.18500000006"/>
    <n v="611458.56000000006"/>
    <n v="730380.26199999999"/>
    <n v="1024667.453"/>
    <n v="1190905.8799999999"/>
    <n v="1876329.5689999999"/>
    <n v="1935789.666"/>
    <n v="2131783.307"/>
    <n v="2251267.4870000002"/>
    <n v="2008270.7749999999"/>
    <n v="1610294.27"/>
    <n v="1236077.129"/>
    <n v="728674.973"/>
    <n v="532974.17599999998"/>
    <n v="328054.43199999997"/>
    <n v="328054.43199999997"/>
  </r>
  <r>
    <x v="5"/>
    <s v="PEST CONTROL"/>
    <s v="SC JOHNSON"/>
    <x v="2"/>
    <x v="0"/>
    <x v="0"/>
    <x v="0"/>
    <x v="2"/>
    <n v="6.9139999999999997"/>
    <n v="8.718"/>
    <n v="9.6270000000000007"/>
    <n v="9.141"/>
    <n v="9.3379999999999992"/>
    <n v="9.6359999999999992"/>
    <n v="10.032999999999999"/>
    <n v="11.898"/>
    <n v="11.417999999999999"/>
    <n v="9.9879999999999995"/>
    <n v="10.564"/>
    <n v="10.503"/>
    <n v="12.090999999999999"/>
    <n v="10.334"/>
    <n v="10.035"/>
    <n v="9.0860000000000003"/>
    <n v="8.3230000000000004"/>
    <n v="9.2330000000000005"/>
    <n v="8.8030000000000008"/>
    <n v="9.1910000000000007"/>
    <n v="10.468"/>
    <n v="9.8179999999999996"/>
    <n v="7.9340000000000002"/>
    <n v="7.9530000000000003"/>
    <n v="8.06"/>
    <n v="9.3840000000000003"/>
    <n v="8.7530000000000001"/>
    <n v="8.9390000000000001"/>
    <n v="7.9279999999999999"/>
    <n v="7.8659999999999997"/>
    <n v="7.2720000000000002"/>
    <n v="6.8220000000000001"/>
    <n v="7.2309999999999999"/>
    <n v="8.0609999999999999"/>
    <n v="6.3780000000000001"/>
    <n v="6.7009999999999996"/>
    <n v="4.9029999999999996"/>
    <n v="0.86799999999999999"/>
  </r>
  <r>
    <x v="5"/>
    <s v="PEST CONTROL"/>
    <s v="SC JOHNSON"/>
    <x v="2"/>
    <x v="0"/>
    <x v="0"/>
    <x v="0"/>
    <x v="3"/>
    <n v="79.56"/>
    <n v="87.715000000000003"/>
    <n v="90.741"/>
    <n v="87.343000000000004"/>
    <n v="87.200999999999993"/>
    <n v="88.266999999999996"/>
    <n v="84.075999999999993"/>
    <n v="85.805999999999997"/>
    <n v="86.251999999999995"/>
    <n v="87.201999999999998"/>
    <n v="80.040999999999997"/>
    <n v="80.216999999999999"/>
    <n v="87.783000000000001"/>
    <n v="85.808999999999997"/>
    <n v="85.375"/>
    <n v="84.796000000000006"/>
    <n v="88.701999999999998"/>
    <n v="87.608999999999995"/>
    <n v="88.004999999999995"/>
    <n v="84.872"/>
    <n v="87.87"/>
    <n v="89.617999999999995"/>
    <n v="84.614000000000004"/>
    <n v="86.593999999999994"/>
    <n v="86.715999999999994"/>
    <n v="90.382000000000005"/>
    <n v="88.248999999999995"/>
    <n v="87.867000000000004"/>
    <n v="86.144000000000005"/>
    <n v="80.441000000000003"/>
    <n v="74.796000000000006"/>
    <n v="76.834999999999994"/>
    <n v="71.751000000000005"/>
    <n v="70.81"/>
    <n v="71.593999999999994"/>
    <n v="74.385000000000005"/>
    <n v="74.326999999999998"/>
    <n v="8940.6209999999992"/>
  </r>
  <r>
    <x v="5"/>
    <s v="PEST CONTROL"/>
    <s v="SC JOHNSON"/>
    <x v="2"/>
    <x v="0"/>
    <x v="0"/>
    <x v="0"/>
    <x v="4"/>
    <n v="60.821847699999999"/>
    <n v="69.740497199999993"/>
    <n v="73.453836899999999"/>
    <n v="70.277046499999997"/>
    <n v="70.831277999999998"/>
    <n v="70.009050599999995"/>
    <n v="65.019722599999994"/>
    <n v="63.226377300000003"/>
    <n v="61.8076905"/>
    <n v="62.875382799999997"/>
    <n v="62.439228999999997"/>
    <n v="64.662056100000001"/>
    <n v="65.718024600000007"/>
    <n v="63.847886000000003"/>
    <n v="64.826280400000002"/>
    <n v="65.076270600000001"/>
    <n v="67.020208299999993"/>
    <n v="65.757340200000002"/>
    <n v="64.925701700000005"/>
    <n v="64.906874999999999"/>
    <n v="63.4136448"/>
    <n v="62.158324"/>
    <n v="57.876941100000003"/>
    <n v="56.3436266"/>
    <n v="56.763716299999999"/>
    <n v="61.4139062"/>
    <n v="62.256708799999998"/>
    <n v="64.908217899999997"/>
    <n v="62.087721199999997"/>
    <n v="57.600895899999998"/>
    <n v="56.243984900000001"/>
    <n v="56.805891799999998"/>
    <n v="52.512968000000001"/>
    <n v="52.371730800000002"/>
    <n v="51.639620999999998"/>
    <n v="51.225576500000003"/>
    <n v="51.0812612"/>
    <n v="74.326999999999998"/>
  </r>
  <r>
    <x v="5"/>
    <s v="PEST CONTROL"/>
    <s v="SC JOHNSON"/>
    <x v="2"/>
    <x v="0"/>
    <x v="0"/>
    <x v="0"/>
    <x v="5"/>
    <n v="4.2430000000000003"/>
    <n v="5.14"/>
    <n v="5.1970000000000001"/>
    <n v="7.3769999999999998"/>
    <n v="6.1859999999999999"/>
    <n v="5.0579999999999998"/>
    <n v="4.9340000000000002"/>
    <n v="4.28"/>
    <n v="4.234"/>
    <n v="4.1829999999999998"/>
    <n v="4.3780000000000001"/>
    <n v="4.8470000000000004"/>
    <n v="4.5919999999999996"/>
    <n v="4.6130000000000004"/>
    <n v="5.7249999999999996"/>
    <n v="6.2130000000000001"/>
    <n v="6.0860000000000003"/>
    <n v="5.6020000000000003"/>
    <n v="6.0860000000000003"/>
    <n v="5.3470000000000004"/>
    <n v="4.9550000000000001"/>
    <n v="4.5490000000000004"/>
    <n v="5.1219999999999999"/>
    <n v="5.077"/>
    <n v="4.96"/>
    <n v="5.4329999999999998"/>
    <n v="5.2640000000000002"/>
    <n v="5.1239999999999997"/>
    <n v="4.8650000000000002"/>
    <n v="4.6639999999999997"/>
    <n v="4.1529999999999996"/>
    <n v="4.218"/>
    <n v="3.7570000000000001"/>
    <n v="3.6749999999999998"/>
    <n v="3.5960000000000001"/>
    <n v="3.7450000000000001"/>
    <n v="3.827"/>
    <n v="51.0812612"/>
  </r>
  <r>
    <x v="5"/>
    <s v="PEST CONTROL"/>
    <s v="SC JOHNSON"/>
    <x v="2"/>
    <x v="0"/>
    <x v="3"/>
    <x v="0"/>
    <x v="0"/>
    <n v="8101.8270000000002"/>
    <n v="12654.079"/>
    <n v="16405.402999999998"/>
    <n v="19983.830000000002"/>
    <n v="22300.243999999999"/>
    <n v="24535.438999999998"/>
    <n v="21342.812999999998"/>
    <n v="17379.717000000001"/>
    <n v="11922.700999999999"/>
    <n v="9693.8119999999999"/>
    <n v="7455.9390000000003"/>
    <n v="6822.3630000000003"/>
    <n v="6542.9610000000002"/>
    <n v="10766.065000000001"/>
    <n v="14547.365"/>
    <n v="21118.386999999999"/>
    <n v="26685.004000000001"/>
    <n v="21167.77"/>
    <n v="23801.513999999999"/>
    <n v="19285.971000000001"/>
    <n v="16123.434999999999"/>
    <n v="12450.352000000001"/>
    <n v="9586.8359999999993"/>
    <n v="7666.73"/>
    <n v="8208.1910000000007"/>
    <n v="10886.484"/>
    <n v="12893.619000000001"/>
    <n v="20543.366000000002"/>
    <n v="23038.771000000001"/>
    <n v="26955.448"/>
    <n v="31449.617999999999"/>
    <n v="30497.974999999999"/>
    <n v="21094.937999999998"/>
    <n v="15729.206"/>
    <n v="11220.749"/>
    <n v="6756.4319999999998"/>
    <n v="5329.1149999999998"/>
    <n v="5909.7269999999999"/>
  </r>
  <r>
    <x v="5"/>
    <s v="PEST CONTROL"/>
    <s v="SC JOHNSON"/>
    <x v="2"/>
    <x v="0"/>
    <x v="3"/>
    <x v="0"/>
    <x v="1"/>
    <n v="1656545.379"/>
    <n v="2665107.0950000002"/>
    <n v="3434821.5639999998"/>
    <n v="4164399.1159999999"/>
    <n v="4690055.6979999999"/>
    <n v="5201145.5810000002"/>
    <n v="4416165.6399999997"/>
    <n v="3703814.72"/>
    <n v="2481609.7769999998"/>
    <n v="1975613.18"/>
    <n v="1495111.3019999999"/>
    <n v="1380671.2039999999"/>
    <n v="1377206.568"/>
    <n v="2296667.4440000001"/>
    <n v="3331279.3080000002"/>
    <n v="4867990.25"/>
    <n v="6316411.5060000001"/>
    <n v="4888486.983"/>
    <n v="5502062.0240000002"/>
    <n v="4462434.9570000004"/>
    <n v="3768406.5079999999"/>
    <n v="2909675.5249999999"/>
    <n v="2216635.7710000002"/>
    <n v="1757324.993"/>
    <n v="1901107.5349999999"/>
    <n v="2703184.22"/>
    <n v="3284036.6469999999"/>
    <n v="5322749.4610000001"/>
    <n v="6292069.4139999999"/>
    <n v="7168219.8360000001"/>
    <n v="8459676.0930000003"/>
    <n v="8057816.3679999998"/>
    <n v="5579526.1629999997"/>
    <n v="4071967.31"/>
    <n v="2827303.3020000001"/>
    <n v="1691802.5160000001"/>
    <n v="1396264.2520000001"/>
    <n v="1396264.2520000001"/>
  </r>
  <r>
    <x v="5"/>
    <s v="PEST CONTROL"/>
    <s v="SC JOHNSON"/>
    <x v="2"/>
    <x v="0"/>
    <x v="3"/>
    <x v="0"/>
    <x v="2"/>
    <n v="16.311"/>
    <n v="18.800999999999998"/>
    <n v="19.798999999999999"/>
    <n v="18.780999999999999"/>
    <n v="17.538"/>
    <n v="17.823"/>
    <n v="16.885999999999999"/>
    <n v="17.687000000000001"/>
    <n v="16.489999999999998"/>
    <n v="18.137"/>
    <n v="16.222999999999999"/>
    <n v="15.353999999999999"/>
    <n v="13.981999999999999"/>
    <n v="17.945"/>
    <n v="17.771999999999998"/>
    <n v="20.957000000000001"/>
    <n v="22.117999999999999"/>
    <n v="19.085999999999999"/>
    <n v="19.858000000000001"/>
    <n v="19.943999999999999"/>
    <n v="19.934000000000001"/>
    <n v="18.363"/>
    <n v="17.247"/>
    <n v="17.199000000000002"/>
    <n v="17.210999999999999"/>
    <n v="18.739999999999998"/>
    <n v="17.45"/>
    <n v="19.053000000000001"/>
    <n v="18.372"/>
    <n v="18.827999999999999"/>
    <n v="19.521000000000001"/>
    <n v="19.312000000000001"/>
    <n v="17.928000000000001"/>
    <n v="16.850999999999999"/>
    <n v="16.120999999999999"/>
    <n v="14.476000000000001"/>
    <n v="14.023999999999999"/>
    <n v="2.4649999999999999"/>
  </r>
  <r>
    <x v="5"/>
    <s v="PEST CONTROL"/>
    <s v="SC JOHNSON"/>
    <x v="2"/>
    <x v="0"/>
    <x v="3"/>
    <x v="0"/>
    <x v="3"/>
    <n v="87.307000000000002"/>
    <n v="89.331000000000003"/>
    <n v="92.141000000000005"/>
    <n v="94.899000000000001"/>
    <n v="93.447000000000003"/>
    <n v="95.317999999999998"/>
    <n v="94.668000000000006"/>
    <n v="93.625"/>
    <n v="94.781000000000006"/>
    <n v="93.411000000000001"/>
    <n v="93.820999999999998"/>
    <n v="93.808999999999997"/>
    <n v="89.144999999999996"/>
    <n v="89.900999999999996"/>
    <n v="93.433000000000007"/>
    <n v="94.597999999999999"/>
    <n v="94.665999999999997"/>
    <n v="92.906000000000006"/>
    <n v="92.915000000000006"/>
    <n v="93.331000000000003"/>
    <n v="90.54"/>
    <n v="91.04"/>
    <n v="88.646000000000001"/>
    <n v="88.796000000000006"/>
    <n v="90.108000000000004"/>
    <n v="91.691000000000003"/>
    <n v="93.698999999999998"/>
    <n v="94.983000000000004"/>
    <n v="94.950999999999993"/>
    <n v="93.406000000000006"/>
    <n v="93.444000000000003"/>
    <n v="95.941000000000003"/>
    <n v="95.097999999999999"/>
    <n v="94.242999999999995"/>
    <n v="94.465000000000003"/>
    <n v="94.525999999999996"/>
    <n v="93.965999999999994"/>
    <n v="18696.179"/>
  </r>
  <r>
    <x v="5"/>
    <s v="PEST CONTROL"/>
    <s v="SC JOHNSON"/>
    <x v="2"/>
    <x v="0"/>
    <x v="3"/>
    <x v="0"/>
    <x v="4"/>
    <n v="68.550354499999997"/>
    <n v="73.042213599999997"/>
    <n v="73.427483899999999"/>
    <n v="76.620792399999999"/>
    <n v="73.547219499999997"/>
    <n v="76.580222800000001"/>
    <n v="75.518099399999997"/>
    <n v="72.522091900000007"/>
    <n v="73.152986600000006"/>
    <n v="73.128170999999995"/>
    <n v="73.677551600000001"/>
    <n v="74.085358400000004"/>
    <n v="71.814870999999997"/>
    <n v="73.0032341"/>
    <n v="74.816367600000007"/>
    <n v="73.751772000000003"/>
    <n v="74.249293800000004"/>
    <n v="73.073520299999998"/>
    <n v="70.218099899999999"/>
    <n v="73.802474900000007"/>
    <n v="68.541244000000006"/>
    <n v="69.7299273"/>
    <n v="63.007346200000001"/>
    <n v="60.753826799999999"/>
    <n v="63.707537199999997"/>
    <n v="66.730690899999999"/>
    <n v="68.385914"/>
    <n v="72.801974400000006"/>
    <n v="72.298647399999993"/>
    <n v="71.836217399999995"/>
    <n v="73.503387599999996"/>
    <n v="71.861852299999995"/>
    <n v="73.144262699999999"/>
    <n v="70.581367599999993"/>
    <n v="67.8097566"/>
    <n v="70.471454899999998"/>
    <n v="68.291870500000002"/>
    <n v="93.965999999999994"/>
  </r>
  <r>
    <x v="5"/>
    <s v="PEST CONTROL"/>
    <s v="SC JOHNSON"/>
    <x v="2"/>
    <x v="0"/>
    <x v="3"/>
    <x v="0"/>
    <x v="5"/>
    <n v="8.0289999999999999"/>
    <n v="9.407"/>
    <n v="8.49"/>
    <n v="9.7590000000000003"/>
    <n v="9.8789999999999996"/>
    <n v="9.4689999999999994"/>
    <n v="9.2210000000000001"/>
    <n v="8.4269999999999996"/>
    <n v="8.1280000000000001"/>
    <n v="8.3819999999999997"/>
    <n v="8.3870000000000005"/>
    <n v="7.8710000000000004"/>
    <n v="10.430999999999999"/>
    <n v="10.214"/>
    <n v="9.5890000000000004"/>
    <n v="9.2420000000000009"/>
    <n v="8.4359999999999999"/>
    <n v="7.9980000000000002"/>
    <n v="7.1790000000000003"/>
    <n v="7.4610000000000003"/>
    <n v="6.3289999999999997"/>
    <n v="6.7110000000000003"/>
    <n v="7.2290000000000001"/>
    <n v="7.3490000000000002"/>
    <n v="6.87"/>
    <n v="8.9710000000000001"/>
    <n v="9.8469999999999995"/>
    <n v="9.0890000000000004"/>
    <n v="10.776999999999999"/>
    <n v="8.9309999999999992"/>
    <n v="9.9819999999999993"/>
    <n v="8.9"/>
    <n v="9.2919999999999998"/>
    <n v="8.2479999999999993"/>
    <n v="7.6159999999999997"/>
    <n v="8.2870000000000008"/>
    <n v="8.1720000000000006"/>
    <n v="68.291870500000002"/>
  </r>
  <r>
    <x v="5"/>
    <s v="PEST CONTROL"/>
    <s v="SC JOHNSON"/>
    <x v="2"/>
    <x v="0"/>
    <x v="3"/>
    <x v="6"/>
    <x v="0"/>
    <n v="44.225999999999999"/>
    <n v="33.826999999999998"/>
    <n v="41.68"/>
    <n v="181.732"/>
    <n v="34.154000000000003"/>
    <n v="36.686"/>
    <n v="318.51600000000002"/>
    <n v="461.32900000000001"/>
    <n v="343.14699999999999"/>
    <n v="297.98099999999999"/>
    <n v="238.38499999999999"/>
    <n v="214.54599999999999"/>
    <n v="154.94999999999999"/>
    <n v="0"/>
    <n v="0"/>
    <n v="0"/>
    <n v="3"/>
    <n v="0"/>
    <n v="151.44300000000001"/>
    <n v="91.991"/>
    <n v="0"/>
    <n v="0"/>
    <n v="0"/>
    <n v="0"/>
    <n v="25.067"/>
    <n v="14.205"/>
    <n v="17.355"/>
    <n v="49.780999999999999"/>
    <n v="0"/>
    <n v="0"/>
    <n v="114.73"/>
    <n v="13.928000000000001"/>
    <n v="38.243000000000002"/>
    <n v="187.05799999999999"/>
    <n v="0"/>
    <n v="32.344999999999999"/>
    <n v="38.814999999999998"/>
    <n v="465.78199999999998"/>
  </r>
  <r>
    <x v="5"/>
    <s v="PEST CONTROL"/>
    <s v="SC JOHNSON"/>
    <x v="2"/>
    <x v="0"/>
    <x v="3"/>
    <x v="6"/>
    <x v="1"/>
    <n v="1680.585"/>
    <n v="1319.43"/>
    <n v="2122.4690000000001"/>
    <n v="9828.8829999999998"/>
    <n v="2141.8890000000001"/>
    <n v="5100.527"/>
    <n v="38424.07"/>
    <n v="50854.464"/>
    <n v="40013.847000000002"/>
    <n v="34565.796000000002"/>
    <n v="27652.636999999999"/>
    <n v="24887.373"/>
    <n v="17974.214"/>
    <n v="0"/>
    <n v="0"/>
    <n v="0"/>
    <n v="201.6"/>
    <n v="0"/>
    <n v="7398.1139999999996"/>
    <n v="4493.8630000000003"/>
    <n v="0"/>
    <n v="0"/>
    <n v="0"/>
    <n v="0"/>
    <n v="1002.673"/>
    <n v="568.21500000000003"/>
    <n v="694.18100000000004"/>
    <n v="1991.2560000000001"/>
    <n v="0"/>
    <n v="0"/>
    <n v="4589.2049999999999"/>
    <n v="557.12"/>
    <n v="1529.7349999999999"/>
    <n v="7482.3220000000001"/>
    <n v="0"/>
    <n v="1293.819"/>
    <n v="1552.5830000000001"/>
    <n v="1552.5830000000001"/>
  </r>
  <r>
    <x v="5"/>
    <s v="PEST CONTROL"/>
    <s v="SC JOHNSON"/>
    <x v="2"/>
    <x v="0"/>
    <x v="3"/>
    <x v="6"/>
    <x v="2"/>
    <n v="3.0000000000000001E-3"/>
    <n v="2E-3"/>
    <n v="2E-3"/>
    <n v="1.9E-2"/>
    <n v="4.0000000000000001E-3"/>
    <n v="1.4999999999999999E-2"/>
    <n v="8.0000000000000002E-3"/>
    <n v="1.4999999999999999E-2"/>
    <n v="1.4999999999999999E-2"/>
    <n v="1.7999999999999999E-2"/>
    <n v="1.6E-2"/>
    <n v="1.4999999999999999E-2"/>
    <n v="0.01"/>
    <n v="0"/>
    <n v="0"/>
    <n v="0"/>
    <n v="0"/>
    <n v="0"/>
    <n v="4.0000000000000001E-3"/>
    <n v="3.0000000000000001E-3"/>
    <n v="0"/>
    <n v="0"/>
    <n v="0"/>
    <n v="0"/>
    <n v="2E-3"/>
    <n v="1E-3"/>
    <n v="1E-3"/>
    <n v="1E-3"/>
    <n v="0"/>
    <n v="0"/>
    <n v="2E-3"/>
    <n v="0"/>
    <n v="1E-3"/>
    <n v="6.0000000000000001E-3"/>
    <n v="0"/>
    <n v="2E-3"/>
    <n v="3.0000000000000001E-3"/>
    <n v="0.19400000000000001"/>
  </r>
  <r>
    <x v="5"/>
    <s v="PEST CONTROL"/>
    <s v="SC JOHNSON"/>
    <x v="2"/>
    <x v="0"/>
    <x v="3"/>
    <x v="6"/>
    <x v="3"/>
    <n v="3.3530000000000002"/>
    <n v="3.6890000000000001"/>
    <n v="4.9580000000000002"/>
    <n v="2.944"/>
    <n v="3.3079999999999998"/>
    <n v="1.5329999999999999"/>
    <n v="4.5670000000000002"/>
    <n v="4.9400000000000004"/>
    <n v="5.8019999999999996"/>
    <n v="5.3"/>
    <n v="5.907"/>
    <n v="5.4039999999999999"/>
    <n v="4.3620000000000001"/>
    <n v="0.41799999999999998"/>
    <n v="0.77700000000000002"/>
    <n v="0.76500000000000001"/>
    <n v="1.208"/>
    <n v="0.45"/>
    <n v="1.821"/>
    <n v="1.0860000000000001"/>
    <n v="0.61299999999999999"/>
    <n v="0.314"/>
    <n v="0.77100000000000002"/>
    <n v="0.97"/>
    <n v="1.4350000000000001"/>
    <n v="0.48399999999999999"/>
    <n v="0.36299999999999999"/>
    <n v="0.751"/>
    <n v="0.6"/>
    <n v="0.57799999999999996"/>
    <n v="0.53800000000000003"/>
    <n v="0.65800000000000003"/>
    <n v="0.63"/>
    <n v="0.95199999999999996"/>
    <n v="0.80400000000000005"/>
    <n v="1.2070000000000001"/>
    <n v="1.4470000000000001"/>
    <n v="3631.2640000000001"/>
  </r>
  <r>
    <x v="5"/>
    <s v="PEST CONTROL"/>
    <s v="SC JOHNSON"/>
    <x v="2"/>
    <x v="0"/>
    <x v="3"/>
    <x v="6"/>
    <x v="4"/>
    <n v="2.1915638999999998"/>
    <n v="2.2826602999999999"/>
    <n v="2.3570033000000001"/>
    <n v="1.9193711"/>
    <n v="1.9612921999999999"/>
    <n v="1.1608238"/>
    <n v="2.2379102999999998"/>
    <n v="2.1933256999999999"/>
    <n v="2.2183834999999998"/>
    <n v="1.6139074"/>
    <n v="1.6143163"/>
    <n v="1.6131420000000001"/>
    <n v="1.6125750999999999"/>
    <n v="0.59330179999999999"/>
    <n v="0.5929837"/>
    <n v="0.6520165"/>
    <n v="0.68938889999999997"/>
    <n v="0.65109649999999997"/>
    <n v="1.4974611"/>
    <n v="1.4974403999999999"/>
    <n v="0.65114320000000003"/>
    <n v="0.65054710000000004"/>
    <n v="0.70002129999999996"/>
    <n v="0.73472400000000004"/>
    <n v="0.73472630000000005"/>
    <n v="0.73472570000000004"/>
    <n v="0.79594089999999995"/>
    <n v="0.86770270000000005"/>
    <n v="0.86682780000000004"/>
    <n v="0.79544479999999995"/>
    <n v="0.79569109999999998"/>
    <n v="0.79580910000000005"/>
    <n v="0.79589489999999996"/>
    <n v="0.87572070000000002"/>
    <n v="0.97281110000000004"/>
    <n v="0.98172459999999995"/>
    <n v="0.98228800000000005"/>
    <n v="1.4470000000000001"/>
  </r>
  <r>
    <x v="5"/>
    <s v="PEST CONTROL"/>
    <s v="SC JOHNSON"/>
    <x v="2"/>
    <x v="0"/>
    <x v="3"/>
    <x v="6"/>
    <x v="5"/>
    <n v="8.2000000000000003E-2"/>
    <n v="5.8999999999999997E-2"/>
    <n v="3.5999999999999997E-2"/>
    <n v="9.6000000000000002E-2"/>
    <n v="9.5000000000000001E-2"/>
    <n v="7.9000000000000001E-2"/>
    <n v="6.5000000000000002E-2"/>
    <n v="0.109"/>
    <n v="9.9000000000000005E-2"/>
    <n v="9.5000000000000001E-2"/>
    <n v="9.8000000000000004E-2"/>
    <n v="9.2999999999999999E-2"/>
    <n v="9.0999999999999998E-2"/>
    <n v="0.09"/>
    <n v="7.3999999999999996E-2"/>
    <n v="7.5999999999999998E-2"/>
    <n v="8.2000000000000003E-2"/>
    <n v="7.9000000000000001E-2"/>
    <n v="0.13300000000000001"/>
    <n v="8.5000000000000006E-2"/>
    <n v="8.6999999999999994E-2"/>
    <n v="8.7999999999999995E-2"/>
    <n v="0.11799999999999999"/>
    <n v="0.127"/>
    <n v="0.107"/>
    <n v="0.13800000000000001"/>
    <n v="0.11899999999999999"/>
    <n v="0.107"/>
    <n v="0.106"/>
    <n v="9.8000000000000004E-2"/>
    <n v="0.17299999999999999"/>
    <n v="0.16800000000000001"/>
    <n v="0.154"/>
    <n v="6.0999999999999999E-2"/>
    <n v="0.153"/>
    <n v="0.14099999999999999"/>
    <n v="0.14699999999999999"/>
    <n v="0.98228800000000005"/>
  </r>
  <r>
    <x v="5"/>
    <s v="PEST CONTROL"/>
    <s v="SC JOHNSON"/>
    <x v="2"/>
    <x v="5"/>
    <x v="3"/>
    <x v="0"/>
    <x v="0"/>
    <n v="767.58699999999999"/>
    <n v="1531.1210000000001"/>
    <n v="1329.6479999999999"/>
    <n v="1617.375"/>
    <n v="1398.7919999999999"/>
    <n v="1526.098"/>
    <n v="1293.645"/>
    <n v="1344.9870000000001"/>
    <n v="954.80100000000004"/>
    <n v="741.04300000000001"/>
    <n v="862.24699999999996"/>
    <n v="1194.857"/>
    <n v="1077.354"/>
    <n v="1209.722"/>
    <n v="1460.259"/>
    <n v="1493.857"/>
    <n v="1683.337"/>
    <n v="1609.287"/>
    <n v="1720.2349999999999"/>
    <n v="1239.48"/>
    <n v="1032.3050000000001"/>
    <n v="980.21799999999996"/>
    <n v="818.68700000000001"/>
    <n v="609.87599999999998"/>
    <n v="688.12300000000005"/>
    <n v="813.76499999999999"/>
    <n v="1308.075"/>
    <n v="2240.3649999999998"/>
    <n v="2405.8150000000001"/>
    <n v="1644.0719999999999"/>
    <n v="2089.19"/>
    <n v="1830.8620000000001"/>
    <n v="1489.7429999999999"/>
    <n v="1765.33"/>
    <n v="1196.0809999999999"/>
    <n v="694.74599999999998"/>
    <n v="761.39499999999998"/>
    <n v="761.39499999999998"/>
  </r>
  <r>
    <x v="5"/>
    <s v="PEST CONTROL"/>
    <s v="SC JOHNSON"/>
    <x v="2"/>
    <x v="5"/>
    <x v="3"/>
    <x v="0"/>
    <x v="1"/>
    <n v="173343.68700000001"/>
    <n v="363065.31"/>
    <n v="319606.56599999999"/>
    <n v="380496.19900000002"/>
    <n v="332103.712"/>
    <n v="370035.28600000002"/>
    <n v="317992.25300000003"/>
    <n v="327538.88699999999"/>
    <n v="241749.45"/>
    <n v="170812.55499999999"/>
    <n v="200846.185"/>
    <n v="273019.78600000002"/>
    <n v="255074.587"/>
    <n v="331034.29100000003"/>
    <n v="402454.81900000002"/>
    <n v="412109.2"/>
    <n v="470976.10100000002"/>
    <n v="449432.38699999999"/>
    <n v="484528.41600000003"/>
    <n v="362972.36599999998"/>
    <n v="292653.99699999997"/>
    <n v="277173.95899999997"/>
    <n v="249192.826"/>
    <n v="186800.73800000001"/>
    <n v="205754.27100000001"/>
    <n v="252316.55"/>
    <n v="392975.13500000001"/>
    <n v="702583.00199999998"/>
    <n v="756128.59"/>
    <n v="482591.09"/>
    <n v="620159.14199999999"/>
    <n v="555748.56799999997"/>
    <n v="457278.75599999999"/>
    <n v="553488.67700000003"/>
    <n v="383825.64299999998"/>
    <n v="214781.17300000001"/>
    <n v="226895.361"/>
    <n v="226895.361"/>
  </r>
  <r>
    <x v="5"/>
    <s v="PEST CONTROL"/>
    <s v="SC JOHNSON"/>
    <x v="2"/>
    <x v="5"/>
    <x v="3"/>
    <x v="0"/>
    <x v="2"/>
    <n v="1.5960000000000001"/>
    <n v="2.3340000000000001"/>
    <n v="1.63"/>
    <n v="1.532"/>
    <n v="1.1020000000000001"/>
    <n v="1.1120000000000001"/>
    <n v="1.0289999999999999"/>
    <n v="1.3779999999999999"/>
    <n v="1.35"/>
    <n v="1.4259999999999999"/>
    <n v="1.9219999999999999"/>
    <n v="2.7629999999999999"/>
    <n v="2.306"/>
    <n v="2.0529999999999999"/>
    <n v="1.756"/>
    <n v="1.4419999999999999"/>
    <n v="1.3480000000000001"/>
    <n v="1.4119999999999999"/>
    <n v="1.383"/>
    <n v="1.23"/>
    <n v="1.23"/>
    <n v="1.397"/>
    <n v="1.421"/>
    <n v="1.3240000000000001"/>
    <n v="1.405"/>
    <n v="1.3420000000000001"/>
    <n v="1.6950000000000001"/>
    <n v="1.982"/>
    <n v="1.8480000000000001"/>
    <n v="1.1000000000000001"/>
    <n v="1.236"/>
    <n v="1.1080000000000001"/>
    <n v="1.2010000000000001"/>
    <n v="1.804"/>
    <n v="1.649"/>
    <n v="1.4139999999999999"/>
    <n v="1.891"/>
    <n v="0.318"/>
  </r>
  <r>
    <x v="5"/>
    <s v="PEST CONTROL"/>
    <s v="SC JOHNSON"/>
    <x v="2"/>
    <x v="5"/>
    <x v="3"/>
    <x v="0"/>
    <x v="3"/>
    <n v="46.828000000000003"/>
    <n v="48.795999999999999"/>
    <n v="42.253999999999998"/>
    <n v="51.378"/>
    <n v="45.676000000000002"/>
    <n v="40.451999999999998"/>
    <n v="39.081000000000003"/>
    <n v="33.521000000000001"/>
    <n v="38.673000000000002"/>
    <n v="36.563000000000002"/>
    <n v="35.712000000000003"/>
    <n v="37.841999999999999"/>
    <n v="40.136000000000003"/>
    <n v="41.043999999999997"/>
    <n v="46.98"/>
    <n v="46.156999999999996"/>
    <n v="53.396999999999998"/>
    <n v="49.408999999999999"/>
    <n v="54.222999999999999"/>
    <n v="50.177"/>
    <n v="48.600999999999999"/>
    <n v="43.384"/>
    <n v="37.457999999999998"/>
    <n v="37.029000000000003"/>
    <n v="37.353999999999999"/>
    <n v="45.093000000000004"/>
    <n v="49.41"/>
    <n v="51.523000000000003"/>
    <n v="57.610999999999997"/>
    <n v="51.360999999999997"/>
    <n v="53.683"/>
    <n v="54.494999999999997"/>
    <n v="46.420999999999999"/>
    <n v="46.484000000000002"/>
    <n v="50.381999999999998"/>
    <n v="51.515999999999998"/>
    <n v="52.155999999999999"/>
    <n v="2431.3159999999998"/>
  </r>
  <r>
    <x v="5"/>
    <s v="PEST CONTROL"/>
    <s v="SC JOHNSON"/>
    <x v="2"/>
    <x v="5"/>
    <x v="3"/>
    <x v="0"/>
    <x v="4"/>
    <n v="27.941279900000001"/>
    <n v="31.2858494"/>
    <n v="30.5249028"/>
    <n v="30.488731600000001"/>
    <n v="28.6826787"/>
    <n v="29.2960536"/>
    <n v="28.273827600000001"/>
    <n v="25.724899199999999"/>
    <n v="27.712473899999999"/>
    <n v="28.655791300000001"/>
    <n v="29.357009000000001"/>
    <n v="28.6855981"/>
    <n v="26.961987300000001"/>
    <n v="25.336218899999999"/>
    <n v="31.009565899999998"/>
    <n v="29.8383076"/>
    <n v="29.1017875"/>
    <n v="28.150924199999999"/>
    <n v="31.0202375"/>
    <n v="29.308651699999999"/>
    <n v="28.346866299999999"/>
    <n v="26.855083"/>
    <n v="24.796843599999999"/>
    <n v="24.038661999999999"/>
    <n v="24.177290200000002"/>
    <n v="27.9713952"/>
    <n v="29.510989200000001"/>
    <n v="29.806427500000002"/>
    <n v="30.3007551"/>
    <n v="28.456467199999999"/>
    <n v="29.3431058"/>
    <n v="27.816849999999999"/>
    <n v="24.705582400000001"/>
    <n v="25.9589237"/>
    <n v="27.509058499999998"/>
    <n v="25.346149700000002"/>
    <n v="23.7641718"/>
    <n v="52.155999999999999"/>
  </r>
  <r>
    <x v="5"/>
    <s v="PEST CONTROL"/>
    <s v="SC JOHNSON"/>
    <x v="2"/>
    <x v="5"/>
    <x v="3"/>
    <x v="0"/>
    <x v="5"/>
    <n v="1.0860000000000001"/>
    <n v="0.872"/>
    <n v="0.79900000000000004"/>
    <n v="0.79800000000000004"/>
    <n v="0.91900000000000004"/>
    <n v="0.88800000000000001"/>
    <n v="0.71299999999999997"/>
    <n v="1"/>
    <n v="1.1279999999999999"/>
    <n v="1.1240000000000001"/>
    <n v="1.073"/>
    <n v="0.83099999999999996"/>
    <n v="0.8"/>
    <n v="1.075"/>
    <n v="0.90500000000000003"/>
    <n v="0.90900000000000003"/>
    <n v="0.95699999999999996"/>
    <n v="0.98199999999999998"/>
    <n v="1.0509999999999999"/>
    <n v="1.0049999999999999"/>
    <n v="1.0069999999999999"/>
    <n v="0.84199999999999997"/>
    <n v="0.75600000000000001"/>
    <n v="0.86599999999999999"/>
    <n v="0.86599999999999999"/>
    <n v="1.0269999999999999"/>
    <n v="1.01"/>
    <n v="1.0329999999999999"/>
    <n v="1.1160000000000001"/>
    <n v="0.92500000000000004"/>
    <n v="1.081"/>
    <n v="1.0049999999999999"/>
    <n v="1.2509999999999999"/>
    <n v="1.2869999999999999"/>
    <n v="1.3120000000000001"/>
    <n v="1.3120000000000001"/>
    <n v="1.1819999999999999"/>
    <n v="23.7641718"/>
  </r>
  <r>
    <x v="5"/>
    <s v="PEST CONTROL"/>
    <s v="SC JOHNSON"/>
    <x v="2"/>
    <x v="5"/>
    <x v="3"/>
    <x v="7"/>
    <x v="0"/>
    <n v="48.13"/>
    <n v="160.40899999999999"/>
    <n v="136.99100000000001"/>
    <n v="8.7780000000000005"/>
    <n v="21.12"/>
    <n v="150.929"/>
    <n v="29.027999999999999"/>
    <n v="73.521000000000001"/>
    <n v="21.010999999999999"/>
    <n v="0"/>
    <n v="2"/>
    <n v="23.234000000000002"/>
    <n v="1"/>
    <n v="36.164999999999999"/>
    <n v="29.08"/>
    <n v="35.281999999999996"/>
    <n v="116.386"/>
    <n v="37.125999999999998"/>
    <n v="79.591999999999999"/>
    <n v="81.114000000000004"/>
    <n v="117.812"/>
    <n v="42.256"/>
    <n v="84.105999999999995"/>
    <n v="14.006"/>
    <n v="54.308"/>
    <n v="74.340999999999994"/>
    <n v="90.540999999999997"/>
    <n v="176.71799999999999"/>
    <n v="80.299000000000007"/>
    <n v="93.712999999999994"/>
    <n v="93.379000000000005"/>
    <n v="43.823"/>
    <n v="35.055999999999997"/>
    <n v="69.805000000000007"/>
    <n v="88.602000000000004"/>
    <n v="58.609000000000002"/>
    <n v="67.417000000000002"/>
    <n v="134.833"/>
  </r>
  <r>
    <x v="5"/>
    <s v="PEST CONTROL"/>
    <s v="SC JOHNSON"/>
    <x v="2"/>
    <x v="5"/>
    <x v="3"/>
    <x v="7"/>
    <x v="1"/>
    <n v="7135.9170000000004"/>
    <n v="25229.258000000002"/>
    <n v="22215.468000000001"/>
    <n v="1619.385"/>
    <n v="4024.759"/>
    <n v="22115.143"/>
    <n v="4794.0559999999996"/>
    <n v="14091.035"/>
    <n v="4034.2660000000001"/>
    <n v="0"/>
    <n v="378"/>
    <n v="4561.1229999999996"/>
    <n v="219"/>
    <n v="5391.8810000000003"/>
    <n v="5595.5339999999997"/>
    <n v="5675.9229999999998"/>
    <n v="15197.181"/>
    <n v="3705.0859999999998"/>
    <n v="10702.071"/>
    <n v="11352.293"/>
    <n v="23746.149000000001"/>
    <n v="5854.3289999999997"/>
    <n v="15107.424999999999"/>
    <n v="2527.2260000000001"/>
    <n v="9062.8169999999991"/>
    <n v="12579.79"/>
    <n v="16429.940999999999"/>
    <n v="35595.785000000003"/>
    <n v="14571.199000000001"/>
    <n v="19047.286"/>
    <n v="17004.974999999999"/>
    <n v="8357.1569999999992"/>
    <n v="6481.384"/>
    <n v="13586.243"/>
    <n v="16042.63"/>
    <n v="8915.1620000000003"/>
    <n v="10045.094999999999"/>
    <n v="10045.094999999999"/>
  </r>
  <r>
    <x v="5"/>
    <s v="PEST CONTROL"/>
    <s v="SC JOHNSON"/>
    <x v="2"/>
    <x v="5"/>
    <x v="3"/>
    <x v="7"/>
    <x v="2"/>
    <n v="1E-3"/>
    <n v="1E-3"/>
    <n v="1E-3"/>
    <n v="0"/>
    <n v="0"/>
    <n v="1E-3"/>
    <n v="0"/>
    <n v="0"/>
    <n v="0"/>
    <n v="0"/>
    <n v="0"/>
    <n v="0"/>
    <n v="0"/>
    <n v="0"/>
    <n v="0"/>
    <n v="0"/>
    <n v="0"/>
    <n v="0"/>
    <n v="0"/>
    <n v="0"/>
    <n v="1E-3"/>
    <n v="0"/>
    <n v="1E-3"/>
    <n v="0"/>
    <n v="1E-3"/>
    <n v="1E-3"/>
    <n v="1E-3"/>
    <n v="1E-3"/>
    <n v="0"/>
    <n v="0"/>
    <n v="0"/>
    <n v="0"/>
    <n v="0"/>
    <n v="0"/>
    <n v="1E-3"/>
    <n v="1E-3"/>
    <n v="1E-3"/>
    <n v="5.6000000000000001E-2"/>
  </r>
  <r>
    <x v="5"/>
    <s v="PEST CONTROL"/>
    <s v="SC JOHNSON"/>
    <x v="2"/>
    <x v="5"/>
    <x v="3"/>
    <x v="7"/>
    <x v="3"/>
    <n v="13.297000000000001"/>
    <n v="11.496"/>
    <n v="11.223000000000001"/>
    <n v="7.2670000000000003"/>
    <n v="7.3959999999999999"/>
    <n v="6.7709999999999999"/>
    <n v="2.1459999999999999"/>
    <n v="3.1259999999999999"/>
    <n v="2.1139999999999999"/>
    <n v="2.577"/>
    <n v="11.275"/>
    <n v="11.991"/>
    <n v="9.23"/>
    <n v="8.7309999999999999"/>
    <n v="8.3580000000000005"/>
    <n v="7.8719999999999999"/>
    <n v="8.7789999999999999"/>
    <n v="8.0109999999999992"/>
    <n v="7.3869999999999996"/>
    <n v="9.3689999999999998"/>
    <n v="12.365"/>
    <n v="10.449"/>
    <n v="2.7440000000000002"/>
    <n v="3.3359999999999999"/>
    <n v="11.394"/>
    <n v="9.4390000000000001"/>
    <n v="9.4589999999999996"/>
    <n v="8.9030000000000005"/>
    <n v="5.7149999999999999"/>
    <n v="10.135999999999999"/>
    <n v="8.0869999999999997"/>
    <n v="4.9530000000000003"/>
    <n v="3.22"/>
    <n v="2.5179999999999998"/>
    <n v="2.3439999999999999"/>
    <n v="2.1930000000000001"/>
    <n v="2.0219999999999998"/>
    <n v="132.358"/>
  </r>
  <r>
    <x v="5"/>
    <s v="PEST CONTROL"/>
    <s v="SC JOHNSON"/>
    <x v="2"/>
    <x v="5"/>
    <x v="3"/>
    <x v="7"/>
    <x v="4"/>
    <n v="3.0073949999999998"/>
    <n v="5.7646192000000003"/>
    <n v="5.7635655000000003"/>
    <n v="3.868522"/>
    <n v="3.8255785000000002"/>
    <n v="3.7745533999999998"/>
    <n v="3.7100715000000002"/>
    <n v="3.3454316999999998"/>
    <n v="2.2183834999999998"/>
    <n v="3.2002381999999998"/>
    <n v="4.3985741999999997"/>
    <n v="4.2737691"/>
    <n v="4.3558770000000004"/>
    <n v="4.3529907999999997"/>
    <n v="4.4264722000000001"/>
    <n v="4.4012647999999999"/>
    <n v="4.5415793000000004"/>
    <n v="3.8122850000000001"/>
    <n v="2.9969527999999999"/>
    <n v="3.7376431000000001"/>
    <n v="4.7372579999999997"/>
    <n v="4.3702607999999996"/>
    <n v="3.3446397000000001"/>
    <n v="3.2335204000000002"/>
    <n v="4.271776"/>
    <n v="4.8827552000000001"/>
    <n v="4.3044536999999998"/>
    <n v="5.1192719000000002"/>
    <n v="3.9313950000000002"/>
    <n v="3.8763893"/>
    <n v="3.8520957999999998"/>
    <n v="2.8020369999999999"/>
    <n v="2.7687721999999999"/>
    <n v="2.8805475"/>
    <n v="2.7884395999999998"/>
    <n v="3.1290170000000002"/>
    <n v="3.0532626"/>
    <n v="2.0219999999999998"/>
  </r>
  <r>
    <x v="5"/>
    <s v="PEST CONTROL"/>
    <s v="SC JOHNSON"/>
    <x v="2"/>
    <x v="5"/>
    <x v="3"/>
    <x v="7"/>
    <x v="5"/>
    <n v="0.152"/>
    <n v="8.3000000000000004E-2"/>
    <n v="0.115"/>
    <n v="0.13100000000000001"/>
    <n v="0.14099999999999999"/>
    <n v="7.0000000000000007E-2"/>
    <n v="9.5000000000000001E-2"/>
    <n v="6.0999999999999999E-2"/>
    <n v="5.8999999999999997E-2"/>
    <n v="0.08"/>
    <n v="0.14799999999999999"/>
    <n v="0.15"/>
    <n v="0.14799999999999999"/>
    <n v="0.14299999999999999"/>
    <n v="0.109"/>
    <n v="8.8999999999999996E-2"/>
    <n v="6.5000000000000002E-2"/>
    <n v="7.1999999999999995E-2"/>
    <n v="3.4000000000000002E-2"/>
    <n v="7.4999999999999997E-2"/>
    <n v="0.105"/>
    <n v="9.0999999999999998E-2"/>
    <n v="5.3999999999999999E-2"/>
    <n v="9.4E-2"/>
    <n v="0.104"/>
    <n v="7.2999999999999995E-2"/>
    <n v="5.1999999999999998E-2"/>
    <n v="0.04"/>
    <n v="3.5000000000000003E-2"/>
    <n v="6.5000000000000002E-2"/>
    <n v="5.5E-2"/>
    <n v="6.9000000000000006E-2"/>
    <n v="0.1"/>
    <n v="8.5999999999999993E-2"/>
    <n v="5.5E-2"/>
    <n v="3.1E-2"/>
    <n v="3.2000000000000001E-2"/>
    <n v="3.0532626"/>
  </r>
  <r>
    <x v="5"/>
    <s v="PEST CONTROL"/>
    <s v="SC JOHNSON"/>
    <x v="3"/>
    <x v="0"/>
    <x v="0"/>
    <x v="8"/>
    <x v="0"/>
    <n v="0"/>
    <n v="0"/>
    <n v="132.72900000000001"/>
    <n v="91.471000000000004"/>
    <n v="149.16300000000001"/>
    <n v="413.17500000000001"/>
    <n v="105.6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3"/>
    <x v="0"/>
    <x v="0"/>
    <x v="8"/>
    <x v="1"/>
    <n v="0"/>
    <n v="0"/>
    <n v="23891.197"/>
    <n v="16464.737000000001"/>
    <n v="22374.391"/>
    <n v="72961.028000000006"/>
    <n v="29585.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3"/>
    <x v="0"/>
    <x v="0"/>
    <x v="8"/>
    <x v="2"/>
    <n v="0"/>
    <n v="0"/>
    <n v="7.0000000000000001E-3"/>
    <n v="4.0000000000000001E-3"/>
    <n v="4.0000000000000001E-3"/>
    <n v="1.0999999999999999E-2"/>
    <n v="5.00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3"/>
    <x v="0"/>
    <x v="0"/>
    <x v="8"/>
    <x v="3"/>
    <n v="0"/>
    <n v="0.92600000000000005"/>
    <n v="1.7010000000000001"/>
    <n v="1.61"/>
    <n v="1.784"/>
    <n v="2.3199999999999998"/>
    <n v="0.843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3"/>
    <x v="0"/>
    <x v="0"/>
    <x v="8"/>
    <x v="4"/>
    <n v="0"/>
    <n v="0.89728680000000005"/>
    <n v="0.8971228"/>
    <n v="0.95882069999999997"/>
    <n v="1.2310445999999999"/>
    <n v="2.2402218"/>
    <n v="1.5533786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3"/>
    <x v="0"/>
    <x v="0"/>
    <x v="8"/>
    <x v="5"/>
    <n v="0"/>
    <n v="0.11899999999999999"/>
    <n v="4.2000000000000003E-2"/>
    <n v="0"/>
    <n v="0.14899999999999999"/>
    <n v="4.299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PEST CONTROL"/>
    <s v="SC JOHNSON"/>
    <x v="3"/>
    <x v="0"/>
    <x v="0"/>
    <x v="9"/>
    <x v="0"/>
    <n v="7.7409999999999997"/>
    <n v="26.193999999999999"/>
    <n v="241.172"/>
    <n v="243.79400000000001"/>
    <n v="299.096"/>
    <n v="103.661"/>
    <n v="229.994"/>
    <n v="158.06399999999999"/>
    <n v="136.995"/>
    <n v="216.501"/>
    <n v="141.88499999999999"/>
    <n v="77.972999999999999"/>
    <n v="216.80699999999999"/>
    <n v="226.97300000000001"/>
    <n v="246.53399999999999"/>
    <n v="276.30500000000001"/>
    <n v="393.39499999999998"/>
    <n v="414.36399999999998"/>
    <n v="226.60900000000001"/>
    <n v="153.71199999999999"/>
    <n v="128.98599999999999"/>
    <n v="294.05399999999997"/>
    <n v="285.26600000000002"/>
    <n v="36.817"/>
    <n v="38.865000000000002"/>
    <n v="184.61799999999999"/>
    <n v="176.44499999999999"/>
    <n v="222.065"/>
    <n v="257.40800000000002"/>
    <n v="212.75800000000001"/>
    <n v="398.22199999999998"/>
    <n v="325.14299999999997"/>
    <n v="156.947"/>
    <n v="145.81200000000001"/>
    <n v="147.029"/>
    <n v="33.277999999999999"/>
    <n v="49.523000000000003"/>
    <n v="49.523000000000003"/>
  </r>
  <r>
    <x v="5"/>
    <s v="PEST CONTROL"/>
    <s v="SC JOHNSON"/>
    <x v="3"/>
    <x v="0"/>
    <x v="0"/>
    <x v="9"/>
    <x v="1"/>
    <n v="2279.7249999999999"/>
    <n v="8115.71"/>
    <n v="68026.260999999999"/>
    <n v="86683.267999999996"/>
    <n v="93290.176000000007"/>
    <n v="32710.436000000002"/>
    <n v="57568.315000000002"/>
    <n v="39765.572"/>
    <n v="34500.322"/>
    <n v="53409.74"/>
    <n v="35273.245999999999"/>
    <n v="20261.78"/>
    <n v="58701.207000000002"/>
    <n v="59404.440999999999"/>
    <n v="66295.104999999996"/>
    <n v="76115.084000000003"/>
    <n v="102032.764"/>
    <n v="123153.73699999999"/>
    <n v="65171.883999999998"/>
    <n v="41197.966"/>
    <n v="32363.442999999999"/>
    <n v="75017.593999999997"/>
    <n v="71708.703999999998"/>
    <n v="10392.071"/>
    <n v="10912.450999999999"/>
    <n v="47789.243000000002"/>
    <n v="45980.798000000003"/>
    <n v="59208.258000000002"/>
    <n v="72943.781000000003"/>
    <n v="56552.146000000001"/>
    <n v="110315.935"/>
    <n v="105624.05"/>
    <n v="46702.023999999998"/>
    <n v="36635.24"/>
    <n v="38264.889000000003"/>
    <n v="12084.492"/>
    <n v="17404.477999999999"/>
    <n v="17404.477999999999"/>
  </r>
  <r>
    <x v="5"/>
    <s v="PEST CONTROL"/>
    <s v="SC JOHNSON"/>
    <x v="3"/>
    <x v="0"/>
    <x v="0"/>
    <x v="9"/>
    <x v="2"/>
    <n v="2E-3"/>
    <n v="5.0000000000000001E-3"/>
    <n v="3.4000000000000002E-2"/>
    <n v="2.7E-2"/>
    <n v="2.7E-2"/>
    <n v="8.9999999999999993E-3"/>
    <n v="2.1000000000000001E-2"/>
    <n v="1.9E-2"/>
    <n v="2.1999999999999999E-2"/>
    <n v="4.8000000000000001E-2"/>
    <n v="3.6999999999999998E-2"/>
    <n v="2.1000000000000001E-2"/>
    <n v="5.3999999999999999E-2"/>
    <n v="4.4999999999999998E-2"/>
    <n v="3.5000000000000003E-2"/>
    <n v="3.2000000000000001E-2"/>
    <n v="3.7999999999999999E-2"/>
    <n v="4.2999999999999997E-2"/>
    <n v="2.1999999999999999E-2"/>
    <n v="1.9E-2"/>
    <n v="1.9E-2"/>
    <n v="5.0999999999999997E-2"/>
    <n v="0.06"/>
    <n v="0.01"/>
    <n v="0.01"/>
    <n v="3.6999999999999998E-2"/>
    <n v="2.8000000000000001E-2"/>
    <n v="2.4E-2"/>
    <n v="2.4E-2"/>
    <n v="1.7000000000000001E-2"/>
    <n v="2.9000000000000001E-2"/>
    <n v="2.4E-2"/>
    <n v="1.4999999999999999E-2"/>
    <n v="1.7999999999999999E-2"/>
    <n v="2.5000000000000001E-2"/>
    <n v="8.0000000000000002E-3"/>
    <n v="1.4999999999999999E-2"/>
    <n v="2.1000000000000001E-2"/>
  </r>
  <r>
    <x v="5"/>
    <s v="PEST CONTROL"/>
    <s v="SC JOHNSON"/>
    <x v="3"/>
    <x v="0"/>
    <x v="0"/>
    <x v="9"/>
    <x v="3"/>
    <n v="3.4449999999999998"/>
    <n v="4.6920000000000002"/>
    <n v="10.343999999999999"/>
    <n v="12.939"/>
    <n v="16.707999999999998"/>
    <n v="8.8079999999999998"/>
    <n v="10.39"/>
    <n v="14.489000000000001"/>
    <n v="15.007999999999999"/>
    <n v="15.122999999999999"/>
    <n v="13.44"/>
    <n v="11.512"/>
    <n v="10.298"/>
    <n v="9.1980000000000004"/>
    <n v="11.036"/>
    <n v="10.365"/>
    <n v="18.872"/>
    <n v="16.100999999999999"/>
    <n v="18.085999999999999"/>
    <n v="16.593"/>
    <n v="16.042999999999999"/>
    <n v="16.36"/>
    <n v="17.244"/>
    <n v="16.850999999999999"/>
    <n v="13.54"/>
    <n v="15.231999999999999"/>
    <n v="15.363"/>
    <n v="13.635"/>
    <n v="12.46"/>
    <n v="15.512"/>
    <n v="13.993"/>
    <n v="17.027000000000001"/>
    <n v="15.079000000000001"/>
    <n v="16.553000000000001"/>
    <n v="15.159000000000001"/>
    <n v="14.07"/>
    <n v="14.458"/>
    <n v="412.63299999999998"/>
  </r>
  <r>
    <x v="5"/>
    <s v="PEST CONTROL"/>
    <s v="SC JOHNSON"/>
    <x v="3"/>
    <x v="0"/>
    <x v="0"/>
    <x v="9"/>
    <x v="4"/>
    <n v="2.8249518"/>
    <n v="3.2098192999999999"/>
    <n v="5.6673117"/>
    <n v="6.1425815000000004"/>
    <n v="5.7671616999999999"/>
    <n v="3.4628466000000002"/>
    <n v="3.4654056"/>
    <n v="4.3394665999999997"/>
    <n v="4.4768761000000001"/>
    <n v="4.1509808000000001"/>
    <n v="4.2280201999999996"/>
    <n v="4.5151196000000002"/>
    <n v="4.7601879"/>
    <n v="4.7751631999999997"/>
    <n v="4.9819277"/>
    <n v="5.2558666000000001"/>
    <n v="6.5770001000000002"/>
    <n v="5.4244383000000003"/>
    <n v="6.2755967000000004"/>
    <n v="6.0839382999999998"/>
    <n v="5.3625086"/>
    <n v="5.1114636000000004"/>
    <n v="4.3342590000000003"/>
    <n v="3.6209132999999998"/>
    <n v="3.4424247000000001"/>
    <n v="4.7142710000000001"/>
    <n v="4.7529462999999996"/>
    <n v="4.3916073000000004"/>
    <n v="3.5996804"/>
    <n v="4.3035329999999998"/>
    <n v="5.2574548999999999"/>
    <n v="7.0263850000000003"/>
    <n v="6.5908110999999998"/>
    <n v="5.6425476000000003"/>
    <n v="5.5267169000000003"/>
    <n v="5.4306618000000002"/>
    <n v="5.6893833000000003"/>
    <n v="14.458"/>
  </r>
  <r>
    <x v="5"/>
    <s v="PEST CONTROL"/>
    <s v="SC JOHNSON"/>
    <x v="3"/>
    <x v="0"/>
    <x v="0"/>
    <x v="9"/>
    <x v="5"/>
    <n v="5.7000000000000002E-2"/>
    <n v="5.8000000000000003E-2"/>
    <n v="0.13600000000000001"/>
    <n v="5.8999999999999997E-2"/>
    <n v="5.1999999999999998E-2"/>
    <n v="2.5000000000000001E-2"/>
    <n v="3.5000000000000003E-2"/>
    <n v="0.11700000000000001"/>
    <n v="0.10199999999999999"/>
    <n v="3.4000000000000002E-2"/>
    <n v="0.1"/>
    <n v="9.7000000000000003E-2"/>
    <n v="5.0999999999999997E-2"/>
    <n v="0.106"/>
    <n v="6.2E-2"/>
    <n v="5.8999999999999997E-2"/>
    <n v="0.127"/>
    <n v="0.16"/>
    <n v="0.18"/>
    <n v="0.16800000000000001"/>
    <n v="0.17199999999999999"/>
    <n v="8.5000000000000006E-2"/>
    <n v="0.109"/>
    <n v="0.121"/>
    <n v="0.108"/>
    <n v="0.13500000000000001"/>
    <n v="0.121"/>
    <n v="9.8000000000000004E-2"/>
    <n v="5.2999999999999999E-2"/>
    <n v="7.0000000000000007E-2"/>
    <n v="0.113"/>
    <n v="0.13500000000000001"/>
    <n v="0.125"/>
    <n v="0.16"/>
    <n v="0.18099999999999999"/>
    <n v="0.192"/>
    <n v="0.20100000000000001"/>
    <n v="5.6893833000000003"/>
  </r>
  <r>
    <x v="5"/>
    <s v="PEST CONTROL"/>
    <s v="SC JOHNSON"/>
    <x v="3"/>
    <x v="0"/>
    <x v="0"/>
    <x v="10"/>
    <x v="0"/>
    <n v="1083.4590000000001"/>
    <n v="3001.181"/>
    <n v="4616.63"/>
    <n v="8908.759"/>
    <n v="13099.338"/>
    <n v="10484.125"/>
    <n v="10752.449000000001"/>
    <n v="8526.9979999999996"/>
    <n v="6474.4340000000002"/>
    <n v="3427.7469999999998"/>
    <n v="2621.77"/>
    <n v="2405.7640000000001"/>
    <n v="2393.7359999999999"/>
    <n v="3635.5439999999999"/>
    <n v="4400.2719999999999"/>
    <n v="5992.1719999999996"/>
    <n v="6424.2280000000001"/>
    <n v="7038.1549999999997"/>
    <n v="6599.1189999999997"/>
    <n v="4534.0389999999998"/>
    <n v="3988.6669999999999"/>
    <n v="2686.0219999999999"/>
    <n v="1476.546"/>
    <n v="1031.2739999999999"/>
    <n v="857.21400000000006"/>
    <n v="1490.89"/>
    <n v="2768.1979999999999"/>
    <n v="3734.3589999999999"/>
    <n v="4349.6559999999999"/>
    <n v="5578.4430000000002"/>
    <n v="7390.7020000000002"/>
    <n v="7973.7560000000003"/>
    <n v="4554.1350000000002"/>
    <n v="3575.0210000000002"/>
    <n v="2602.8409999999999"/>
    <n v="1857.623"/>
    <n v="1213.7550000000001"/>
    <n v="19582.363000000001"/>
  </r>
  <r>
    <x v="5"/>
    <s v="PEST CONTROL"/>
    <s v="SC JOHNSON"/>
    <x v="3"/>
    <x v="0"/>
    <x v="0"/>
    <x v="10"/>
    <x v="1"/>
    <n v="197564.606"/>
    <n v="551735.23699999996"/>
    <n v="792766.03200000001"/>
    <n v="1506678.591"/>
    <n v="2150871.3960000002"/>
    <n v="1747930.159"/>
    <n v="1644862.4080000001"/>
    <n v="1236143.469"/>
    <n v="935847.68099999998"/>
    <n v="488423.674"/>
    <n v="379514.08500000002"/>
    <n v="356302.86700000003"/>
    <n v="374370.30499999999"/>
    <n v="531783.66"/>
    <n v="654017.07400000002"/>
    <n v="852312.86199999996"/>
    <n v="929654.74199999997"/>
    <n v="1000731.077"/>
    <n v="949066.9"/>
    <n v="719935.16"/>
    <n v="586878.47900000005"/>
    <n v="372915.17499999999"/>
    <n v="216167.65599999999"/>
    <n v="151908.92199999999"/>
    <n v="124642.58199999999"/>
    <n v="208775.3"/>
    <n v="387478.19099999999"/>
    <n v="569128.76599999995"/>
    <n v="671581.076"/>
    <n v="873334.25800000003"/>
    <n v="1168065.361"/>
    <n v="1325201.8959999999"/>
    <n v="779982.54599999997"/>
    <n v="601428.78500000003"/>
    <n v="467148.56599999999"/>
    <n v="337998.01799999998"/>
    <n v="185155.52"/>
    <n v="185155.52"/>
  </r>
  <r>
    <x v="5"/>
    <s v="PEST CONTROL"/>
    <s v="SC JOHNSON"/>
    <x v="3"/>
    <x v="0"/>
    <x v="0"/>
    <x v="10"/>
    <x v="2"/>
    <n v="0.13100000000000001"/>
    <n v="0.252"/>
    <n v="0.29399999999999998"/>
    <n v="0.432"/>
    <n v="0.50800000000000001"/>
    <n v="0.38500000000000001"/>
    <n v="0.42"/>
    <n v="0.41"/>
    <n v="0.42299999999999999"/>
    <n v="0.29899999999999999"/>
    <n v="0.26600000000000001"/>
    <n v="0.26500000000000001"/>
    <n v="0.26100000000000001"/>
    <n v="0.28699999999999998"/>
    <n v="0.25700000000000001"/>
    <n v="0.26900000000000002"/>
    <n v="0.24099999999999999"/>
    <n v="0.28000000000000003"/>
    <n v="0.247"/>
    <n v="0.23400000000000001"/>
    <n v="0.23499999999999999"/>
    <n v="0.17899999999999999"/>
    <n v="0.129"/>
    <n v="0.122"/>
    <n v="8.6999999999999994E-2"/>
    <n v="0.111"/>
    <n v="0.16200000000000001"/>
    <n v="0.16300000000000001"/>
    <n v="0.16500000000000001"/>
    <n v="0.17899999999999999"/>
    <n v="0.21"/>
    <n v="0.24"/>
    <n v="0.186"/>
    <n v="0.18"/>
    <n v="0.186"/>
    <n v="0.19400000000000001"/>
    <n v="0.13400000000000001"/>
    <n v="8.17"/>
  </r>
  <r>
    <x v="5"/>
    <s v="PEST CONTROL"/>
    <s v="SC JOHNSON"/>
    <x v="3"/>
    <x v="0"/>
    <x v="0"/>
    <x v="10"/>
    <x v="3"/>
    <n v="41.487000000000002"/>
    <n v="54.177"/>
    <n v="65.661000000000001"/>
    <n v="71.234999999999999"/>
    <n v="70.647999999999996"/>
    <n v="67.206999999999994"/>
    <n v="69.290000000000006"/>
    <n v="67.344999999999999"/>
    <n v="70.927000000000007"/>
    <n v="63.194000000000003"/>
    <n v="64.665999999999997"/>
    <n v="62.29"/>
    <n v="65.834000000000003"/>
    <n v="62.61"/>
    <n v="63.453000000000003"/>
    <n v="55.561"/>
    <n v="61.070999999999998"/>
    <n v="60.893999999999998"/>
    <n v="66.623999999999995"/>
    <n v="64.063000000000002"/>
    <n v="59.134"/>
    <n v="56.487000000000002"/>
    <n v="54.963000000000001"/>
    <n v="46.941000000000003"/>
    <n v="49.414999999999999"/>
    <n v="45.014000000000003"/>
    <n v="59.298999999999999"/>
    <n v="63.588999999999999"/>
    <n v="59.213000000000001"/>
    <n v="58.978000000000002"/>
    <n v="59.351999999999997"/>
    <n v="59.017000000000003"/>
    <n v="52.057000000000002"/>
    <n v="49.851999999999997"/>
    <n v="44.875"/>
    <n v="46.372999999999998"/>
    <n v="43.515999999999998"/>
    <n v="63949.108"/>
  </r>
  <r>
    <x v="5"/>
    <s v="PEST CONTROL"/>
    <s v="SC JOHNSON"/>
    <x v="3"/>
    <x v="0"/>
    <x v="0"/>
    <x v="10"/>
    <x v="4"/>
    <n v="34.731865300000003"/>
    <n v="38.8721478"/>
    <n v="44.005892600000003"/>
    <n v="45.526537300000001"/>
    <n v="43.765415300000001"/>
    <n v="41.025792099999997"/>
    <n v="43.525192799999999"/>
    <n v="39.789436199999997"/>
    <n v="38.6273567"/>
    <n v="34.624958100000001"/>
    <n v="35.117317100000001"/>
    <n v="34.301165400000002"/>
    <n v="32.929452599999998"/>
    <n v="34.859351099999998"/>
    <n v="36.50817"/>
    <n v="34.430152900000003"/>
    <n v="37.188894099999999"/>
    <n v="38.644378699999997"/>
    <n v="39.405605700000002"/>
    <n v="38.714254099999998"/>
    <n v="35.272501499999997"/>
    <n v="31.796753800000001"/>
    <n v="30.844373000000001"/>
    <n v="28.467114299999999"/>
    <n v="30.141953000000001"/>
    <n v="33.0103376"/>
    <n v="37.595765800000002"/>
    <n v="36.379521699999998"/>
    <n v="32.417235400000003"/>
    <n v="32.569258499999997"/>
    <n v="31.974183799999999"/>
    <n v="32.6230507"/>
    <n v="29.7622179"/>
    <n v="27.762984899999999"/>
    <n v="28.534478700000001"/>
    <n v="26.7371813"/>
    <n v="24.716176399999998"/>
    <n v="43.515999999999998"/>
  </r>
  <r>
    <x v="5"/>
    <s v="PEST CONTROL"/>
    <s v="SC JOHNSON"/>
    <x v="3"/>
    <x v="0"/>
    <x v="0"/>
    <x v="10"/>
    <x v="5"/>
    <n v="2.0699999999999998"/>
    <n v="2.59"/>
    <n v="3.21"/>
    <n v="3.4620000000000002"/>
    <n v="4.0750000000000002"/>
    <n v="3.3460000000000001"/>
    <n v="4.3090000000000002"/>
    <n v="3.617"/>
    <n v="3.915"/>
    <n v="4.0570000000000004"/>
    <n v="4.157"/>
    <n v="4.1619999999999999"/>
    <n v="3.89"/>
    <n v="4.0330000000000004"/>
    <n v="3.4380000000000002"/>
    <n v="2.786"/>
    <n v="2.7330000000000001"/>
    <n v="2.1440000000000001"/>
    <n v="2.359"/>
    <n v="2.2370000000000001"/>
    <n v="2.5710000000000002"/>
    <n v="2.6030000000000002"/>
    <n v="2.3929999999999998"/>
    <n v="2.2480000000000002"/>
    <n v="2.3039999999999998"/>
    <n v="2.355"/>
    <n v="1.845"/>
    <n v="1.9450000000000001"/>
    <n v="2.0409999999999999"/>
    <n v="2.3559999999999999"/>
    <n v="1.9570000000000001"/>
    <n v="2.1669999999999998"/>
    <n v="2.2559999999999998"/>
    <n v="2.0230000000000001"/>
    <n v="1.9850000000000001"/>
    <n v="1.909"/>
    <n v="1.738"/>
    <n v="24.716176399999998"/>
  </r>
  <r>
    <x v="5"/>
    <s v="PEST CONTROL"/>
    <s v="SC JOHNSON"/>
    <x v="3"/>
    <x v="0"/>
    <x v="3"/>
    <x v="11"/>
    <x v="0"/>
    <n v="22.963999999999999"/>
    <n v="51.261000000000003"/>
    <n v="211.80199999999999"/>
    <n v="303.60899999999998"/>
    <n v="174.90700000000001"/>
    <n v="199.483"/>
    <n v="140.68899999999999"/>
    <n v="96.635000000000005"/>
    <n v="65.072999999999993"/>
    <n v="36.006"/>
    <n v="34.950000000000003"/>
    <n v="53.567999999999998"/>
    <n v="0"/>
    <n v="0"/>
    <n v="37.246000000000002"/>
    <n v="39.927999999999997"/>
    <n v="0"/>
    <n v="93.271000000000001"/>
    <n v="84.429000000000002"/>
    <n v="37.950000000000003"/>
    <n v="0"/>
    <n v="0"/>
    <n v="0"/>
    <n v="36.640999999999998"/>
    <n v="37.392000000000003"/>
    <n v="0"/>
    <n v="0"/>
    <n v="24.855"/>
    <n v="2"/>
    <n v="9.5"/>
    <n v="0"/>
    <n v="36.307000000000002"/>
    <n v="35.103000000000002"/>
    <n v="0"/>
    <n v="0"/>
    <n v="0"/>
    <n v="0"/>
    <n v="0"/>
  </r>
  <r>
    <x v="5"/>
    <s v="PEST CONTROL"/>
    <s v="SC JOHNSON"/>
    <x v="3"/>
    <x v="0"/>
    <x v="3"/>
    <x v="11"/>
    <x v="1"/>
    <n v="11899.085999999999"/>
    <n v="21124.921999999999"/>
    <n v="66904.722999999998"/>
    <n v="95644.883000000002"/>
    <n v="53274.036999999997"/>
    <n v="71296.619000000006"/>
    <n v="53441.932000000001"/>
    <n v="30034.932000000001"/>
    <n v="19090.91"/>
    <n v="10801.681"/>
    <n v="10485.001"/>
    <n v="25045.573"/>
    <n v="0"/>
    <n v="0"/>
    <n v="28661.871999999999"/>
    <n v="30699.914000000001"/>
    <n v="0"/>
    <n v="64592.62"/>
    <n v="48749.41"/>
    <n v="29221.691999999999"/>
    <n v="0"/>
    <n v="0"/>
    <n v="0"/>
    <n v="28213.898000000001"/>
    <n v="28792.282999999999"/>
    <n v="0"/>
    <n v="0"/>
    <n v="9270.99"/>
    <n v="824"/>
    <n v="3657.3420000000001"/>
    <n v="0"/>
    <n v="22074.831999999999"/>
    <n v="21022.89"/>
    <n v="0"/>
    <n v="0"/>
    <n v="0"/>
    <n v="0"/>
    <n v="0"/>
  </r>
  <r>
    <x v="5"/>
    <s v="PEST CONTROL"/>
    <s v="SC JOHNSON"/>
    <x v="3"/>
    <x v="0"/>
    <x v="3"/>
    <x v="11"/>
    <x v="2"/>
    <n v="3.5999999999999997E-2"/>
    <n v="5.8000000000000003E-2"/>
    <n v="0.19500000000000001"/>
    <n v="0.216"/>
    <n v="0.104"/>
    <n v="0.109"/>
    <n v="8.4000000000000005E-2"/>
    <n v="7.3999999999999996E-2"/>
    <n v="6.9000000000000006E-2"/>
    <n v="5.1999999999999998E-2"/>
    <n v="5.8000000000000003E-2"/>
    <n v="9.2999999999999999E-2"/>
    <n v="0"/>
    <n v="0"/>
    <n v="3.4000000000000002E-2"/>
    <n v="0.03"/>
    <n v="0"/>
    <n v="6.3E-2"/>
    <n v="5.2999999999999999E-2"/>
    <n v="0.03"/>
    <n v="0"/>
    <n v="0"/>
    <n v="0"/>
    <n v="6.2E-2"/>
    <n v="5.8999999999999997E-2"/>
    <n v="0"/>
    <n v="0"/>
    <n v="1.7000000000000001E-2"/>
    <n v="1E-3"/>
    <n v="5.0000000000000001E-3"/>
    <n v="0"/>
    <n v="1.7000000000000001E-2"/>
    <n v="2.1999999999999999E-2"/>
    <n v="0"/>
    <n v="0"/>
    <n v="0"/>
    <n v="0"/>
    <n v="0"/>
  </r>
  <r>
    <x v="5"/>
    <s v="PEST CONTROL"/>
    <s v="SC JOHNSON"/>
    <x v="3"/>
    <x v="0"/>
    <x v="3"/>
    <x v="11"/>
    <x v="3"/>
    <n v="6.8959999999999999"/>
    <n v="8.2509999999999994"/>
    <n v="8.5489999999999995"/>
    <n v="9.4920000000000009"/>
    <n v="8.4480000000000004"/>
    <n v="9.859"/>
    <n v="7.31"/>
    <n v="7.0430000000000001"/>
    <n v="8.4339999999999993"/>
    <n v="9.1189999999999998"/>
    <n v="9.6129999999999995"/>
    <n v="10.09"/>
    <n v="8.3689999999999998"/>
    <n v="6.5380000000000003"/>
    <n v="6.1970000000000001"/>
    <n v="6.7649999999999997"/>
    <n v="3.6680000000000001"/>
    <n v="6.72"/>
    <n v="6.423"/>
    <n v="5.165"/>
    <n v="4.9130000000000003"/>
    <n v="4.8250000000000002"/>
    <n v="5.3879999999999999"/>
    <n v="4.7210000000000001"/>
    <n v="3.3740000000000001"/>
    <n v="3.74"/>
    <n v="3.9"/>
    <n v="4.6829999999999998"/>
    <n v="3.4689999999999999"/>
    <n v="3.95"/>
    <n v="2.7919999999999998"/>
    <n v="2.2890000000000001"/>
    <n v="1.879"/>
    <n v="0.98699999999999999"/>
    <n v="1.3680000000000001"/>
    <n v="1.0009999999999999"/>
    <n v="0.95699999999999996"/>
    <n v="35.917999999999999"/>
  </r>
  <r>
    <x v="5"/>
    <s v="PEST CONTROL"/>
    <s v="SC JOHNSON"/>
    <x v="3"/>
    <x v="0"/>
    <x v="3"/>
    <x v="11"/>
    <x v="4"/>
    <n v="3.7790746"/>
    <n v="4.8122239999999996"/>
    <n v="6.0871278000000002"/>
    <n v="5.1630804000000001"/>
    <n v="5.0355626000000004"/>
    <n v="4.9839700000000002"/>
    <n v="5.0619076999999999"/>
    <n v="5.0173218000000004"/>
    <n v="4.9101761000000002"/>
    <n v="4.9834408000000003"/>
    <n v="4.9847036999999998"/>
    <n v="4.8573841"/>
    <n v="3.8589994000000001"/>
    <n v="3.8564424000000002"/>
    <n v="3.8595687000000001"/>
    <n v="3.8970259"/>
    <n v="3.0502012999999999"/>
    <n v="3.9256907000000001"/>
    <n v="3.0729696"/>
    <n v="1.9603929"/>
    <n v="1.9597876999999999"/>
    <n v="1.9579937999999999"/>
    <n v="1.9563737000000001"/>
    <n v="1.7511954000000001"/>
    <n v="1.7512007999999999"/>
    <n v="1.7511994"/>
    <n v="1.7512015000000001"/>
    <n v="1.8877702000000001"/>
    <n v="1.5126926000000001"/>
    <n v="1.5289139"/>
    <n v="0.71527350000000001"/>
    <n v="0.7153796"/>
    <n v="0.75368780000000002"/>
    <n v="0.71564349999999999"/>
    <n v="0.77055629999999997"/>
    <n v="0.66178150000000002"/>
    <n v="0.66216129999999995"/>
    <n v="0.95699999999999996"/>
  </r>
  <r>
    <x v="5"/>
    <s v="PEST CONTROL"/>
    <s v="SC JOHNSON"/>
    <x v="3"/>
    <x v="0"/>
    <x v="3"/>
    <x v="11"/>
    <x v="5"/>
    <n v="9.4E-2"/>
    <n v="0.12"/>
    <n v="0.16900000000000001"/>
    <n v="0.128"/>
    <n v="0.13200000000000001"/>
    <n v="9.2999999999999999E-2"/>
    <n v="0.10100000000000001"/>
    <n v="0.11600000000000001"/>
    <n v="8.6999999999999994E-2"/>
    <n v="8.3000000000000004E-2"/>
    <n v="6.4000000000000001E-2"/>
    <n v="6.9000000000000006E-2"/>
    <n v="6.9000000000000006E-2"/>
    <n v="6.8000000000000005E-2"/>
    <n v="0.04"/>
    <n v="3.7999999999999999E-2"/>
    <n v="4.2000000000000003E-2"/>
    <n v="5.7000000000000002E-2"/>
    <n v="1.9E-2"/>
    <n v="4.2000000000000003E-2"/>
    <n v="4.2999999999999997E-2"/>
    <n v="4.2999999999999997E-2"/>
    <n v="4.3999999999999997E-2"/>
    <n v="0.02"/>
    <n v="0.02"/>
    <n v="3.6999999999999998E-2"/>
    <n v="3.1E-2"/>
    <n v="0.02"/>
    <n v="0.02"/>
    <n v="1.7000000000000001E-2"/>
    <n v="1.7000000000000001E-2"/>
    <n v="0"/>
    <n v="1.7999999999999999E-2"/>
    <n v="1.7000000000000001E-2"/>
    <n v="1.7000000000000001E-2"/>
    <n v="1.7000000000000001E-2"/>
    <n v="1.7000000000000001E-2"/>
    <n v="0.66216129999999995"/>
  </r>
  <r>
    <x v="5"/>
    <s v="PEST CONTROL"/>
    <s v="SC JOHNSON"/>
    <x v="3"/>
    <x v="0"/>
    <x v="3"/>
    <x v="8"/>
    <x v="0"/>
    <n v="944.447"/>
    <n v="2088.087"/>
    <n v="2620.9360000000001"/>
    <n v="4864.3599999999997"/>
    <n v="7668.14"/>
    <n v="7314.4930000000004"/>
    <n v="4659.9620000000004"/>
    <n v="3352.4740000000002"/>
    <n v="2041.421"/>
    <n v="1388.3430000000001"/>
    <n v="1061.104"/>
    <n v="785.08699999999999"/>
    <n v="920.46"/>
    <n v="1208.568"/>
    <n v="3287.569"/>
    <n v="4768.1859999999997"/>
    <n v="5913.8639999999996"/>
    <n v="6294.808"/>
    <n v="5352.72"/>
    <n v="5296.1450000000004"/>
    <n v="4706.2820000000002"/>
    <n v="2740.3029999999999"/>
    <n v="2177.2240000000002"/>
    <n v="419.80099999999999"/>
    <n v="506.17200000000003"/>
    <n v="2331.1860000000001"/>
    <n v="2496.444"/>
    <n v="5654.78"/>
    <n v="7277.4620000000004"/>
    <n v="7526.4610000000002"/>
    <n v="9266.6550000000007"/>
    <n v="9672.8250000000007"/>
    <n v="5712.3890000000001"/>
    <n v="4147.9579999999996"/>
    <n v="2512.6419999999998"/>
    <n v="1162.289"/>
    <n v="1002.712"/>
    <n v="9966.2270000000008"/>
  </r>
  <r>
    <x v="5"/>
    <s v="PEST CONTROL"/>
    <s v="SC JOHNSON"/>
    <x v="3"/>
    <x v="0"/>
    <x v="3"/>
    <x v="8"/>
    <x v="1"/>
    <n v="103745.50599999999"/>
    <n v="225140.75"/>
    <n v="266910.609"/>
    <n v="520776.36099999998"/>
    <n v="856077.73100000003"/>
    <n v="793669.67500000005"/>
    <n v="538686.25399999996"/>
    <n v="369728.28600000002"/>
    <n v="242518.511"/>
    <n v="160632.29800000001"/>
    <n v="126555.92200000001"/>
    <n v="94943.755999999994"/>
    <n v="110150.564"/>
    <n v="143179.435"/>
    <n v="326266.391"/>
    <n v="587128.04200000002"/>
    <n v="731344.34299999999"/>
    <n v="761212.38800000004"/>
    <n v="655334.19200000004"/>
    <n v="606973.91599999997"/>
    <n v="521583.70899999997"/>
    <n v="296054.62900000002"/>
    <n v="212024.33499999999"/>
    <n v="51099.688999999998"/>
    <n v="71596.145999999993"/>
    <n v="326822.71500000003"/>
    <n v="327146.87"/>
    <n v="757686.13800000004"/>
    <n v="996940.73"/>
    <n v="1027062.438"/>
    <n v="1300503.5689999999"/>
    <n v="1323138.7120000001"/>
    <n v="746473.22900000005"/>
    <n v="494448.01699999999"/>
    <n v="330559.28499999997"/>
    <n v="153403.36499999999"/>
    <n v="121507.00199999999"/>
    <n v="121507.00199999999"/>
  </r>
  <r>
    <x v="5"/>
    <s v="PEST CONTROL"/>
    <s v="SC JOHNSON"/>
    <x v="3"/>
    <x v="0"/>
    <x v="3"/>
    <x v="8"/>
    <x v="2"/>
    <n v="0.06"/>
    <n v="9.6000000000000002E-2"/>
    <n v="9.7000000000000003E-2"/>
    <n v="0.14099999999999999"/>
    <n v="0.185"/>
    <n v="0.154"/>
    <n v="0.112"/>
    <n v="9.7000000000000003E-2"/>
    <n v="8.4000000000000005E-2"/>
    <n v="7.5999999999999998E-2"/>
    <n v="7.0999999999999994E-2"/>
    <n v="5.5E-2"/>
    <n v="6.0999999999999999E-2"/>
    <n v="6.3E-2"/>
    <n v="0.10100000000000001"/>
    <n v="0.14000000000000001"/>
    <n v="0.14399999999999999"/>
    <n v="0.16200000000000001"/>
    <n v="0.128"/>
    <n v="0.13600000000000001"/>
    <n v="0.13700000000000001"/>
    <n v="9.0999999999999998E-2"/>
    <n v="8.1000000000000003E-2"/>
    <n v="2.9000000000000001E-2"/>
    <n v="3.3000000000000002E-2"/>
    <n v="0.12"/>
    <n v="0.1"/>
    <n v="0.154"/>
    <n v="0.17100000000000001"/>
    <n v="0.14799999999999999"/>
    <n v="0.16600000000000001"/>
    <n v="0.16900000000000001"/>
    <n v="0.13"/>
    <n v="0.109"/>
    <n v="9.9000000000000005E-2"/>
    <n v="7.0999999999999994E-2"/>
    <n v="6.8000000000000005E-2"/>
    <n v="4.1580000000000004"/>
  </r>
  <r>
    <x v="5"/>
    <s v="PEST CONTROL"/>
    <s v="SC JOHNSON"/>
    <x v="3"/>
    <x v="0"/>
    <x v="3"/>
    <x v="8"/>
    <x v="3"/>
    <n v="48.084000000000003"/>
    <n v="49.201999999999998"/>
    <n v="49.947000000000003"/>
    <n v="61.351999999999997"/>
    <n v="64.334999999999994"/>
    <n v="57.404000000000003"/>
    <n v="53.777000000000001"/>
    <n v="50.951999999999998"/>
    <n v="44.875999999999998"/>
    <n v="39.249000000000002"/>
    <n v="43.351999999999997"/>
    <n v="41.823999999999998"/>
    <n v="42.406999999999996"/>
    <n v="39.456000000000003"/>
    <n v="44.308"/>
    <n v="47.631"/>
    <n v="54.290999999999997"/>
    <n v="60.457000000000001"/>
    <n v="57.411000000000001"/>
    <n v="50.008000000000003"/>
    <n v="53.604999999999997"/>
    <n v="46.866"/>
    <n v="44.094000000000001"/>
    <n v="39.485999999999997"/>
    <n v="37.698"/>
    <n v="42.101999999999997"/>
    <n v="49.238999999999997"/>
    <n v="59.195"/>
    <n v="65.088999999999999"/>
    <n v="54.582000000000001"/>
    <n v="55.093000000000004"/>
    <n v="54.493000000000002"/>
    <n v="50.792000000000002"/>
    <n v="41.575000000000003"/>
    <n v="36.365000000000002"/>
    <n v="36.914000000000001"/>
    <n v="40.048000000000002"/>
    <n v="52650.688999999998"/>
  </r>
  <r>
    <x v="5"/>
    <s v="PEST CONTROL"/>
    <s v="SC JOHNSON"/>
    <x v="3"/>
    <x v="0"/>
    <x v="3"/>
    <x v="8"/>
    <x v="4"/>
    <n v="29.9063987"/>
    <n v="31.0109432"/>
    <n v="31.696059300000002"/>
    <n v="34.553454600000002"/>
    <n v="36.410006299999999"/>
    <n v="30.5986783"/>
    <n v="28.624519100000001"/>
    <n v="30.575703900000001"/>
    <n v="29.205247"/>
    <n v="26.8482789"/>
    <n v="27.237945700000001"/>
    <n v="25.337215"/>
    <n v="25.914035500000001"/>
    <n v="25.6245826"/>
    <n v="28.414622399999999"/>
    <n v="29.611290799999999"/>
    <n v="30.353373099999999"/>
    <n v="34.764647799999999"/>
    <n v="34.473482500000003"/>
    <n v="32.408360700000003"/>
    <n v="30.929759700000002"/>
    <n v="28.561544600000001"/>
    <n v="26.168400500000001"/>
    <n v="22.261248500000001"/>
    <n v="21.544301900000001"/>
    <n v="23.507626999999999"/>
    <n v="28.472008500000001"/>
    <n v="32.359532999999999"/>
    <n v="36.0146382"/>
    <n v="33.949078999999998"/>
    <n v="33.756710699999999"/>
    <n v="32.9512675"/>
    <n v="30.9543781"/>
    <n v="27.103708699999999"/>
    <n v="26.142634399999999"/>
    <n v="23.634748699999999"/>
    <n v="25.5064116"/>
    <n v="40.048000000000002"/>
  </r>
  <r>
    <x v="5"/>
    <s v="PEST CONTROL"/>
    <s v="SC JOHNSON"/>
    <x v="3"/>
    <x v="0"/>
    <x v="3"/>
    <x v="8"/>
    <x v="5"/>
    <n v="3.28"/>
    <n v="2.4980000000000002"/>
    <n v="2.1720000000000002"/>
    <n v="3.4510000000000001"/>
    <n v="2.4649999999999999"/>
    <n v="1.647"/>
    <n v="1.3620000000000001"/>
    <n v="2.6789999999999998"/>
    <n v="2.3039999999999998"/>
    <n v="2.3450000000000002"/>
    <n v="2.2210000000000001"/>
    <n v="2.0169999999999999"/>
    <n v="2.169"/>
    <n v="1.661"/>
    <n v="2.117"/>
    <n v="2.2490000000000001"/>
    <n v="2.6909999999999998"/>
    <n v="2.4689999999999999"/>
    <n v="2.851"/>
    <n v="2.7320000000000002"/>
    <n v="2.7469999999999999"/>
    <n v="2.8050000000000002"/>
    <n v="2.2850000000000001"/>
    <n v="2.4249999999999998"/>
    <n v="2.1259999999999999"/>
    <n v="3.399"/>
    <n v="3.3439999999999999"/>
    <n v="2.8290000000000002"/>
    <n v="2.5219999999999998"/>
    <n v="3.1779999999999999"/>
    <n v="2.722"/>
    <n v="2.2949999999999999"/>
    <n v="2.258"/>
    <n v="2.2189999999999999"/>
    <n v="1.998"/>
    <n v="1.9650000000000001"/>
    <n v="2.2610000000000001"/>
    <n v="25.5064116"/>
  </r>
  <r>
    <x v="5"/>
    <s v="PEST CONTROL"/>
    <s v="SC JOHNSON"/>
    <x v="3"/>
    <x v="0"/>
    <x v="3"/>
    <x v="9"/>
    <x v="0"/>
    <n v="503.69799999999998"/>
    <n v="1096.828"/>
    <n v="1000.8390000000001"/>
    <n v="1462.0139999999999"/>
    <n v="1770.68"/>
    <n v="1549.9259999999999"/>
    <n v="867.56299999999999"/>
    <n v="781.42200000000003"/>
    <n v="463.233"/>
    <n v="192.94300000000001"/>
    <n v="221.768"/>
    <n v="266.91800000000001"/>
    <n v="583.40499999999997"/>
    <n v="1075.4770000000001"/>
    <n v="1370.1959999999999"/>
    <n v="2110.2159999999999"/>
    <n v="2657.2739999999999"/>
    <n v="1809.586"/>
    <n v="1585.9159999999999"/>
    <n v="1270.711"/>
    <n v="948.00099999999998"/>
    <n v="629.18899999999996"/>
    <n v="336.37599999999998"/>
    <n v="266.32400000000001"/>
    <n v="453.11799999999999"/>
    <n v="727.77599999999995"/>
    <n v="1292.6590000000001"/>
    <n v="2687.5839999999998"/>
    <n v="3512.8049999999998"/>
    <n v="2960.44"/>
    <n v="2674.3879999999999"/>
    <n v="2417.6109999999999"/>
    <n v="1979.8589999999999"/>
    <n v="1360.931"/>
    <n v="847.25699999999995"/>
    <n v="768.048"/>
    <n v="879.59500000000003"/>
    <n v="879.59500000000003"/>
  </r>
  <r>
    <x v="5"/>
    <s v="PEST CONTROL"/>
    <s v="SC JOHNSON"/>
    <x v="3"/>
    <x v="0"/>
    <x v="3"/>
    <x v="9"/>
    <x v="1"/>
    <n v="137125.875"/>
    <n v="306601.18300000002"/>
    <n v="294113.326"/>
    <n v="415877.054"/>
    <n v="474440.71500000003"/>
    <n v="405299.674"/>
    <n v="250031.53400000001"/>
    <n v="205455.63"/>
    <n v="125771.792"/>
    <n v="52640.983"/>
    <n v="69415.618000000002"/>
    <n v="78941.25"/>
    <n v="154912.033"/>
    <n v="299028.65600000002"/>
    <n v="381111.12400000001"/>
    <n v="589543.52899999998"/>
    <n v="790448.62600000005"/>
    <n v="534237.76"/>
    <n v="480515.00400000002"/>
    <n v="376766.837"/>
    <n v="285732.19900000002"/>
    <n v="186604.71799999999"/>
    <n v="97420.149000000005"/>
    <n v="79604.990000000005"/>
    <n v="126657.497"/>
    <n v="218010.68799999999"/>
    <n v="399974.10200000001"/>
    <n v="828222.92200000002"/>
    <n v="1101519.912"/>
    <n v="926406.05"/>
    <n v="854016.50399999996"/>
    <n v="789249.86899999995"/>
    <n v="626147.53899999999"/>
    <n v="425436.42800000001"/>
    <n v="254994.52600000001"/>
    <n v="235281.671"/>
    <n v="279599.712"/>
    <n v="279599.712"/>
  </r>
  <r>
    <x v="5"/>
    <s v="PEST CONTROL"/>
    <s v="SC JOHNSON"/>
    <x v="3"/>
    <x v="0"/>
    <x v="3"/>
    <x v="9"/>
    <x v="2"/>
    <n v="0.121"/>
    <n v="0.193"/>
    <n v="0.14199999999999999"/>
    <n v="0.161"/>
    <n v="0.16200000000000001"/>
    <n v="0.13100000000000001"/>
    <n v="0.08"/>
    <n v="9.1999999999999998E-2"/>
    <n v="7.5999999999999998E-2"/>
    <n v="4.2999999999999997E-2"/>
    <n v="5.7000000000000002E-2"/>
    <n v="7.0999999999999994E-2"/>
    <n v="0.14499999999999999"/>
    <n v="0.21199999999999999"/>
    <n v="0.19400000000000001"/>
    <n v="0.24199999999999999"/>
    <n v="0.255"/>
    <n v="0.19"/>
    <n v="0.154"/>
    <n v="0.155"/>
    <n v="0.13700000000000001"/>
    <n v="0.108"/>
    <n v="7.0999999999999994E-2"/>
    <n v="7.0000000000000007E-2"/>
    <n v="0.111"/>
    <n v="0.14599999999999999"/>
    <n v="0.20300000000000001"/>
    <n v="0.28899999999999998"/>
    <n v="0.32800000000000001"/>
    <n v="0.24099999999999999"/>
    <n v="0.193"/>
    <n v="0.17799999999999999"/>
    <n v="0.19500000000000001"/>
    <n v="0.17"/>
    <n v="0.14399999999999999"/>
    <n v="0.19400000000000001"/>
    <n v="0.27100000000000002"/>
    <n v="0.36699999999999999"/>
  </r>
  <r>
    <x v="5"/>
    <s v="PEST CONTROL"/>
    <s v="SC JOHNSON"/>
    <x v="3"/>
    <x v="0"/>
    <x v="3"/>
    <x v="9"/>
    <x v="3"/>
    <n v="24.9"/>
    <n v="26.323"/>
    <n v="30.093"/>
    <n v="34.557000000000002"/>
    <n v="35.271999999999998"/>
    <n v="32.442999999999998"/>
    <n v="33.643000000000001"/>
    <n v="33.826000000000001"/>
    <n v="34.32"/>
    <n v="28.895"/>
    <n v="32.244999999999997"/>
    <n v="36.402000000000001"/>
    <n v="44.112000000000002"/>
    <n v="46.945"/>
    <n v="46.936999999999998"/>
    <n v="48.063000000000002"/>
    <n v="49.789000000000001"/>
    <n v="49.470999999999997"/>
    <n v="46.335999999999999"/>
    <n v="47.469000000000001"/>
    <n v="44.463999999999999"/>
    <n v="39.716000000000001"/>
    <n v="37.548999999999999"/>
    <n v="34.966999999999999"/>
    <n v="33.137999999999998"/>
    <n v="52.722999999999999"/>
    <n v="54.814999999999998"/>
    <n v="65.378"/>
    <n v="68.355000000000004"/>
    <n v="66.626000000000005"/>
    <n v="65.537999999999997"/>
    <n v="61.072000000000003"/>
    <n v="56.106999999999999"/>
    <n v="50.360999999999997"/>
    <n v="46.941000000000003"/>
    <n v="49.472000000000001"/>
    <n v="51.759"/>
    <n v="2517.6529999999998"/>
  </r>
  <r>
    <x v="5"/>
    <s v="PEST CONTROL"/>
    <s v="SC JOHNSON"/>
    <x v="3"/>
    <x v="0"/>
    <x v="3"/>
    <x v="9"/>
    <x v="4"/>
    <n v="10.1049834"/>
    <n v="10.8093901"/>
    <n v="13.2805576"/>
    <n v="13.323960700000001"/>
    <n v="14.753014"/>
    <n v="15.5851924"/>
    <n v="15.570793200000001"/>
    <n v="16.018785300000001"/>
    <n v="15.1226556"/>
    <n v="14.220875400000001"/>
    <n v="13.796175699999999"/>
    <n v="14.8575815"/>
    <n v="17.298188100000001"/>
    <n v="18.854237000000001"/>
    <n v="20.2259654"/>
    <n v="21.201697100000001"/>
    <n v="22.051445300000001"/>
    <n v="24.635883799999998"/>
    <n v="23.581668799999999"/>
    <n v="25.1239566"/>
    <n v="23.8970688"/>
    <n v="21.580638199999999"/>
    <n v="18.935216700000002"/>
    <n v="18.336971500000001"/>
    <n v="20.060116099999998"/>
    <n v="26.2532584"/>
    <n v="28.673826300000002"/>
    <n v="34.083770899999998"/>
    <n v="35.714925399999998"/>
    <n v="35.462059500000002"/>
    <n v="34.497095600000002"/>
    <n v="33.213045800000003"/>
    <n v="33.380064500000003"/>
    <n v="32.065985699999999"/>
    <n v="28.573782699999999"/>
    <n v="27.310528900000001"/>
    <n v="27.546560100000001"/>
    <n v="51.759"/>
  </r>
  <r>
    <x v="5"/>
    <s v="PEST CONTROL"/>
    <s v="SC JOHNSON"/>
    <x v="3"/>
    <x v="0"/>
    <x v="3"/>
    <x v="9"/>
    <x v="5"/>
    <n v="1.0880000000000001"/>
    <n v="0.63100000000000001"/>
    <n v="0.45100000000000001"/>
    <n v="0.48699999999999999"/>
    <n v="0.58399999999999996"/>
    <n v="0.69799999999999995"/>
    <n v="0.749"/>
    <n v="0.72499999999999998"/>
    <n v="0.70499999999999996"/>
    <n v="0.79500000000000004"/>
    <n v="0.77500000000000002"/>
    <n v="0.73699999999999999"/>
    <n v="1.0469999999999999"/>
    <n v="1.1379999999999999"/>
    <n v="1.1040000000000001"/>
    <n v="1.1020000000000001"/>
    <n v="1.248"/>
    <n v="1.232"/>
    <n v="1.0389999999999999"/>
    <n v="1"/>
    <n v="0.98099999999999998"/>
    <n v="0.97199999999999998"/>
    <n v="0.95899999999999996"/>
    <n v="1.052"/>
    <n v="1.0589999999999999"/>
    <n v="1.095"/>
    <n v="0.97499999999999998"/>
    <n v="0.996"/>
    <n v="1.2669999999999999"/>
    <n v="1.0980000000000001"/>
    <n v="1.1779999999999999"/>
    <n v="1.478"/>
    <n v="1.3959999999999999"/>
    <n v="1.3029999999999999"/>
    <n v="1.3260000000000001"/>
    <n v="1.282"/>
    <n v="1.224"/>
    <n v="27.546560100000001"/>
  </r>
  <r>
    <x v="5"/>
    <s v="PEST CONTROL"/>
    <s v="SC JOHNSON"/>
    <x v="3"/>
    <x v="0"/>
    <x v="3"/>
    <x v="10"/>
    <x v="0"/>
    <n v="2385.6"/>
    <n v="4117.75"/>
    <n v="7025.5929999999998"/>
    <n v="8197.1489999999994"/>
    <n v="12295.029"/>
    <n v="13682.653"/>
    <n v="10154.311"/>
    <n v="8616.3979999999992"/>
    <n v="4913.79"/>
    <n v="3424.076"/>
    <n v="2819.0169999999998"/>
    <n v="2084.8850000000002"/>
    <n v="2546.433"/>
    <n v="3072.9659999999999"/>
    <n v="6346.7640000000001"/>
    <n v="9710.1239999999998"/>
    <n v="10127.194"/>
    <n v="8976.44"/>
    <n v="7904.4830000000002"/>
    <n v="6414.24"/>
    <n v="6137.0990000000002"/>
    <n v="4632.25"/>
    <n v="3516.663"/>
    <n v="2446.009"/>
    <n v="2590.8290000000002"/>
    <n v="3203.1419999999998"/>
    <n v="5399.0119999999997"/>
    <n v="8236.7880000000005"/>
    <n v="13292.751"/>
    <n v="14596.2"/>
    <n v="18059.304"/>
    <n v="17840.948"/>
    <n v="12994.325999999999"/>
    <n v="9385.3870000000006"/>
    <n v="5349.8940000000002"/>
    <n v="3863.2910000000002"/>
    <n v="3258.3009999999999"/>
    <n v="57678.951999999997"/>
  </r>
  <r>
    <x v="5"/>
    <s v="PEST CONTROL"/>
    <s v="SC JOHNSON"/>
    <x v="3"/>
    <x v="0"/>
    <x v="3"/>
    <x v="10"/>
    <x v="1"/>
    <n v="459094.01400000002"/>
    <n v="767435.63600000006"/>
    <n v="1291149.639"/>
    <n v="1560426.7819999999"/>
    <n v="2241772.9219999998"/>
    <n v="2410973.0260000001"/>
    <n v="1876406.8929999999"/>
    <n v="1606797.3189999999"/>
    <n v="891084.18200000003"/>
    <n v="647088.00199999998"/>
    <n v="545906.56299999997"/>
    <n v="423472.24900000001"/>
    <n v="515109.647"/>
    <n v="647118.03599999996"/>
    <n v="1310548.348"/>
    <n v="1991663.2779999999"/>
    <n v="2029028.0390000001"/>
    <n v="1862353.24"/>
    <n v="1711065.2220000001"/>
    <n v="1415551.274"/>
    <n v="1325559.7490000001"/>
    <n v="965466.18299999996"/>
    <n v="687713.60199999996"/>
    <n v="495747.25699999998"/>
    <n v="522085.995"/>
    <n v="654794.09900000005"/>
    <n v="1142526.1980000001"/>
    <n v="1775360.06"/>
    <n v="2743769.9040000001"/>
    <n v="2899681.5109999999"/>
    <n v="3607085.3730000001"/>
    <n v="3769992.7650000001"/>
    <n v="2807453.7370000002"/>
    <n v="2058967.64"/>
    <n v="1178900.821"/>
    <n v="796552.46"/>
    <n v="627305.07200000004"/>
    <n v="627305.07200000004"/>
  </r>
  <r>
    <x v="5"/>
    <s v="PEST CONTROL"/>
    <s v="SC JOHNSON"/>
    <x v="3"/>
    <x v="0"/>
    <x v="3"/>
    <x v="10"/>
    <x v="2"/>
    <n v="0.28199999999999997"/>
    <n v="0.309"/>
    <n v="0.43"/>
    <n v="0.4"/>
    <n v="0.47699999999999998"/>
    <n v="0.49199999999999999"/>
    <n v="0.44600000000000001"/>
    <n v="0.49299999999999999"/>
    <n v="0.39"/>
    <n v="0.35099999999999998"/>
    <n v="0.34499999999999997"/>
    <n v="0.3"/>
    <n v="0.316"/>
    <n v="0.27400000000000002"/>
    <n v="0.38800000000000001"/>
    <n v="0.45700000000000002"/>
    <n v="0.36199999999999999"/>
    <n v="0.36399999999999999"/>
    <n v="0.30399999999999999"/>
    <n v="0.33100000000000002"/>
    <n v="0.372"/>
    <n v="0.35199999999999998"/>
    <n v="0.32800000000000001"/>
    <n v="0.29099999999999998"/>
    <n v="0.253"/>
    <n v="0.24399999999999999"/>
    <n v="0.33100000000000002"/>
    <n v="0.34200000000000003"/>
    <n v="0.46100000000000002"/>
    <n v="0.44800000000000001"/>
    <n v="0.499"/>
    <n v="0.53700000000000003"/>
    <n v="0.55500000000000005"/>
    <n v="0.53100000000000003"/>
    <n v="0.44500000000000001"/>
    <n v="0.41599999999999998"/>
    <n v="0.4"/>
    <n v="24.062999999999999"/>
  </r>
  <r>
    <x v="5"/>
    <s v="PEST CONTROL"/>
    <s v="SC JOHNSON"/>
    <x v="3"/>
    <x v="0"/>
    <x v="3"/>
    <x v="10"/>
    <x v="3"/>
    <n v="80.792000000000002"/>
    <n v="78.018000000000001"/>
    <n v="78.944999999999993"/>
    <n v="80.287999999999997"/>
    <n v="84.956000000000003"/>
    <n v="81.587999999999994"/>
    <n v="82.222999999999999"/>
    <n v="79.444000000000003"/>
    <n v="72.56"/>
    <n v="67.97"/>
    <n v="69.325000000000003"/>
    <n v="66.94"/>
    <n v="67.430999999999997"/>
    <n v="68.680999999999997"/>
    <n v="79.388000000000005"/>
    <n v="79.566999999999993"/>
    <n v="81.277000000000001"/>
    <n v="77.89"/>
    <n v="75.991"/>
    <n v="71.153000000000006"/>
    <n v="70.100999999999999"/>
    <n v="60.933999999999997"/>
    <n v="59.738999999999997"/>
    <n v="55.326000000000001"/>
    <n v="57.05"/>
    <n v="65.010999999999996"/>
    <n v="76.33"/>
    <n v="80.013000000000005"/>
    <n v="84.995999999999995"/>
    <n v="87.409000000000006"/>
    <n v="88.319000000000003"/>
    <n v="88.855000000000004"/>
    <n v="83.054000000000002"/>
    <n v="80.459000000000003"/>
    <n v="77.888000000000005"/>
    <n v="75.247"/>
    <n v="70.777000000000001"/>
    <n v="217173.057"/>
  </r>
  <r>
    <x v="5"/>
    <s v="PEST CONTROL"/>
    <s v="SC JOHNSON"/>
    <x v="3"/>
    <x v="0"/>
    <x v="3"/>
    <x v="10"/>
    <x v="4"/>
    <n v="56.975498100000003"/>
    <n v="58.817749800000001"/>
    <n v="56.7072827"/>
    <n v="59.078509400000002"/>
    <n v="59.884621500000002"/>
    <n v="59.021937700000002"/>
    <n v="57.339038100000003"/>
    <n v="56.171023099999999"/>
    <n v="49.818483499999999"/>
    <n v="47.692521599999999"/>
    <n v="45.7420027"/>
    <n v="46.528340900000003"/>
    <n v="44.163243999999999"/>
    <n v="45.721821400000003"/>
    <n v="51.755088600000001"/>
    <n v="52.455340700000001"/>
    <n v="53.411862399999997"/>
    <n v="53.881914100000003"/>
    <n v="50.993486099999998"/>
    <n v="50.406726200000001"/>
    <n v="48.315320300000003"/>
    <n v="42.531164099999998"/>
    <n v="41.678529300000001"/>
    <n v="39.139522200000002"/>
    <n v="42.851093800000001"/>
    <n v="48.225501999999999"/>
    <n v="54.643472000000003"/>
    <n v="56.7734521"/>
    <n v="59.494649600000002"/>
    <n v="60.161312799999997"/>
    <n v="60.517508800000002"/>
    <n v="60.216081799999998"/>
    <n v="57.314219799999996"/>
    <n v="51.955438399999998"/>
    <n v="50.476025200000002"/>
    <n v="49.895503099999999"/>
    <n v="48.712843300000003"/>
    <n v="70.777000000000001"/>
  </r>
  <r>
    <x v="5"/>
    <s v="PEST CONTROL"/>
    <s v="SC JOHNSON"/>
    <x v="3"/>
    <x v="0"/>
    <x v="3"/>
    <x v="10"/>
    <x v="5"/>
    <n v="5.7480000000000002"/>
    <n v="4.8040000000000003"/>
    <n v="4.5330000000000004"/>
    <n v="4.4610000000000003"/>
    <n v="6.6749999999999998"/>
    <n v="5.5229999999999997"/>
    <n v="7.1719999999999997"/>
    <n v="6.6260000000000003"/>
    <n v="5.8979999999999997"/>
    <n v="6.5979999999999999"/>
    <n v="6.2569999999999997"/>
    <n v="6.0970000000000004"/>
    <n v="5.73"/>
    <n v="6.0960000000000001"/>
    <n v="5.2510000000000003"/>
    <n v="5.9829999999999997"/>
    <n v="5.5679999999999996"/>
    <n v="5.2240000000000002"/>
    <n v="5.3"/>
    <n v="6.2750000000000004"/>
    <n v="6.1760000000000002"/>
    <n v="4.8440000000000003"/>
    <n v="5.44"/>
    <n v="5.093"/>
    <n v="5.8049999999999997"/>
    <n v="4.8499999999999996"/>
    <n v="5.3369999999999997"/>
    <n v="5.9109999999999996"/>
    <n v="6.4859999999999998"/>
    <n v="5.8310000000000004"/>
    <n v="6.4989999999999997"/>
    <n v="6.04"/>
    <n v="5.7480000000000002"/>
    <n v="5.1639999999999997"/>
    <n v="5.4409999999999998"/>
    <n v="5.5270000000000001"/>
    <n v="5.7149999999999999"/>
    <n v="48.712843300000003"/>
  </r>
  <r>
    <x v="5"/>
    <s v="PEST CONTROL"/>
    <s v="SC JOHNSON"/>
    <x v="4"/>
    <x v="6"/>
    <x v="3"/>
    <x v="0"/>
    <x v="0"/>
    <n v="1372.694"/>
    <n v="2205.848"/>
    <n v="2254.8009999999999"/>
    <n v="3632.8009999999999"/>
    <n v="3783.337"/>
    <n v="3418.788"/>
    <n v="2976.3760000000002"/>
    <n v="2393.6109999999999"/>
    <n v="1715.0170000000001"/>
    <n v="848.21"/>
    <n v="683.69399999999996"/>
    <n v="1097.17"/>
    <n v="921.37699999999995"/>
    <n v="1272.0709999999999"/>
    <n v="2120.087"/>
    <n v="1678.1469999999999"/>
    <n v="2426.0030000000002"/>
    <n v="2300.8130000000001"/>
    <n v="1848.0239999999999"/>
    <n v="1669.671"/>
    <n v="1218.319"/>
    <n v="930.43399999999997"/>
    <n v="711.29499999999996"/>
    <n v="233.01599999999999"/>
    <n v="303.83699999999999"/>
    <n v="1118.194"/>
    <n v="1535.732"/>
    <n v="2441.288"/>
    <n v="2667.1570000000002"/>
    <n v="2751.0549999999998"/>
    <n v="3901.6750000000002"/>
    <n v="2989.2869999999998"/>
    <n v="1799.3710000000001"/>
    <n v="1031.4549999999999"/>
    <n v="648.85"/>
    <n v="718.10900000000004"/>
    <n v="269.87"/>
    <n v="269.87"/>
  </r>
  <r>
    <x v="5"/>
    <s v="PEST CONTROL"/>
    <s v="SC JOHNSON"/>
    <x v="4"/>
    <x v="6"/>
    <x v="3"/>
    <x v="0"/>
    <x v="1"/>
    <n v="283623.70699999999"/>
    <n v="460113.56"/>
    <n v="493762.08399999997"/>
    <n v="816867.58900000004"/>
    <n v="821493.72900000005"/>
    <n v="749303.06900000002"/>
    <n v="666537.48600000003"/>
    <n v="534583.44999999995"/>
    <n v="356144.20199999999"/>
    <n v="175859.20199999999"/>
    <n v="131744.29399999999"/>
    <n v="230235.40100000001"/>
    <n v="191205.93599999999"/>
    <n v="252372.28599999999"/>
    <n v="438753.93599999999"/>
    <n v="348898.05200000003"/>
    <n v="486075.56099999999"/>
    <n v="482565.97899999999"/>
    <n v="392946.05900000001"/>
    <n v="352755.81099999999"/>
    <n v="253741.755"/>
    <n v="190843.96"/>
    <n v="148244.10999999999"/>
    <n v="49540.036"/>
    <n v="61934.553999999996"/>
    <n v="229414.72200000001"/>
    <n v="327658.84600000002"/>
    <n v="508099.63400000002"/>
    <n v="615004.44400000002"/>
    <n v="620690.47199999995"/>
    <n v="858121.32"/>
    <n v="662806.42299999995"/>
    <n v="425189.65299999999"/>
    <n v="231940.38200000001"/>
    <n v="137282.353"/>
    <n v="148484.17000000001"/>
    <n v="65030.764999999999"/>
    <n v="65030.764999999999"/>
  </r>
  <r>
    <x v="5"/>
    <s v="PEST CONTROL"/>
    <s v="SC JOHNSON"/>
    <x v="4"/>
    <x v="6"/>
    <x v="3"/>
    <x v="0"/>
    <x v="2"/>
    <n v="2.915"/>
    <n v="3.347"/>
    <n v="2.7639999999999998"/>
    <n v="3.516"/>
    <n v="3.01"/>
    <n v="2.5139999999999998"/>
    <n v="2.3940000000000001"/>
    <n v="2.4809999999999999"/>
    <n v="2.34"/>
    <n v="1.597"/>
    <n v="1.4350000000000001"/>
    <n v="2.4609999999999999"/>
    <n v="1.857"/>
    <n v="2.077"/>
    <n v="2.4809999999999999"/>
    <n v="1.5840000000000001"/>
    <n v="1.8939999999999999"/>
    <n v="1.996"/>
    <n v="1.49"/>
    <n v="1.69"/>
    <n v="1.4470000000000001"/>
    <n v="1.3120000000000001"/>
    <n v="1.228"/>
    <n v="0.5"/>
    <n v="0.60499999999999998"/>
    <n v="1.8360000000000001"/>
    <n v="1.9750000000000001"/>
    <n v="2.14"/>
    <n v="2.0880000000000001"/>
    <n v="1.871"/>
    <n v="2.36"/>
    <n v="1.8220000000000001"/>
    <n v="1.4850000000000001"/>
    <n v="1.0449999999999999"/>
    <n v="0.89200000000000002"/>
    <n v="1.474"/>
    <n v="0.68799999999999994"/>
    <n v="0.113"/>
  </r>
  <r>
    <x v="5"/>
    <s v="PEST CONTROL"/>
    <s v="SC JOHNSON"/>
    <x v="4"/>
    <x v="6"/>
    <x v="3"/>
    <x v="0"/>
    <x v="3"/>
    <n v="47.774000000000001"/>
    <n v="46.848999999999997"/>
    <n v="45.978999999999999"/>
    <n v="48.926000000000002"/>
    <n v="49.7"/>
    <n v="41.058999999999997"/>
    <n v="41.384"/>
    <n v="41.481999999999999"/>
    <n v="42.357999999999997"/>
    <n v="38.402000000000001"/>
    <n v="37.622999999999998"/>
    <n v="44.884999999999998"/>
    <n v="47.832000000000001"/>
    <n v="46.963000000000001"/>
    <n v="52.854999999999997"/>
    <n v="49.235999999999997"/>
    <n v="56.829000000000001"/>
    <n v="54.725000000000001"/>
    <n v="51.28"/>
    <n v="49.356000000000002"/>
    <n v="48.118000000000002"/>
    <n v="38.179000000000002"/>
    <n v="35.682000000000002"/>
    <n v="29.556999999999999"/>
    <n v="28.015000000000001"/>
    <n v="40.563000000000002"/>
    <n v="45.01"/>
    <n v="50.418999999999997"/>
    <n v="52.396999999999998"/>
    <n v="44.323999999999998"/>
    <n v="45.868000000000002"/>
    <n v="43.619"/>
    <n v="32.094000000000001"/>
    <n v="35.444000000000003"/>
    <n v="37.247"/>
    <n v="40.335999999999999"/>
    <n v="45.082999999999998"/>
    <n v="2357.1179999999999"/>
  </r>
  <r>
    <x v="5"/>
    <s v="PEST CONTROL"/>
    <s v="SC JOHNSON"/>
    <x v="4"/>
    <x v="6"/>
    <x v="3"/>
    <x v="0"/>
    <x v="4"/>
    <n v="28.405095800000002"/>
    <n v="27.529619799999999"/>
    <n v="29.676523700000001"/>
    <n v="28.7053251"/>
    <n v="28.846507599999999"/>
    <n v="26.214557299999999"/>
    <n v="27.724896300000001"/>
    <n v="27.669838200000001"/>
    <n v="27.3227014"/>
    <n v="26.785719"/>
    <n v="24.143734899999998"/>
    <n v="25.540675400000001"/>
    <n v="25.762869599999998"/>
    <n v="27.441315500000002"/>
    <n v="29.2657168"/>
    <n v="26.374911000000001"/>
    <n v="26.745303"/>
    <n v="27.2957663"/>
    <n v="26.788893699999999"/>
    <n v="27.790942999999999"/>
    <n v="25.5819592"/>
    <n v="21.542447200000002"/>
    <n v="18.913689900000001"/>
    <n v="14.3481548"/>
    <n v="16.364558800000001"/>
    <n v="21.459637099999998"/>
    <n v="23.833602200000001"/>
    <n v="26.4624007"/>
    <n v="26.799126000000001"/>
    <n v="22.930651300000001"/>
    <n v="23.087004700000001"/>
    <n v="23.298689499999998"/>
    <n v="21.779145100000001"/>
    <n v="19.8668905"/>
    <n v="20.5785634"/>
    <n v="23.453385600000001"/>
    <n v="23.836719899999999"/>
    <n v="45.082999999999998"/>
  </r>
  <r>
    <x v="5"/>
    <s v="PEST CONTROL"/>
    <s v="SC JOHNSON"/>
    <x v="4"/>
    <x v="6"/>
    <x v="3"/>
    <x v="0"/>
    <x v="5"/>
    <n v="1.3220000000000001"/>
    <n v="1.19"/>
    <n v="1.478"/>
    <n v="1.2669999999999999"/>
    <n v="1.43"/>
    <n v="1.3440000000000001"/>
    <n v="1.3089999999999999"/>
    <n v="1.1890000000000001"/>
    <n v="1.1459999999999999"/>
    <n v="1.0629999999999999"/>
    <n v="1.099"/>
    <n v="0.91600000000000004"/>
    <n v="1.0189999999999999"/>
    <n v="1.163"/>
    <n v="0.96799999999999997"/>
    <n v="0.83699999999999997"/>
    <n v="0.86399999999999999"/>
    <n v="0.69299999999999995"/>
    <n v="0.68700000000000006"/>
    <n v="0.61299999999999999"/>
    <n v="0.61599999999999999"/>
    <n v="0.57999999999999996"/>
    <n v="0.52800000000000002"/>
    <n v="0.56499999999999995"/>
    <n v="0.51800000000000002"/>
    <n v="0.70399999999999996"/>
    <n v="0.57699999999999996"/>
    <n v="0.52500000000000002"/>
    <n v="0.63300000000000001"/>
    <n v="0.58799999999999997"/>
    <n v="0.73799999999999999"/>
    <n v="0.57299999999999995"/>
    <n v="0.85899999999999999"/>
    <n v="1.0009999999999999"/>
    <n v="0.91100000000000003"/>
    <n v="1.0449999999999999"/>
    <n v="1.1459999999999999"/>
    <n v="23.836719899999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x v="0"/>
    <s v="PEST CONTROL"/>
    <s v="SC JOHNSON"/>
    <x v="0"/>
    <x v="0"/>
    <x v="0"/>
    <x v="0"/>
    <x v="0"/>
    <n v="573.60199999999998"/>
    <n v="857.904"/>
    <n v="962.351"/>
    <n v="1004.544"/>
    <n v="741.15700000000004"/>
    <n v="734.05100000000004"/>
    <n v="593.04999999999995"/>
    <n v="912.91600000000005"/>
    <n v="577.75300000000004"/>
    <n v="592.20600000000002"/>
    <n v="620.04600000000005"/>
    <n v="609.53300000000002"/>
    <n v="619.36599999999999"/>
    <n v="561.44600000000003"/>
    <n v="672.779"/>
    <n v="568.78800000000001"/>
    <n v="365.411"/>
    <n v="461.47199999999998"/>
    <n v="621.17200000000003"/>
    <n v="722.84799999999996"/>
    <n v="732.13499999999999"/>
    <n v="731.08900000000006"/>
    <n v="707.32799999999997"/>
    <n v="449.75700000000001"/>
    <n v="372.99299999999999"/>
    <n v="436.267"/>
    <n v="518.81100000000004"/>
    <n v="904.92"/>
    <n v="921.17499999999995"/>
    <n v="896.42"/>
    <n v="947.10500000000002"/>
    <n v="1255.278"/>
    <n v="858.303"/>
    <n v="756.19100000000003"/>
    <n v="557.42899999999997"/>
    <n v="630.58399999999995"/>
    <n v="437.786"/>
    <n v="554.75099999999998"/>
  </r>
  <r>
    <x v="0"/>
    <s v="PEST CONTROL"/>
    <s v="SC JOHNSON"/>
    <x v="0"/>
    <x v="0"/>
    <x v="0"/>
    <x v="0"/>
    <x v="1"/>
    <n v="0"/>
    <n v="0.54362690000000002"/>
    <n v="0"/>
    <n v="0.57933319999999999"/>
    <n v="0.53129099999999996"/>
    <n v="1.5870673"/>
    <n v="1.8083864000000001"/>
    <n v="0.64903770000000005"/>
    <n v="1.6622901000000001"/>
    <n v="0.75029829999999997"/>
    <n v="0"/>
    <n v="1.6894286000000001"/>
    <n v="0.1562028"/>
    <n v="0"/>
    <n v="0"/>
    <n v="0.95602929999999997"/>
    <n v="1.5179824"/>
    <n v="1.8702482"/>
    <n v="0"/>
    <n v="1.5951377"/>
    <n v="0.72968270000000002"/>
    <n v="1.0434927000000001"/>
    <n v="0.46517530000000001"/>
    <n v="0.47903499999999999"/>
    <n v="2.5924483999999999"/>
    <n v="0.88960539999999999"/>
    <n v="0.35405189999999997"/>
    <n v="1.1343593000000001"/>
    <n v="0"/>
    <n v="0.86380690000000004"/>
    <n v="0.89426609999999995"/>
    <n v="1.9269578999999999"/>
    <n v="2.8448457999999999"/>
    <n v="4.0402395999999996"/>
    <n v="1.9501714000000001"/>
    <n v="0.65745489999999995"/>
    <n v="0.42019020000000001"/>
    <n v="1.6221827"/>
  </r>
  <r>
    <x v="0"/>
    <s v="PEST CONTROL"/>
    <s v="SC JOHNSON"/>
    <x v="0"/>
    <x v="0"/>
    <x v="0"/>
    <x v="1"/>
    <x v="0"/>
    <m/>
    <m/>
    <m/>
    <n v="17.975000000000001"/>
    <n v="26.962"/>
    <n v="26.962"/>
    <n v="35.950000000000003"/>
    <n v="26.962"/>
    <n v="9.8620000000000001"/>
    <n v="9.8620000000000001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EST CONTROL"/>
    <s v="SC JOHNSON"/>
    <x v="0"/>
    <x v="0"/>
    <x v="0"/>
    <x v="1"/>
    <x v="1"/>
    <n v="0"/>
    <n v="0.54362690000000002"/>
    <n v="0.13816970000000001"/>
    <n v="0"/>
    <n v="0"/>
    <n v="0"/>
    <n v="0.1393411"/>
    <n v="0"/>
    <n v="0.1562028"/>
    <n v="0.15620300000000001"/>
    <n v="0"/>
    <n v="0.1562028"/>
    <m/>
    <m/>
    <m/>
    <m/>
    <m/>
    <m/>
    <m/>
    <m/>
    <m/>
    <m/>
    <m/>
    <m/>
    <m/>
    <m/>
    <m/>
    <m/>
    <m/>
    <m/>
    <m/>
    <m/>
    <m/>
    <m/>
    <m/>
    <m/>
    <m/>
    <m/>
  </r>
  <r>
    <x v="0"/>
    <s v="PEST CONTROL"/>
    <s v="SC JOHNSON"/>
    <x v="0"/>
    <x v="0"/>
    <x v="1"/>
    <x v="0"/>
    <x v="0"/>
    <n v="3854.8530000000001"/>
    <n v="3229.35"/>
    <n v="4388.8739999999998"/>
    <n v="5248.4070000000002"/>
    <n v="4712.8149999999996"/>
    <n v="5946.1419999999998"/>
    <n v="6604.2420000000002"/>
    <n v="6179.3860000000004"/>
    <n v="6474.0590000000002"/>
    <n v="6669.2150000000001"/>
    <n v="6205.884"/>
    <n v="6389.05"/>
    <n v="6336.2969999999996"/>
    <n v="6479.6689999999999"/>
    <n v="6856.9859999999999"/>
    <n v="6581.1210000000001"/>
    <n v="6467.9070000000002"/>
    <n v="6947.2020000000002"/>
    <n v="7294.7960000000003"/>
    <n v="7253.777"/>
    <n v="7013.1670000000004"/>
    <n v="6619.8649999999998"/>
    <n v="7042.0349999999999"/>
    <n v="7458.3239999999996"/>
    <n v="6859.2190000000001"/>
    <n v="7228.8190000000004"/>
    <n v="8775.3379999999997"/>
    <n v="8838.6790000000001"/>
    <n v="8418.0660000000007"/>
    <n v="7111.0910000000003"/>
    <n v="7368.2039999999997"/>
    <n v="5274.2280000000001"/>
    <n v="4296.7569999999996"/>
    <n v="3899.5610000000001"/>
    <n v="4169.4430000000002"/>
    <n v="4256.6400000000003"/>
    <n v="3904.5169999999998"/>
    <n v="4966.4560000000001"/>
  </r>
  <r>
    <x v="0"/>
    <s v="PEST CONTROL"/>
    <s v="SC JOHNSON"/>
    <x v="0"/>
    <x v="0"/>
    <x v="1"/>
    <x v="0"/>
    <x v="1"/>
    <n v="0"/>
    <n v="2.7152169000000002"/>
    <n v="2.0970627999999998"/>
    <n v="4.1878962"/>
    <n v="1.6999202"/>
    <n v="5.9508736000000004"/>
    <n v="7.7734392999999997"/>
    <n v="7.4699464999999998"/>
    <n v="9.2030864999999995"/>
    <n v="3.4740248999999999"/>
    <n v="5.7545498000000004"/>
    <n v="4.1888541999999998"/>
    <n v="3.8606872999999999"/>
    <n v="3.1911505999999998"/>
    <n v="2.0981215"/>
    <n v="2.4248742000000001"/>
    <n v="4.6242855"/>
    <n v="5.7394112000000002"/>
    <n v="6.6103110999999997"/>
    <n v="7.3412492"/>
    <n v="4.2125038000000004"/>
    <n v="6.4348669999999997"/>
    <n v="5.1344506000000001"/>
    <n v="5.8790908999999996"/>
    <n v="1.8143091"/>
    <n v="2.0965647000000001"/>
    <n v="2.1875334999999998"/>
    <n v="3.9779353999999998"/>
    <n v="2.0402364999999998"/>
    <n v="3.5714478999999999"/>
    <n v="7.3176505000000001"/>
    <n v="6.2908274000000004"/>
    <n v="12.2392863"/>
    <n v="6.8741421999999996"/>
    <n v="12.770599600000001"/>
    <n v="1.4268864000000001"/>
    <n v="3.4558412999999999"/>
    <n v="1.7471881"/>
  </r>
  <r>
    <x v="0"/>
    <s v="PEST CONTROL"/>
    <s v="SC JOHNSON"/>
    <x v="0"/>
    <x v="0"/>
    <x v="1"/>
    <x v="2"/>
    <x v="0"/>
    <m/>
    <m/>
    <n v="96.039000000000001"/>
    <n v="120.495"/>
    <n v="122.16200000000001"/>
    <n v="92.299000000000007"/>
    <n v="83.563000000000002"/>
    <n v="83.563000000000002"/>
    <n v="83.272000000000006"/>
    <n v="76.182000000000002"/>
    <n v="76.182000000000002"/>
    <n v="76.557000000000002"/>
    <n v="76.557000000000002"/>
    <n v="73.933999999999997"/>
    <n v="68.906000000000006"/>
    <n v="76.834000000000003"/>
    <n v="78.790999999999997"/>
    <n v="60.09"/>
    <m/>
    <m/>
    <m/>
    <m/>
    <m/>
    <m/>
    <m/>
    <m/>
    <m/>
    <m/>
    <m/>
    <m/>
    <m/>
    <n v="56.604999999999997"/>
    <n v="69.736000000000004"/>
    <n v="113.60899999999999"/>
    <n v="137.88200000000001"/>
    <n v="148.636"/>
    <n v="121.01600000000001"/>
    <n v="103.129"/>
  </r>
  <r>
    <x v="0"/>
    <s v="PEST CONTROL"/>
    <s v="SC JOHNSON"/>
    <x v="0"/>
    <x v="0"/>
    <x v="1"/>
    <x v="2"/>
    <x v="1"/>
    <m/>
    <m/>
    <n v="0"/>
    <n v="0"/>
    <n v="0.34450999999999998"/>
    <n v="0"/>
    <n v="0.37321720000000003"/>
    <n v="0"/>
    <n v="0"/>
    <n v="0"/>
    <n v="0"/>
    <n v="0"/>
    <n v="0"/>
    <n v="0"/>
    <n v="0"/>
    <n v="0"/>
    <n v="0"/>
    <n v="0"/>
    <n v="0"/>
    <n v="0.78571310000000005"/>
    <m/>
    <m/>
    <m/>
    <m/>
    <m/>
    <m/>
    <m/>
    <m/>
    <m/>
    <m/>
    <m/>
    <n v="0"/>
    <n v="0"/>
    <n v="0"/>
    <n v="0.33154090000000003"/>
    <n v="0"/>
    <n v="0"/>
    <n v="0"/>
  </r>
  <r>
    <x v="0"/>
    <s v="PEST CONTROL"/>
    <s v="SC JOHNSON"/>
    <x v="0"/>
    <x v="0"/>
    <x v="1"/>
    <x v="3"/>
    <x v="0"/>
    <n v="11495.722"/>
    <n v="11182.303"/>
    <n v="13183.27"/>
    <n v="13375.584000000001"/>
    <n v="11303.874"/>
    <n v="13107.697"/>
    <n v="10954.445"/>
    <n v="12821.075999999999"/>
    <n v="11737.145"/>
    <n v="11527.237999999999"/>
    <n v="12293.464"/>
    <n v="12618.182000000001"/>
    <n v="12745.904"/>
    <n v="11761.255999999999"/>
    <n v="13706.698"/>
    <n v="17059.909"/>
    <n v="17239.966"/>
    <n v="17694.236000000001"/>
    <n v="16675.186000000002"/>
    <n v="14885.082"/>
    <n v="13517.04"/>
    <n v="12601.761"/>
    <n v="11975.822"/>
    <n v="12711.97"/>
    <n v="13194.597"/>
    <n v="15473.093000000001"/>
    <n v="15946.36"/>
    <n v="16192.950999999999"/>
    <n v="16782.82"/>
    <n v="15423.058999999999"/>
    <n v="14702.069"/>
    <n v="12047.722"/>
    <n v="11483.67"/>
    <n v="10292.971"/>
    <n v="10330.913"/>
    <n v="9418.018"/>
    <n v="9644.5779999999995"/>
    <n v="9694.5650000000005"/>
  </r>
  <r>
    <x v="0"/>
    <s v="PEST CONTROL"/>
    <s v="SC JOHNSON"/>
    <x v="0"/>
    <x v="0"/>
    <x v="1"/>
    <x v="3"/>
    <x v="1"/>
    <n v="0"/>
    <n v="6.5458992"/>
    <n v="3.0147187999999998"/>
    <n v="6.0751213999999996"/>
    <n v="4.8176261"/>
    <n v="6.0450336"/>
    <n v="9.2233663000000004"/>
    <n v="8.1629813999999996"/>
    <n v="6.5623722000000004"/>
    <n v="7.8711286999999999"/>
    <n v="6.1453799"/>
    <n v="4.4216265000000003"/>
    <n v="3.2142900000000001"/>
    <n v="7.5052171999999997"/>
    <n v="4.4789696000000001"/>
    <n v="2.2718294999999999"/>
    <n v="6.4274722999999998"/>
    <n v="7.2795699999999997"/>
    <n v="7.7917046000000001"/>
    <n v="9.9145380999999997"/>
    <n v="8.7979634000000004"/>
    <n v="5.9654838000000003"/>
    <n v="8.8180717000000008"/>
    <n v="4.0737912999999999"/>
    <n v="6.9925426000000002"/>
    <n v="3.1548421000000002"/>
    <n v="5.8298524"/>
    <n v="6.9456385999999997"/>
    <n v="4.8063896000000002"/>
    <n v="6.2746224000000002"/>
    <n v="5.7764711999999996"/>
    <n v="2.7607151000000001"/>
    <n v="16.396252700000002"/>
    <n v="9.3329833999999998"/>
    <n v="13.4072812"/>
    <n v="5.2965999999999998"/>
    <n v="5.5988813000000004"/>
    <n v="4.6343297999999997"/>
  </r>
  <r>
    <x v="0"/>
    <s v="PEST CONTROL"/>
    <s v="SC JOHNSON"/>
    <x v="1"/>
    <x v="1"/>
    <x v="2"/>
    <x v="0"/>
    <x v="0"/>
    <n v="55.002000000000002"/>
    <n v="879.88300000000004"/>
    <n v="829.59900000000005"/>
    <n v="712.91300000000001"/>
    <n v="378.14100000000002"/>
    <n v="166.3"/>
    <n v="221.73400000000001"/>
    <n v="332.601"/>
    <n v="285.96199999999999"/>
    <m/>
    <n v="126.01600000000001"/>
    <n v="210.02600000000001"/>
    <n v="296.65899999999999"/>
    <n v="169.13399999999999"/>
    <n v="282.68"/>
    <m/>
    <m/>
    <m/>
    <m/>
    <m/>
    <m/>
    <m/>
    <m/>
    <m/>
    <m/>
    <m/>
    <m/>
    <n v="34.171999999999997"/>
    <n v="34.171999999999997"/>
    <m/>
    <n v="32.381999999999998"/>
    <n v="32.381999999999998"/>
    <m/>
    <m/>
    <m/>
    <m/>
    <m/>
    <m/>
  </r>
  <r>
    <x v="0"/>
    <s v="PEST CONTROL"/>
    <s v="SC JOHNSON"/>
    <x v="1"/>
    <x v="1"/>
    <x v="2"/>
    <x v="0"/>
    <x v="1"/>
    <n v="0"/>
    <n v="0"/>
    <n v="0"/>
    <n v="0.45937660000000002"/>
    <n v="0"/>
    <n v="0"/>
    <n v="1.1815534999999999"/>
    <n v="0"/>
    <n v="0"/>
    <n v="0"/>
    <n v="0"/>
    <n v="0"/>
    <n v="0"/>
    <n v="0"/>
    <n v="0"/>
    <n v="0"/>
    <n v="0.51914510000000003"/>
    <n v="0"/>
    <m/>
    <m/>
    <m/>
    <m/>
    <m/>
    <m/>
    <m/>
    <m/>
    <m/>
    <n v="0"/>
    <n v="0.51526550000000004"/>
    <n v="0"/>
    <n v="0.50178860000000003"/>
    <n v="0"/>
    <n v="0"/>
    <n v="0"/>
    <n v="0.55460889999999996"/>
    <m/>
    <m/>
    <m/>
  </r>
  <r>
    <x v="0"/>
    <s v="PEST CONTROL"/>
    <s v="SC JOHNSON"/>
    <x v="1"/>
    <x v="1"/>
    <x v="2"/>
    <x v="4"/>
    <x v="0"/>
    <n v="79.766999999999996"/>
    <n v="20.367000000000001"/>
    <n v="79.831999999999994"/>
    <n v="74.927999999999997"/>
    <n v="54.761000000000003"/>
    <m/>
    <m/>
    <m/>
    <m/>
    <m/>
    <m/>
    <m/>
    <m/>
    <m/>
    <m/>
    <m/>
    <m/>
    <m/>
    <m/>
    <m/>
    <m/>
    <m/>
    <m/>
    <m/>
    <m/>
    <m/>
    <m/>
    <m/>
    <m/>
    <m/>
    <m/>
    <m/>
    <m/>
    <n v="32.430999999999997"/>
    <n v="32.472000000000001"/>
    <m/>
    <n v="28.346"/>
    <n v="28.831"/>
  </r>
  <r>
    <x v="0"/>
    <s v="PEST CONTROL"/>
    <s v="SC JOHNSON"/>
    <x v="1"/>
    <x v="1"/>
    <x v="2"/>
    <x v="4"/>
    <x v="1"/>
    <n v="0"/>
    <n v="0"/>
    <n v="0"/>
    <n v="0.34451019999999999"/>
    <n v="0"/>
    <n v="0.36603540000000001"/>
    <n v="0.3732172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.52115979999999995"/>
  </r>
  <r>
    <x v="0"/>
    <s v="PEST CONTROL"/>
    <s v="SC JOHNSON"/>
    <x v="1"/>
    <x v="1"/>
    <x v="3"/>
    <x v="0"/>
    <x v="0"/>
    <n v="4297.4690000000001"/>
    <n v="4092.7979999999998"/>
    <n v="4116.8549999999996"/>
    <n v="3104.91"/>
    <n v="3189.788"/>
    <n v="4153.3500000000004"/>
    <n v="3834.866"/>
    <n v="3329.8820000000001"/>
    <n v="3190.7779999999998"/>
    <n v="3570.1019999999999"/>
    <n v="3119.2359999999999"/>
    <n v="2961.0210000000002"/>
    <n v="3557.3879999999999"/>
    <n v="3849.5859999999998"/>
    <n v="4348.4560000000001"/>
    <n v="3735.4009999999998"/>
    <n v="2993.752"/>
    <n v="2244.6060000000002"/>
    <n v="2948.5210000000002"/>
    <n v="2486.0650000000001"/>
    <n v="2704.857"/>
    <n v="2722.2260000000001"/>
    <n v="2571.4810000000002"/>
    <n v="2480.7080000000001"/>
    <n v="3373.8789999999999"/>
    <n v="4714.5050000000001"/>
    <n v="6483.5119999999997"/>
    <n v="5003.9260000000004"/>
    <n v="5544.5959999999995"/>
    <n v="4304.8900000000003"/>
    <n v="4099.6310000000003"/>
    <n v="4580.4660000000003"/>
    <n v="3970.8919999999998"/>
    <n v="4080.6619999999998"/>
    <n v="3283.076"/>
    <n v="3530.6790000000001"/>
    <n v="3498.069"/>
    <n v="4227.8419999999996"/>
  </r>
  <r>
    <x v="0"/>
    <s v="PEST CONTROL"/>
    <s v="SC JOHNSON"/>
    <x v="1"/>
    <x v="1"/>
    <x v="3"/>
    <x v="0"/>
    <x v="1"/>
    <n v="0"/>
    <n v="3.4204053000000001"/>
    <n v="2.2636332000000001"/>
    <n v="2.3047156000000002"/>
    <n v="1.4508821999999999"/>
    <n v="2.3728126999999999"/>
    <n v="2.9479649000000001"/>
    <n v="3.1427323999999999"/>
    <n v="2.8295987999999999"/>
    <n v="4.2876609999999999"/>
    <n v="3.0928401000000001"/>
    <n v="2.9059458"/>
    <n v="1.2927139000000001"/>
    <n v="1.7376391"/>
    <n v="3.1082475999999999"/>
    <n v="2.2240783"/>
    <n v="3.7918664"/>
    <n v="3.7090337"/>
    <n v="1.6846574000000001"/>
    <n v="3.5937787000000001"/>
    <n v="3.9034187999999999"/>
    <n v="2.4556721000000001"/>
    <n v="1.8079845999999999"/>
    <n v="2.5674372999999999"/>
    <n v="1.7027926"/>
    <n v="0.93749190000000004"/>
    <n v="1.7132631"/>
    <n v="4.7381630000000001"/>
    <n v="4.0109254999999999"/>
    <n v="2.2520611000000001"/>
    <n v="2.4712589"/>
    <n v="3.8317060000000001"/>
    <n v="3.3615154"/>
    <n v="3.1621733000000001"/>
    <n v="1.8940593999999999"/>
    <n v="5.2472459999999996"/>
    <n v="3.7899984999999998"/>
    <n v="2.9814612"/>
  </r>
  <r>
    <x v="0"/>
    <s v="PEST CONTROL"/>
    <s v="SC JOHNSON"/>
    <x v="1"/>
    <x v="1"/>
    <x v="3"/>
    <x v="4"/>
    <x v="0"/>
    <n v="52.085999999999999"/>
    <n v="111.071"/>
    <n v="110.372"/>
    <n v="146.048"/>
    <n v="194.08199999999999"/>
    <n v="244.464"/>
    <n v="186.86799999999999"/>
    <n v="232.52600000000001"/>
    <n v="332.10199999999998"/>
    <n v="301.13900000000001"/>
    <n v="417.19200000000001"/>
    <n v="391.46199999999999"/>
    <n v="360.46499999999997"/>
    <n v="384.423"/>
    <n v="298.49099999999999"/>
    <n v="220.5"/>
    <n v="205.93899999999999"/>
    <n v="205.93899999999999"/>
    <n v="222.976"/>
    <n v="223.125"/>
    <n v="136.661"/>
    <n v="195.58199999999999"/>
    <n v="157.893"/>
    <n v="151.07300000000001"/>
    <n v="97.807000000000002"/>
    <n v="169.33199999999999"/>
    <n v="134.38200000000001"/>
    <n v="134.38200000000001"/>
    <n v="134.03399999999999"/>
    <n v="75.031000000000006"/>
    <n v="234.59800000000001"/>
    <n v="464.83300000000003"/>
    <n v="504.33100000000002"/>
    <n v="468.53"/>
    <n v="398.17899999999997"/>
    <n v="396.20499999999998"/>
    <n v="339.66500000000002"/>
    <n v="455.33600000000001"/>
  </r>
  <r>
    <x v="0"/>
    <s v="PEST CONTROL"/>
    <s v="SC JOHNSON"/>
    <x v="1"/>
    <x v="1"/>
    <x v="3"/>
    <x v="4"/>
    <x v="1"/>
    <n v="0"/>
    <n v="0"/>
    <n v="0"/>
    <n v="0"/>
    <n v="0.34450999999999998"/>
    <n v="0.36603540000000001"/>
    <n v="0.2655324"/>
    <n v="0"/>
    <n v="2.1930269999999998"/>
    <n v="0"/>
    <n v="0"/>
    <n v="0.2914139"/>
    <n v="0.36228959999999999"/>
    <n v="0.38760440000000002"/>
    <n v="0"/>
    <n v="0.99327299999999996"/>
    <n v="0.34812989999999999"/>
    <n v="0.1973432"/>
    <n v="0.26450760000000001"/>
    <n v="0"/>
    <n v="0"/>
    <n v="0.1973433"/>
    <n v="0"/>
    <n v="0.51526570000000005"/>
    <n v="0"/>
    <n v="0.2187962"/>
    <n v="0.14529059999999999"/>
    <n v="0.51526530000000004"/>
    <n v="0"/>
    <n v="0"/>
    <n v="0"/>
    <n v="1.1065285"/>
    <n v="0.58784689999999995"/>
    <n v="0.66972620000000005"/>
    <n v="0"/>
    <n v="1.5642957"/>
    <n v="1.5989076"/>
    <n v="0.65446199999999999"/>
  </r>
  <r>
    <x v="0"/>
    <s v="PEST CONTROL"/>
    <s v="SC JOHNSON"/>
    <x v="1"/>
    <x v="1"/>
    <x v="3"/>
    <x v="5"/>
    <x v="0"/>
    <n v="478.46499999999997"/>
    <n v="517.13300000000004"/>
    <n v="535.61"/>
    <n v="415.435"/>
    <n v="427.19900000000001"/>
    <n v="456.55399999999997"/>
    <n v="460.36900000000003"/>
    <n v="564.55399999999997"/>
    <n v="725.88699999999994"/>
    <n v="629.20699999999999"/>
    <n v="664.71299999999997"/>
    <n v="708.65300000000002"/>
    <n v="750.98900000000003"/>
    <n v="686.75699999999995"/>
    <n v="519.13599999999997"/>
    <n v="571.40800000000002"/>
    <n v="667.76499999999999"/>
    <n v="907.08"/>
    <n v="697.55499999999995"/>
    <n v="762.44100000000003"/>
    <n v="648.77300000000002"/>
    <n v="682.54"/>
    <n v="577.40899999999999"/>
    <n v="756.61099999999999"/>
    <n v="613.08299999999997"/>
    <n v="813.80399999999997"/>
    <n v="808.02200000000005"/>
    <n v="707.52599999999995"/>
    <n v="519.82100000000003"/>
    <n v="531.00800000000004"/>
    <n v="762.64400000000001"/>
    <n v="793.39599999999996"/>
    <n v="1119.7429999999999"/>
    <n v="1141.704"/>
    <n v="1093.07"/>
    <n v="1023.447"/>
    <n v="949.46100000000001"/>
    <n v="976.40499999999997"/>
  </r>
  <r>
    <x v="0"/>
    <s v="PEST CONTROL"/>
    <s v="SC JOHNSON"/>
    <x v="1"/>
    <x v="1"/>
    <x v="3"/>
    <x v="5"/>
    <x v="1"/>
    <n v="0"/>
    <n v="0.31035659999999998"/>
    <n v="1.0670983999999999"/>
    <n v="0.2789682"/>
    <n v="0.9533684"/>
    <n v="0"/>
    <n v="0.91771789999999998"/>
    <n v="0.139627"/>
    <n v="0.95683790000000002"/>
    <n v="0"/>
    <n v="1.1466612"/>
    <n v="0"/>
    <n v="0"/>
    <n v="0.38760440000000002"/>
    <n v="1.3696839999999999"/>
    <n v="0.51914400000000005"/>
    <n v="0.88461820000000002"/>
    <n v="1.0949051000000001"/>
    <n v="1.1199805"/>
    <n v="2.2344822999999998"/>
    <n v="0.4605281"/>
    <n v="0.26450750000000001"/>
    <n v="0.19734380000000001"/>
    <n v="0"/>
    <n v="0.83789060000000004"/>
    <n v="0.15189430000000001"/>
    <n v="2.0841921000000001"/>
    <n v="1.1343593000000001"/>
    <n v="0"/>
    <n v="0.29640179999999999"/>
    <n v="0.1584219"/>
    <n v="2.1098683"/>
    <n v="1.2087273000000001"/>
    <n v="0.25722610000000001"/>
    <n v="0.53318620000000005"/>
    <n v="0.81819140000000001"/>
    <n v="1.2470726000000001"/>
    <n v="0.3954665"/>
  </r>
  <r>
    <x v="0"/>
    <s v="PEST CONTROL"/>
    <s v="SC JOHNSON"/>
    <x v="1"/>
    <x v="2"/>
    <x v="3"/>
    <x v="0"/>
    <x v="0"/>
    <n v="617.00800000000004"/>
    <n v="512.96500000000003"/>
    <n v="388.11"/>
    <n v="249.97900000000001"/>
    <n v="227.73699999999999"/>
    <n v="326.46199999999999"/>
    <n v="401.65499999999997"/>
    <n v="341.61900000000003"/>
    <n v="374.68299999999999"/>
    <n v="372.32900000000001"/>
    <n v="362.09"/>
    <n v="362.83800000000002"/>
    <n v="403.95400000000001"/>
    <n v="312.10199999999998"/>
    <n v="307.13600000000002"/>
    <n v="262.79700000000003"/>
    <n v="356.471"/>
    <n v="366.69400000000002"/>
    <n v="488.791"/>
    <n v="405.375"/>
    <n v="451.82900000000001"/>
    <n v="414.65"/>
    <n v="368.077"/>
    <n v="421.12299999999999"/>
    <n v="514.98"/>
    <n v="760.57799999999997"/>
    <n v="795.17600000000004"/>
    <n v="640.52599999999995"/>
    <n v="417.67899999999997"/>
    <n v="514.35900000000004"/>
    <n v="580.47299999999996"/>
    <n v="365.483"/>
    <n v="449.95499999999998"/>
    <n v="390.20800000000003"/>
    <n v="312.14400000000001"/>
    <n v="263.27199999999999"/>
    <n v="346.59300000000002"/>
    <n v="408.61799999999999"/>
  </r>
  <r>
    <x v="0"/>
    <s v="PEST CONTROL"/>
    <s v="SC JOHNSON"/>
    <x v="1"/>
    <x v="2"/>
    <x v="3"/>
    <x v="0"/>
    <x v="1"/>
    <n v="0"/>
    <n v="1.2923525"/>
    <n v="0.65290789999999999"/>
    <n v="0"/>
    <n v="1.2398237999999999"/>
    <n v="0.36603540000000001"/>
    <n v="0.37321720000000003"/>
    <n v="1.4489287"/>
    <n v="0.1426384"/>
    <n v="0.75029829999999997"/>
    <n v="0"/>
    <n v="0"/>
    <n v="0"/>
    <n v="0.15451970000000001"/>
    <n v="1.3696839999999999"/>
    <n v="0.35610920000000001"/>
    <n v="0"/>
    <n v="0.78571120000000005"/>
    <n v="0.42939319999999997"/>
    <n v="0.84577290000000005"/>
    <n v="0.19602020000000001"/>
    <n v="1.3113235999999999"/>
    <n v="0.60317560000000003"/>
    <n v="0.30972630000000001"/>
    <n v="0"/>
    <n v="0.42222690000000002"/>
    <n v="0.4336141"/>
    <n v="0.61909409999999998"/>
    <n v="0.63649860000000003"/>
    <n v="0.3880922"/>
    <n v="0"/>
    <n v="1.8134667"/>
    <n v="0.66709870000000004"/>
    <n v="0"/>
    <n v="0.66972529999999997"/>
    <n v="0.42888419999999999"/>
    <n v="0"/>
    <n v="1.186045"/>
  </r>
  <r>
    <x v="0"/>
    <s v="PEST CONTROL"/>
    <s v="SC JOHNSON"/>
    <x v="1"/>
    <x v="3"/>
    <x v="2"/>
    <x v="0"/>
    <x v="0"/>
    <n v="642.096"/>
    <n v="414.86599999999999"/>
    <n v="1684.806"/>
    <n v="1654.7380000000001"/>
    <n v="1392.268"/>
    <n v="1594.123"/>
    <n v="1567.1030000000001"/>
    <n v="1363.183"/>
    <n v="1518.809"/>
    <n v="1786.6849999999999"/>
    <n v="1402.136"/>
    <n v="1376.672"/>
    <n v="1765.002"/>
    <n v="1978.2560000000001"/>
    <n v="1312.277"/>
    <n v="1929.5650000000001"/>
    <n v="2589.5369999999998"/>
    <n v="1755.145"/>
    <n v="1260.444"/>
    <n v="1224.6849999999999"/>
    <n v="1248.021"/>
    <n v="1505.819"/>
    <n v="1529.933"/>
    <n v="1956.154"/>
    <n v="1766.67"/>
    <n v="1885.5930000000001"/>
    <n v="2029.653"/>
    <n v="1480.107"/>
    <n v="1474.4590000000001"/>
    <n v="942.30700000000002"/>
    <n v="854.46799999999996"/>
    <n v="759.95899999999995"/>
    <n v="832.05"/>
    <n v="628.24400000000003"/>
    <n v="302.67599999999999"/>
    <n v="324.15499999999997"/>
    <n v="664.30799999999999"/>
    <n v="413.97199999999998"/>
  </r>
  <r>
    <x v="0"/>
    <s v="PEST CONTROL"/>
    <s v="SC JOHNSON"/>
    <x v="1"/>
    <x v="3"/>
    <x v="2"/>
    <x v="0"/>
    <x v="1"/>
    <n v="0"/>
    <n v="0"/>
    <n v="1.2989147999999999"/>
    <n v="1.1818981"/>
    <n v="1.0927093000000001"/>
    <n v="1.6434943"/>
    <n v="0"/>
    <n v="1.5048919000000001"/>
    <n v="1.7559009999999999"/>
    <n v="0.67183409999999999"/>
    <n v="0.49715900000000002"/>
    <n v="0.17276030000000001"/>
    <n v="0.38760460000000002"/>
    <n v="0.63563409999999998"/>
    <n v="0.44744450000000002"/>
    <n v="1.7946854999999999"/>
    <n v="0.48436889999999999"/>
    <n v="1.1490046"/>
    <n v="1.5427568"/>
    <n v="1.2552662999999999"/>
    <n v="0.91625009999999996"/>
    <n v="2.151294"/>
    <n v="0.49324499999999999"/>
    <n v="1.5910183"/>
    <n v="0"/>
    <n v="1.289903"/>
    <n v="0.36408669999999999"/>
    <n v="2.9820144000000002"/>
    <n v="0.40980559999999999"/>
    <n v="0.66972509999999996"/>
    <n v="2.1365287999999998"/>
    <n v="0.33154050000000002"/>
    <n v="0.86237649999999999"/>
    <n v="0"/>
    <n v="0.87805489999999997"/>
    <n v="0.65446340000000003"/>
    <n v="0.84907339999999998"/>
    <n v="0"/>
  </r>
  <r>
    <x v="0"/>
    <s v="PEST CONTROL"/>
    <s v="SC JOHNSON"/>
    <x v="1"/>
    <x v="4"/>
    <x v="2"/>
    <x v="0"/>
    <x v="0"/>
    <n v="914.56399999999996"/>
    <n v="784.755"/>
    <n v="961.83600000000001"/>
    <n v="304.26600000000002"/>
    <n v="307.35700000000003"/>
    <n v="117.824"/>
    <n v="207.78"/>
    <n v="180.262"/>
    <n v="131.70099999999999"/>
    <n v="131.70099999999999"/>
    <n v="131.70099999999999"/>
    <n v="129.33699999999999"/>
    <n v="129.33699999999999"/>
    <m/>
    <n v="212.46799999999999"/>
    <n v="248.779"/>
    <n v="278.97699999999998"/>
    <n v="123.00700000000001"/>
    <n v="51.99"/>
    <n v="272.91300000000001"/>
    <n v="796.58900000000006"/>
    <n v="807.67600000000004"/>
    <n v="692.77099999999996"/>
    <n v="195.68"/>
    <n v="638.54899999999998"/>
    <n v="554.89"/>
    <n v="734.07600000000002"/>
    <n v="730.77499999999998"/>
    <n v="876.73400000000004"/>
    <n v="1517.04"/>
    <n v="950.97199999999998"/>
    <n v="845.94399999999996"/>
    <n v="727.86199999999997"/>
    <n v="1431.9349999999999"/>
    <n v="796.17100000000005"/>
    <n v="714.774"/>
    <n v="839.09100000000001"/>
    <n v="989.56200000000001"/>
  </r>
  <r>
    <x v="0"/>
    <s v="PEST CONTROL"/>
    <s v="SC JOHNSON"/>
    <x v="1"/>
    <x v="4"/>
    <x v="2"/>
    <x v="0"/>
    <x v="1"/>
    <n v="0"/>
    <n v="0.29965160000000002"/>
    <n v="0"/>
    <n v="0"/>
    <n v="1.466518"/>
    <n v="0"/>
    <n v="0.26635120000000001"/>
    <n v="0"/>
    <n v="0"/>
    <n v="1.2361903999999999"/>
    <n v="0"/>
    <n v="0"/>
    <n v="0"/>
    <n v="0"/>
    <n v="0"/>
    <n v="0"/>
    <n v="0.49324449999999997"/>
    <n v="0"/>
    <n v="0.49324400000000002"/>
    <n v="0.59216040000000003"/>
    <n v="0"/>
    <n v="0.46517419999999998"/>
    <n v="0"/>
    <n v="0.47903499999999999"/>
    <n v="0.52257520000000002"/>
    <n v="0.84534889999999996"/>
    <n v="0.5225746"/>
    <n v="0"/>
    <n v="0.65167509999999995"/>
    <n v="0.66972509999999996"/>
    <n v="0.50178860000000003"/>
    <n v="0.37700240000000002"/>
    <n v="2.2364142999999999"/>
    <n v="1.670871"/>
    <n v="1.2243341000000001"/>
    <n v="0.67187019999999997"/>
    <n v="0.81818950000000001"/>
    <n v="2.0473449000000001"/>
  </r>
  <r>
    <x v="0"/>
    <s v="PEST CONTROL"/>
    <s v="SC JOHNSON"/>
    <x v="1"/>
    <x v="4"/>
    <x v="3"/>
    <x v="0"/>
    <x v="0"/>
    <n v="109.191"/>
    <n v="97.563999999999993"/>
    <n v="67.831999999999994"/>
    <n v="100.352"/>
    <n v="184.864"/>
    <n v="130.34"/>
    <n v="243.096"/>
    <n v="168.53800000000001"/>
    <n v="448.072"/>
    <n v="413.40800000000002"/>
    <n v="413.40800000000002"/>
    <n v="413.40800000000002"/>
    <n v="413.40800000000002"/>
    <n v="604.66999999999996"/>
    <n v="577.61"/>
    <n v="259.61799999999999"/>
    <n v="502.15800000000002"/>
    <n v="495.97800000000001"/>
    <n v="390.68099999999998"/>
    <n v="391.25200000000001"/>
    <n v="559.12699999999995"/>
    <n v="474.16199999999998"/>
    <n v="378.15600000000001"/>
    <n v="532.58199999999999"/>
    <n v="627.92600000000004"/>
    <n v="585.25199999999995"/>
    <n v="543.29499999999996"/>
    <n v="477.78300000000002"/>
    <n v="254.315"/>
    <n v="498.51"/>
    <n v="860.01700000000005"/>
    <n v="600.34100000000001"/>
    <n v="616.63900000000001"/>
    <n v="741.49599999999998"/>
    <n v="722.49199999999996"/>
    <n v="861.80700000000002"/>
    <n v="990.79700000000003"/>
    <n v="895.072"/>
  </r>
  <r>
    <x v="0"/>
    <s v="PEST CONTROL"/>
    <s v="SC JOHNSON"/>
    <x v="1"/>
    <x v="4"/>
    <x v="3"/>
    <x v="0"/>
    <x v="1"/>
    <n v="0"/>
    <n v="0.9167997"/>
    <n v="0.54362690000000002"/>
    <n v="0.34451019999999999"/>
    <n v="0"/>
    <n v="0"/>
    <n v="1.3534782999999999"/>
    <n v="0"/>
    <n v="0.59409469999999998"/>
    <n v="0.59409540000000005"/>
    <n v="0.5940955"/>
    <n v="0"/>
    <n v="0"/>
    <n v="0"/>
    <n v="0.59409339999999999"/>
    <n v="0.60317379999999998"/>
    <n v="0.3276522"/>
    <n v="1.15594"/>
    <n v="1.6706673000000001"/>
    <n v="2.4465126000000001"/>
    <n v="0"/>
    <n v="1.7272839"/>
    <n v="0.30580180000000001"/>
    <n v="0.47903499999999999"/>
    <n v="0.84281349999999999"/>
    <n v="0.89326530000000004"/>
    <n v="0.5225746"/>
    <n v="1.0288995000000001"/>
    <n v="0"/>
    <n v="1.5344519000000001"/>
    <n v="0.37700319999999998"/>
    <n v="0.89221989999999995"/>
    <n v="1.8776554999999999"/>
    <n v="1.8951963999999999"/>
    <n v="1.4749163999999999"/>
    <n v="1.2147114000000001"/>
    <n v="0.59261070000000005"/>
    <n v="1.605391"/>
  </r>
  <r>
    <x v="0"/>
    <s v="PEST CONTROL"/>
    <s v="SC JOHNSON"/>
    <x v="2"/>
    <x v="0"/>
    <x v="2"/>
    <x v="0"/>
    <x v="0"/>
    <n v="8388.9699999999993"/>
    <n v="9235.1020000000008"/>
    <n v="11938.819"/>
    <n v="10916.647999999999"/>
    <n v="10549.996999999999"/>
    <n v="12206.575000000001"/>
    <n v="9145.9959999999992"/>
    <n v="9711.7720000000008"/>
    <n v="8385.9629999999997"/>
    <n v="9794.7510000000002"/>
    <n v="9430.3060000000005"/>
    <n v="8747.69"/>
    <n v="7968.3019999999997"/>
    <n v="8300.8029999999999"/>
    <n v="10447.433999999999"/>
    <n v="10207.469999999999"/>
    <n v="10709.49"/>
    <n v="9191.9500000000007"/>
    <n v="9328.3670000000002"/>
    <n v="7368.0219999999999"/>
    <n v="6559.8860000000004"/>
    <n v="7834.9539999999997"/>
    <n v="6794.6779999999999"/>
    <n v="6856.0360000000001"/>
    <n v="6730.7830000000004"/>
    <n v="6924.634"/>
    <n v="9219.11"/>
    <n v="10039.279"/>
    <n v="9467.5550000000003"/>
    <n v="10883.471"/>
    <n v="11646.576999999999"/>
    <n v="10043.200999999999"/>
    <n v="6689.2470000000003"/>
    <n v="7929.5150000000003"/>
    <n v="8118.4650000000001"/>
    <n v="8015.0609999999997"/>
    <n v="7287.6850000000004"/>
    <n v="8078.8670000000002"/>
  </r>
  <r>
    <x v="0"/>
    <s v="PEST CONTROL"/>
    <s v="SC JOHNSON"/>
    <x v="2"/>
    <x v="0"/>
    <x v="2"/>
    <x v="0"/>
    <x v="1"/>
    <n v="0"/>
    <n v="6.0207446999999998"/>
    <n v="6.1463564999999996"/>
    <n v="4.0986685999999999"/>
    <n v="4.3424167000000002"/>
    <n v="4.9428633"/>
    <n v="5.3935817000000004"/>
    <n v="7.3813206999999998"/>
    <n v="6.9429024000000004"/>
    <n v="6.9046957999999998"/>
    <n v="7.2798170000000004"/>
    <n v="2.4945077000000002"/>
    <n v="4.5070039"/>
    <n v="3.3645255000000001"/>
    <n v="1.5572378"/>
    <n v="3.5610327000000002"/>
    <n v="2.4647598999999998"/>
    <n v="4.9880582000000002"/>
    <n v="2.9448569"/>
    <n v="8.0854596999999995"/>
    <n v="5.0426443000000001"/>
    <n v="6.3566380999999996"/>
    <n v="5.5673073999999998"/>
    <n v="4.0095944000000001"/>
    <n v="5.0269955"/>
    <n v="1.1932149000000001"/>
    <n v="5.0654881999999999"/>
    <n v="1.5574716"/>
    <n v="2.6307877999999998"/>
    <n v="4.5111132999999999"/>
    <n v="2.9463202000000002"/>
    <n v="5.3256416"/>
    <n v="3.6354112000000001"/>
    <n v="6.2635432"/>
    <n v="5.3814120000000001"/>
    <n v="5.2001122000000004"/>
    <n v="4.0720814000000001"/>
    <n v="3.8271679999999999"/>
  </r>
  <r>
    <x v="0"/>
    <s v="PEST CONTROL"/>
    <s v="SC JOHNSON"/>
    <x v="2"/>
    <x v="0"/>
    <x v="0"/>
    <x v="0"/>
    <x v="0"/>
    <n v="4689.915"/>
    <n v="6403.5609999999997"/>
    <n v="6561.9359999999997"/>
    <n v="8032.8580000000002"/>
    <n v="8150.5919999999996"/>
    <n v="8315.9609999999993"/>
    <n v="7883.308"/>
    <n v="7412.1379999999999"/>
    <n v="6971.9690000000001"/>
    <n v="6876.8410000000003"/>
    <n v="6159.4870000000001"/>
    <n v="6313.0540000000001"/>
    <n v="6424.72"/>
    <n v="6170.6120000000001"/>
    <n v="6981.03"/>
    <n v="5935.7569999999996"/>
    <n v="8312.348"/>
    <n v="8523.6550000000007"/>
    <n v="7309.2479999999996"/>
    <n v="7950.4170000000004"/>
    <n v="7822.9870000000001"/>
    <n v="8745.4619999999995"/>
    <n v="8316.94"/>
    <n v="9128.7049999999999"/>
    <n v="7673.1840000000002"/>
    <n v="8873.3410000000003"/>
    <n v="9932.2340000000004"/>
    <n v="9306.0020000000004"/>
    <n v="8174.585"/>
    <n v="8844.84"/>
    <n v="9944.402"/>
    <n v="7187.7049999999999"/>
    <n v="7384.8310000000001"/>
    <n v="6815.6450000000004"/>
    <n v="7196.5619999999999"/>
    <n v="7326.4660000000003"/>
    <n v="7442.482"/>
    <n v="7102.9690000000001"/>
  </r>
  <r>
    <x v="0"/>
    <s v="PEST CONTROL"/>
    <s v="SC JOHNSON"/>
    <x v="2"/>
    <x v="0"/>
    <x v="0"/>
    <x v="0"/>
    <x v="1"/>
    <n v="0"/>
    <n v="3.4880214"/>
    <n v="3.4294669"/>
    <n v="4.2475982999999999"/>
    <n v="2.9636564000000001"/>
    <n v="5.1774395999999996"/>
    <n v="2.6871676999999998"/>
    <n v="5.5230601999999998"/>
    <n v="5.8973816000000001"/>
    <n v="6.3059748000000004"/>
    <n v="5.4513949999999998"/>
    <n v="4.1490779"/>
    <n v="3.0738284999999999"/>
    <n v="5.3333244999999998"/>
    <n v="3.6490003999999998"/>
    <n v="2.2179191"/>
    <n v="4.2279565999999997"/>
    <n v="4.6449638000000002"/>
    <n v="3.6646383"/>
    <n v="3.7101073000000002"/>
    <n v="2.2347695000000001"/>
    <n v="5.0057223999999998"/>
    <n v="5.8867908"/>
    <n v="3.5730556999999998"/>
    <n v="4.1361660999999996"/>
    <n v="1.8859535000000001"/>
    <n v="0.91932159999999996"/>
    <n v="7.4840663999999997"/>
    <n v="2.2470189"/>
    <n v="4.0024264000000001"/>
    <n v="2.2408215"/>
    <n v="5.8211330999999999"/>
    <n v="7.8764126000000001"/>
    <n v="6.3113457000000004"/>
    <n v="7.6676418999999996"/>
    <n v="1.5122317999999999"/>
    <n v="6.8958081"/>
    <n v="2.6641062"/>
  </r>
  <r>
    <x v="0"/>
    <s v="PEST CONTROL"/>
    <s v="SC JOHNSON"/>
    <x v="2"/>
    <x v="0"/>
    <x v="3"/>
    <x v="0"/>
    <x v="0"/>
    <n v="13361.716"/>
    <n v="15207.199000000001"/>
    <n v="15283.679"/>
    <n v="16520.771000000001"/>
    <n v="14287.698"/>
    <n v="14602.074000000001"/>
    <n v="18630.554"/>
    <n v="16633.069"/>
    <n v="16570.201000000001"/>
    <n v="16630.887999999999"/>
    <n v="16233.727999999999"/>
    <n v="15937.799000000001"/>
    <n v="15061.385"/>
    <n v="17326.764999999999"/>
    <n v="19526.249"/>
    <n v="20702.866000000002"/>
    <n v="19585.016"/>
    <n v="17468.448"/>
    <n v="17804.772000000001"/>
    <n v="15456.611999999999"/>
    <n v="14003.63"/>
    <n v="13624.07"/>
    <n v="15561.514999999999"/>
    <n v="14975.019"/>
    <n v="16046.259"/>
    <n v="20364.687000000002"/>
    <n v="23058.999"/>
    <n v="20332.591"/>
    <n v="18825.509999999998"/>
    <n v="18880.406999999999"/>
    <n v="17050.862000000001"/>
    <n v="14393.355"/>
    <n v="13421.424000000001"/>
    <n v="13814.91"/>
    <n v="13672.861000000001"/>
    <n v="14056.748"/>
    <n v="13934.319"/>
    <n v="13567.120999999999"/>
  </r>
  <r>
    <x v="0"/>
    <s v="PEST CONTROL"/>
    <s v="SC JOHNSON"/>
    <x v="2"/>
    <x v="0"/>
    <x v="3"/>
    <x v="0"/>
    <x v="1"/>
    <n v="0"/>
    <n v="4.5643212000000002"/>
    <n v="3.8938964"/>
    <n v="5.4288946999999999"/>
    <n v="3.0150819000000002"/>
    <n v="4.1790967999999999"/>
    <n v="1.6367575999999999"/>
    <n v="4.7513826999999997"/>
    <n v="6.3573838"/>
    <n v="7.2144009999999996"/>
    <n v="8.1401429000000007"/>
    <n v="4.2756524999999996"/>
    <n v="2.8917766999999999"/>
    <n v="6.5516652000000004"/>
    <n v="2.6727652000000002"/>
    <n v="1.4573026"/>
    <n v="3.4789107000000001"/>
    <n v="4.4037896999999999"/>
    <n v="5.9273256999999999"/>
    <n v="5.2849066000000002"/>
    <n v="3.6332591999999999"/>
    <n v="7.2637228"/>
    <n v="5.6196956"/>
    <n v="3.3350449000000002"/>
    <n v="8.7569662000000008"/>
    <n v="4.1817719000000002"/>
    <n v="3.5548601"/>
    <n v="3.8193081000000002"/>
    <n v="2.5658251000000001"/>
    <n v="7.1365590000000001"/>
    <n v="2.7419150999999999"/>
    <n v="4.4651570999999999"/>
    <n v="6.6963442999999998"/>
    <n v="4.3331667999999999"/>
    <n v="8.4161692000000006"/>
    <n v="3.8914876"/>
    <n v="7.8876688000000001"/>
    <n v="4.67448"/>
  </r>
  <r>
    <x v="0"/>
    <s v="PEST CONTROL"/>
    <s v="SC JOHNSON"/>
    <x v="2"/>
    <x v="0"/>
    <x v="3"/>
    <x v="6"/>
    <x v="0"/>
    <n v="291.17599999999999"/>
    <n v="271.32600000000002"/>
    <n v="203.495"/>
    <n v="450.209"/>
    <n v="751.03"/>
    <n v="749.35599999999999"/>
    <n v="510.25900000000001"/>
    <n v="678.47299999999996"/>
    <n v="713.62"/>
    <n v="716.23900000000003"/>
    <n v="598.03700000000003"/>
    <n v="594.197"/>
    <n v="137.57300000000001"/>
    <n v="138.43799999999999"/>
    <n v="480.23"/>
    <n v="248.06200000000001"/>
    <n v="118.699"/>
    <m/>
    <n v="186.66399999999999"/>
    <n v="186.66399999999999"/>
    <n v="177.83799999999999"/>
    <n v="174.31700000000001"/>
    <n v="174.31700000000001"/>
    <n v="182.63499999999999"/>
    <n v="182.63499999999999"/>
    <n v="534.22799999999995"/>
    <n v="526.70600000000002"/>
    <n v="348.48"/>
    <n v="347.08800000000002"/>
    <n v="300.12200000000001"/>
    <n v="294.60199999999998"/>
    <n v="169.51300000000001"/>
    <n v="148"/>
    <n v="148"/>
    <n v="221.58199999999999"/>
    <n v="217.82300000000001"/>
    <n v="333.40699999999998"/>
    <n v="141.73500000000001"/>
  </r>
  <r>
    <x v="0"/>
    <s v="PEST CONTROL"/>
    <s v="SC JOHNSON"/>
    <x v="2"/>
    <x v="0"/>
    <x v="3"/>
    <x v="6"/>
    <x v="1"/>
    <n v="0"/>
    <n v="0"/>
    <n v="0"/>
    <n v="0"/>
    <n v="0"/>
    <n v="0.60692520000000005"/>
    <n v="0"/>
    <n v="0"/>
    <n v="0"/>
    <n v="0.59409540000000005"/>
    <n v="0"/>
    <n v="0.59409449999999997"/>
    <n v="0"/>
    <n v="0.90901909999999997"/>
    <n v="0"/>
    <n v="0"/>
    <n v="0"/>
    <n v="0.32765159999999999"/>
    <n v="0.26450760000000001"/>
    <n v="0"/>
    <n v="0"/>
    <n v="0"/>
    <n v="0"/>
    <n v="0"/>
    <n v="0"/>
    <n v="0"/>
    <n v="0.14529059999999999"/>
    <n v="0"/>
    <n v="0"/>
    <n v="0"/>
    <n v="0"/>
    <n v="0"/>
    <n v="0"/>
    <n v="0"/>
    <n v="0"/>
    <n v="0"/>
    <n v="0"/>
    <n v="0"/>
  </r>
  <r>
    <x v="0"/>
    <s v="PEST CONTROL"/>
    <s v="SC JOHNSON"/>
    <x v="2"/>
    <x v="5"/>
    <x v="0"/>
    <x v="0"/>
    <x v="0"/>
    <m/>
    <m/>
    <m/>
    <m/>
    <m/>
    <m/>
    <m/>
    <m/>
    <m/>
    <m/>
    <m/>
    <m/>
    <m/>
    <m/>
    <m/>
    <m/>
    <m/>
    <m/>
    <m/>
    <m/>
    <m/>
    <m/>
    <m/>
    <m/>
    <m/>
    <n v="104.95399999999999"/>
    <m/>
    <m/>
    <m/>
    <m/>
    <m/>
    <m/>
    <m/>
    <m/>
    <m/>
    <m/>
    <m/>
    <m/>
  </r>
  <r>
    <x v="0"/>
    <s v="PEST CONTROL"/>
    <s v="SC JOHNSON"/>
    <x v="2"/>
    <x v="5"/>
    <x v="0"/>
    <x v="0"/>
    <x v="1"/>
    <m/>
    <m/>
    <m/>
    <m/>
    <m/>
    <m/>
    <m/>
    <m/>
    <m/>
    <m/>
    <m/>
    <m/>
    <m/>
    <m/>
    <m/>
    <m/>
    <m/>
    <m/>
    <m/>
    <m/>
    <m/>
    <m/>
    <m/>
    <m/>
    <m/>
    <n v="0"/>
    <n v="0"/>
    <n v="0.35405219999999998"/>
    <m/>
    <m/>
    <m/>
    <m/>
    <m/>
    <m/>
    <m/>
    <m/>
    <m/>
    <m/>
  </r>
  <r>
    <x v="0"/>
    <s v="PEST CONTROL"/>
    <s v="SC JOHNSON"/>
    <x v="2"/>
    <x v="5"/>
    <x v="3"/>
    <x v="0"/>
    <x v="0"/>
    <n v="1541.6179999999999"/>
    <n v="1008.875"/>
    <n v="906.80899999999997"/>
    <n v="948.39700000000005"/>
    <n v="836.19899999999996"/>
    <n v="842.60900000000004"/>
    <n v="858.94299999999998"/>
    <n v="899.83"/>
    <n v="807.21199999999999"/>
    <n v="891.48099999999999"/>
    <n v="768.26499999999999"/>
    <n v="731.67200000000003"/>
    <n v="654.37300000000005"/>
    <n v="583.05799999999999"/>
    <n v="1023.847"/>
    <n v="777.51599999999996"/>
    <n v="1133.21"/>
    <n v="839.68799999999999"/>
    <n v="741.43"/>
    <n v="805.43700000000001"/>
    <n v="988.96400000000006"/>
    <n v="1100.6980000000001"/>
    <n v="1012.227"/>
    <n v="921.30600000000004"/>
    <n v="912.53399999999999"/>
    <n v="863.87800000000004"/>
    <n v="1003.889"/>
    <n v="882.03800000000001"/>
    <n v="1039.615"/>
    <n v="1103.2170000000001"/>
    <n v="1152.47"/>
    <n v="1195.08"/>
    <n v="1104.135"/>
    <n v="1206.0909999999999"/>
    <n v="1215.33"/>
    <n v="1311.491"/>
    <n v="1041.9369999999999"/>
    <n v="1067.261"/>
  </r>
  <r>
    <x v="0"/>
    <s v="PEST CONTROL"/>
    <s v="SC JOHNSON"/>
    <x v="2"/>
    <x v="5"/>
    <x v="3"/>
    <x v="0"/>
    <x v="1"/>
    <n v="0"/>
    <n v="0.70959989999999995"/>
    <n v="1.8494427"/>
    <n v="2.8094804"/>
    <n v="0"/>
    <n v="1.2785441"/>
    <n v="2.6123131000000002"/>
    <n v="0.88205520000000004"/>
    <n v="1.331896"/>
    <n v="2.4003359"/>
    <n v="0.5940955"/>
    <n v="0.34503679999999998"/>
    <n v="0.59824650000000001"/>
    <n v="1.6795215999999999"/>
    <n v="0.98169720000000005"/>
    <n v="0.66992989999999997"/>
    <n v="0.72654830000000004"/>
    <n v="2.3509446000000001"/>
    <n v="1.5588165"/>
    <n v="2.5112391000000001"/>
    <n v="2.2651178000000001"/>
    <n v="1.9976719999999999"/>
    <n v="0.20895569999999999"/>
    <n v="1.2677962"/>
    <n v="1.7690281999999999"/>
    <n v="0"/>
    <n v="0.27051160000000002"/>
    <n v="0.92507070000000002"/>
    <n v="1.7796798"/>
    <n v="1.4459095"/>
    <n v="2.7148504999999998"/>
    <n v="1.0033398"/>
    <n v="1.0772679000000001"/>
    <n v="1.8746118000000001"/>
    <n v="0.68683479999999997"/>
    <n v="0.65446340000000003"/>
    <n v="1.3520342000000001"/>
    <n v="1.6326058999999999"/>
  </r>
  <r>
    <x v="0"/>
    <s v="PEST CONTROL"/>
    <s v="SC JOHNSON"/>
    <x v="2"/>
    <x v="5"/>
    <x v="3"/>
    <x v="7"/>
    <x v="0"/>
    <m/>
    <m/>
    <m/>
    <m/>
    <m/>
    <m/>
    <m/>
    <m/>
    <n v="95.320999999999998"/>
    <n v="42.005000000000003"/>
    <n v="42.005000000000003"/>
    <n v="42.005000000000003"/>
    <n v="42.38"/>
    <n v="42.283999999999999"/>
    <n v="68.906000000000006"/>
    <n v="76.834000000000003"/>
    <n v="78.790999999999997"/>
    <n v="60.09"/>
    <n v="60.09"/>
    <n v="60.09"/>
    <m/>
    <m/>
    <m/>
    <m/>
    <m/>
    <m/>
    <m/>
    <m/>
    <m/>
    <m/>
    <m/>
    <m/>
    <m/>
    <m/>
    <m/>
    <m/>
    <m/>
    <m/>
  </r>
  <r>
    <x v="0"/>
    <s v="PEST CONTROL"/>
    <s v="SC JOHNSON"/>
    <x v="2"/>
    <x v="5"/>
    <x v="3"/>
    <x v="7"/>
    <x v="1"/>
    <m/>
    <m/>
    <m/>
    <m/>
    <m/>
    <m/>
    <m/>
    <m/>
    <n v="0"/>
    <n v="0"/>
    <n v="0.5722372"/>
    <n v="0"/>
    <n v="0"/>
    <n v="0"/>
    <n v="0"/>
    <n v="0.51914400000000005"/>
    <n v="0"/>
    <n v="0"/>
    <n v="0"/>
    <n v="0"/>
    <n v="0"/>
    <n v="0.84614940000000005"/>
    <m/>
    <m/>
    <m/>
    <m/>
    <m/>
    <m/>
    <m/>
    <m/>
    <m/>
    <m/>
    <m/>
    <m/>
    <m/>
    <m/>
    <m/>
    <m/>
  </r>
  <r>
    <x v="0"/>
    <s v="PEST CONTROL"/>
    <s v="SC JOHNSON"/>
    <x v="3"/>
    <x v="0"/>
    <x v="0"/>
    <x v="8"/>
    <x v="0"/>
    <n v="500.95699999999999"/>
    <n v="597.82500000000005"/>
    <n v="384.15499999999997"/>
    <n v="93.114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EST CONTROL"/>
    <s v="SC JOHNSON"/>
    <x v="3"/>
    <x v="0"/>
    <x v="0"/>
    <x v="8"/>
    <x v="1"/>
    <n v="0"/>
    <n v="0"/>
    <n v="0"/>
    <n v="0"/>
    <n v="0"/>
    <n v="0.9432673000000000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EST CONTROL"/>
    <s v="SC JOHNSON"/>
    <x v="3"/>
    <x v="0"/>
    <x v="0"/>
    <x v="9"/>
    <x v="0"/>
    <n v="55.002000000000002"/>
    <n v="76.769000000000005"/>
    <n v="85.597999999999999"/>
    <n v="8.9870000000000001"/>
    <n v="8.9870000000000001"/>
    <n v="8.9870000000000001"/>
    <n v="8.9870000000000001"/>
    <m/>
    <n v="9.8620000000000001"/>
    <m/>
    <n v="9.8620000000000001"/>
    <n v="9.8620000000000001"/>
    <n v="9.8620000000000001"/>
    <n v="9.8620000000000001"/>
    <n v="11.92"/>
    <n v="36.820999999999998"/>
    <m/>
    <n v="11.863"/>
    <n v="110.172"/>
    <n v="48.628"/>
    <n v="48.628"/>
    <n v="48.628"/>
    <n v="49.456000000000003"/>
    <n v="154.292"/>
    <n v="314.24200000000002"/>
    <n v="314.24200000000002"/>
    <n v="254"/>
    <n v="330.86500000000001"/>
    <n v="350.95"/>
    <n v="357.125"/>
    <n v="427.09300000000002"/>
    <n v="452.49099999999999"/>
    <n v="300.97399999999999"/>
    <n v="342.94200000000001"/>
    <n v="424.89100000000002"/>
    <n v="323.012"/>
    <n v="283.86700000000002"/>
    <n v="376.233"/>
  </r>
  <r>
    <x v="0"/>
    <s v="PEST CONTROL"/>
    <s v="SC JOHNSON"/>
    <x v="3"/>
    <x v="0"/>
    <x v="0"/>
    <x v="9"/>
    <x v="1"/>
    <n v="0"/>
    <n v="0"/>
    <n v="0"/>
    <n v="0"/>
    <n v="0.49218679999999998"/>
    <n v="0"/>
    <n v="0.1393411"/>
    <n v="0"/>
    <n v="0"/>
    <n v="0"/>
    <n v="0.15620300000000001"/>
    <n v="0"/>
    <n v="0"/>
    <n v="0"/>
    <n v="0"/>
    <n v="0"/>
    <n v="0"/>
    <n v="0.58610930000000006"/>
    <n v="0"/>
    <n v="0"/>
    <n v="0.75486679999999995"/>
    <n v="0"/>
    <n v="0"/>
    <n v="0"/>
    <n v="0"/>
    <n v="0"/>
    <n v="0"/>
    <n v="0.27051180000000002"/>
    <n v="0"/>
    <n v="0"/>
    <n v="0.29640230000000001"/>
    <n v="0"/>
    <n v="0.39043299999999997"/>
    <n v="0.29640230000000001"/>
    <n v="0"/>
    <n v="0.99217569999999999"/>
    <n v="0.59261070000000005"/>
    <n v="0"/>
  </r>
  <r>
    <x v="0"/>
    <s v="PEST CONTROL"/>
    <s v="SC JOHNSON"/>
    <x v="3"/>
    <x v="0"/>
    <x v="0"/>
    <x v="10"/>
    <x v="0"/>
    <n v="2032.3810000000001"/>
    <n v="2235.5819999999999"/>
    <n v="2030.3620000000001"/>
    <n v="2398.0740000000001"/>
    <n v="3474.701"/>
    <n v="2515.9290000000001"/>
    <n v="3359.7289999999998"/>
    <n v="2718.2820000000002"/>
    <n v="2238.16"/>
    <n v="1835.722"/>
    <n v="1724.346"/>
    <n v="1921.326"/>
    <n v="1516.174"/>
    <n v="2513.71"/>
    <n v="1809.673"/>
    <n v="1749.174"/>
    <n v="1794.5809999999999"/>
    <n v="2061.6439999999998"/>
    <n v="1725.412"/>
    <n v="2300.5509999999999"/>
    <n v="2821.4250000000002"/>
    <n v="2525.5169999999998"/>
    <n v="1847.1859999999999"/>
    <n v="2522.5650000000001"/>
    <n v="2397.35"/>
    <n v="2667.1669999999999"/>
    <n v="3019.1060000000002"/>
    <n v="3350.9090000000001"/>
    <n v="5249.6360000000004"/>
    <n v="6221.8760000000002"/>
    <n v="5551.4210000000003"/>
    <n v="4716.8980000000001"/>
    <n v="4724.92"/>
    <n v="4713.3540000000003"/>
    <n v="4513.7269999999999"/>
    <n v="4324.8519999999999"/>
    <n v="3709.8890000000001"/>
    <n v="4956.1779999999999"/>
  </r>
  <r>
    <x v="0"/>
    <s v="PEST CONTROL"/>
    <s v="SC JOHNSON"/>
    <x v="3"/>
    <x v="0"/>
    <x v="0"/>
    <x v="10"/>
    <x v="1"/>
    <n v="0"/>
    <n v="0.69880520000000002"/>
    <n v="2.7557265000000002"/>
    <n v="0.7189603"/>
    <n v="3.7021980000000001"/>
    <n v="3.1077837000000001"/>
    <n v="2.0852634000000001"/>
    <n v="4.6435500999999997"/>
    <n v="5.1569399999999996"/>
    <n v="4.7956129000000001"/>
    <n v="4.3674165"/>
    <n v="2.422463"/>
    <n v="3.5862945000000002"/>
    <n v="1.4796023"/>
    <n v="1.8364571999999999"/>
    <n v="0.8325766"/>
    <n v="2.5867401999999999"/>
    <n v="2.8725662999999999"/>
    <n v="2.7514338999999999"/>
    <n v="4.6912833999999997"/>
    <n v="2.8111782999999999"/>
    <n v="2.8721497999999999"/>
    <n v="3.5880486999999999"/>
    <n v="3.1528470999999998"/>
    <n v="1.6768851"/>
    <n v="1.8270972999999999"/>
    <n v="0.5610927"/>
    <n v="2.1547356999999998"/>
    <n v="1.151764"/>
    <n v="4.7838234000000002"/>
    <n v="3.4044251999999999"/>
    <n v="2.1487378000000001"/>
    <n v="3.3772962"/>
    <n v="1.0826248000000001"/>
    <n v="2.6596451000000001"/>
    <n v="4.5151608999999997"/>
    <n v="3.8478471999999999"/>
    <n v="1.6809383"/>
  </r>
  <r>
    <x v="0"/>
    <s v="PEST CONTROL"/>
    <s v="SC JOHNSON"/>
    <x v="3"/>
    <x v="0"/>
    <x v="3"/>
    <x v="11"/>
    <x v="0"/>
    <n v="150.935"/>
    <n v="166.42"/>
    <n v="165.928"/>
    <n v="74.748000000000005"/>
    <n v="19.986999999999998"/>
    <n v="19.986999999999998"/>
    <n v="19.986999999999998"/>
    <n v="19.986999999999998"/>
    <n v="20.155000000000001"/>
    <n v="22.123999999999999"/>
    <n v="19.273"/>
    <n v="19.273"/>
    <n v="19.273"/>
    <n v="19.273"/>
    <n v="25.675999999999998"/>
    <n v="25.454000000000001"/>
    <n v="21.303999999999998"/>
    <n v="131.76499999999999"/>
    <n v="21.303999999999998"/>
    <n v="94.944999999999993"/>
    <n v="65.763000000000005"/>
    <n v="64.882999999999996"/>
    <n v="64.882999999999996"/>
    <n v="69.290000000000006"/>
    <n v="69.290000000000006"/>
    <n v="113.239"/>
    <n v="67.191000000000003"/>
    <n v="114.452"/>
    <n v="90.751000000000005"/>
    <n v="100.673"/>
    <n v="101.145"/>
    <n v="130.85300000000001"/>
    <n v="125.863"/>
    <n v="123.59699999999999"/>
    <n v="101.86"/>
    <n v="98.588999999999999"/>
    <n v="92.79"/>
    <n v="149.76499999999999"/>
  </r>
  <r>
    <x v="0"/>
    <s v="PEST CONTROL"/>
    <s v="SC JOHNSON"/>
    <x v="3"/>
    <x v="0"/>
    <x v="3"/>
    <x v="11"/>
    <x v="1"/>
    <n v="0"/>
    <n v="0"/>
    <n v="0.16597290000000001"/>
    <n v="0"/>
    <n v="0.26553209999999999"/>
    <n v="0.37321700000000002"/>
    <n v="0"/>
    <n v="0"/>
    <n v="0"/>
    <n v="0"/>
    <n v="0"/>
    <n v="0"/>
    <n v="0"/>
    <n v="0"/>
    <n v="0"/>
    <n v="0"/>
    <n v="0"/>
    <n v="0"/>
    <n v="0"/>
    <n v="0"/>
    <n v="0"/>
    <n v="0.77097530000000003"/>
    <n v="0"/>
    <n v="0"/>
    <n v="0"/>
    <n v="0"/>
    <n v="0.14529059999999999"/>
    <n v="0"/>
    <n v="0"/>
    <n v="0.64020750000000004"/>
    <n v="0"/>
    <n v="0"/>
    <n v="0.2572258"/>
    <n v="0"/>
    <n v="0"/>
    <n v="0"/>
    <n v="0"/>
    <n v="0"/>
  </r>
  <r>
    <x v="0"/>
    <s v="PEST CONTROL"/>
    <s v="SC JOHNSON"/>
    <x v="3"/>
    <x v="0"/>
    <x v="3"/>
    <x v="8"/>
    <x v="0"/>
    <n v="2083.0819999999999"/>
    <n v="1730.568"/>
    <n v="1866.9480000000001"/>
    <n v="1204.3620000000001"/>
    <n v="3062.0529999999999"/>
    <n v="3312.08"/>
    <n v="3934.28"/>
    <n v="3449.8679999999999"/>
    <n v="2605.8409999999999"/>
    <n v="3092.5050000000001"/>
    <n v="2681.3519999999999"/>
    <n v="2845.0909999999999"/>
    <n v="2633.0940000000001"/>
    <n v="2818.6619999999998"/>
    <n v="3007.1880000000001"/>
    <n v="3083.4459999999999"/>
    <n v="4271.107"/>
    <n v="4238.9260000000004"/>
    <n v="4404.8100000000004"/>
    <n v="3502.8290000000002"/>
    <n v="3223.1329999999998"/>
    <n v="3322.864"/>
    <n v="3785.3339999999998"/>
    <n v="4506.7719999999999"/>
    <n v="4866.0169999999998"/>
    <n v="4656.42"/>
    <n v="4873.3190000000004"/>
    <n v="3607.3220000000001"/>
    <n v="3945.8760000000002"/>
    <n v="4271.8320000000003"/>
    <n v="5178.6949999999997"/>
    <n v="3478.2959999999998"/>
    <n v="2938.1419999999998"/>
    <n v="2410.7640000000001"/>
    <n v="2493.9389999999999"/>
    <n v="2105.6819999999998"/>
    <n v="2438.855"/>
    <n v="4396.7619999999997"/>
  </r>
  <r>
    <x v="0"/>
    <s v="PEST CONTROL"/>
    <s v="SC JOHNSON"/>
    <x v="3"/>
    <x v="0"/>
    <x v="3"/>
    <x v="8"/>
    <x v="1"/>
    <n v="0"/>
    <n v="2.1133247000000002"/>
    <n v="3.9137431"/>
    <n v="1.0425571"/>
    <n v="4.3936054000000002"/>
    <n v="2.4446287999999998"/>
    <n v="1.7050323000000001"/>
    <n v="4.5315249"/>
    <n v="6.5494225000000004"/>
    <n v="3.2071092000000001"/>
    <n v="2.6687338"/>
    <n v="0.69055730000000004"/>
    <n v="2.9873021999999998"/>
    <n v="1.5767604"/>
    <n v="1.0645651"/>
    <n v="3.4785949"/>
    <n v="4.9535795"/>
    <n v="3.2848149000000002"/>
    <n v="3.0952052000000001"/>
    <n v="6.1861622000000001"/>
    <n v="4.8712909"/>
    <n v="6.2150360999999998"/>
    <n v="1.2229284"/>
    <n v="2.8489586999999998"/>
    <n v="1.1635987999999999"/>
    <n v="1.8161376"/>
    <n v="3.843661"/>
    <n v="1.0378403"/>
    <n v="2.2355719000000001"/>
    <n v="3.3277646999999999"/>
    <n v="1.6745091999999999"/>
    <n v="3.1652828"/>
    <n v="4.6043288999999996"/>
    <n v="3.8988046000000001"/>
    <n v="4.5128215000000003"/>
    <n v="0.49372700000000003"/>
    <n v="3.2550488999999998"/>
    <n v="1.3082777999999999"/>
  </r>
  <r>
    <x v="0"/>
    <s v="PEST CONTROL"/>
    <s v="SC JOHNSON"/>
    <x v="3"/>
    <x v="0"/>
    <x v="3"/>
    <x v="9"/>
    <x v="0"/>
    <n v="971.02200000000005"/>
    <n v="847.077"/>
    <n v="844.178"/>
    <n v="846.19100000000003"/>
    <n v="1103.902"/>
    <n v="889.72199999999998"/>
    <n v="975.75199999999995"/>
    <n v="909.54300000000001"/>
    <n v="878.4"/>
    <n v="780.226"/>
    <n v="740.15899999999999"/>
    <n v="728.20600000000002"/>
    <n v="647.67499999999995"/>
    <n v="914.58500000000004"/>
    <n v="1604.221"/>
    <n v="1254.9480000000001"/>
    <n v="1203.8779999999999"/>
    <n v="1385.721"/>
    <n v="1221.4000000000001"/>
    <n v="1032.598"/>
    <n v="966.52"/>
    <n v="987.18899999999996"/>
    <n v="991.94100000000003"/>
    <n v="861.08100000000002"/>
    <n v="1084.548"/>
    <n v="1221.8610000000001"/>
    <n v="2006.6289999999999"/>
    <n v="1902.4169999999999"/>
    <n v="1493.289"/>
    <n v="1742.3050000000001"/>
    <n v="1806.383"/>
    <n v="2026.963"/>
    <n v="1567.789"/>
    <n v="1624.55"/>
    <n v="1836.923"/>
    <n v="1694.18"/>
    <n v="1631.056"/>
    <n v="1719.7950000000001"/>
  </r>
  <r>
    <x v="0"/>
    <s v="PEST CONTROL"/>
    <s v="SC JOHNSON"/>
    <x v="3"/>
    <x v="0"/>
    <x v="3"/>
    <x v="9"/>
    <x v="1"/>
    <n v="0"/>
    <n v="0.85297769999999995"/>
    <n v="0.65290789999999999"/>
    <n v="0.86233610000000005"/>
    <n v="0.54015950000000001"/>
    <n v="0.40487329999999999"/>
    <n v="0.60692550000000001"/>
    <n v="0.45797539999999998"/>
    <n v="0.77765819999999997"/>
    <n v="0.15620300000000001"/>
    <n v="1.5434976"/>
    <n v="0.59409449999999997"/>
    <n v="0.17276030000000001"/>
    <n v="0.38760440000000002"/>
    <n v="0.83595529999999996"/>
    <n v="0.31741269999999999"/>
    <n v="1.0051557"/>
    <n v="0.77310420000000002"/>
    <n v="0.57576139999999998"/>
    <n v="0.93685770000000002"/>
    <n v="1.0409368999999999"/>
    <n v="0.46036830000000001"/>
    <n v="0.60317560000000003"/>
    <n v="1.1307103000000001"/>
    <n v="0"/>
    <n v="1.1416685"/>
    <n v="0.76438410000000001"/>
    <n v="0.61909409999999998"/>
    <n v="1.1307099"/>
    <n v="1.7860050000000001"/>
    <n v="1.6700018999999999"/>
    <n v="0.96927410000000003"/>
    <n v="1.9477800999999999"/>
    <n v="1.6174164"/>
    <n v="0.9488337"/>
    <n v="2.2068870999999999"/>
    <n v="1.5812298"/>
    <n v="1.3358783999999999"/>
  </r>
  <r>
    <x v="0"/>
    <s v="PEST CONTROL"/>
    <s v="SC JOHNSON"/>
    <x v="3"/>
    <x v="0"/>
    <x v="3"/>
    <x v="10"/>
    <x v="0"/>
    <n v="5603.5150000000003"/>
    <n v="7069.1139999999996"/>
    <n v="7432.36"/>
    <n v="6385.45"/>
    <n v="5756.2939999999999"/>
    <n v="5751.0150000000003"/>
    <n v="6251.6390000000001"/>
    <n v="6031.6210000000001"/>
    <n v="5354.1970000000001"/>
    <n v="6726.134"/>
    <n v="6534.7219999999998"/>
    <n v="6903.3909999999996"/>
    <n v="6711.2969999999996"/>
    <n v="7179.3969999999999"/>
    <n v="8383.8179999999993"/>
    <n v="10003.048000000001"/>
    <n v="12370.605"/>
    <n v="11875.03"/>
    <n v="11574.007"/>
    <n v="8789.5259999999998"/>
    <n v="9090.6479999999992"/>
    <n v="9091.9509999999991"/>
    <n v="9902.9419999999991"/>
    <n v="9115.0509999999995"/>
    <n v="8922.7909999999993"/>
    <n v="7636.0550000000003"/>
    <n v="7812.6940000000004"/>
    <n v="8757.0750000000007"/>
    <n v="8498.3469999999998"/>
    <n v="10027.737999999999"/>
    <n v="9939.8310000000001"/>
    <n v="10820.769"/>
    <n v="9746.2039999999997"/>
    <n v="9220.4480000000003"/>
    <n v="8606.6859999999997"/>
    <n v="9313.4130000000005"/>
    <n v="8954.768"/>
    <n v="10085.422"/>
  </r>
  <r>
    <x v="0"/>
    <s v="PEST CONTROL"/>
    <s v="SC JOHNSON"/>
    <x v="3"/>
    <x v="0"/>
    <x v="3"/>
    <x v="10"/>
    <x v="1"/>
    <n v="0"/>
    <n v="6.2429515000000002"/>
    <n v="1.5592315000000001"/>
    <n v="3.0726844999999998"/>
    <n v="4.8530705000000003"/>
    <n v="7.1600777000000004"/>
    <n v="6.1147719"/>
    <n v="3.6684397999999998"/>
    <n v="8.2806333999999993"/>
    <n v="10.193726"/>
    <n v="3.9595552999999999"/>
    <n v="4.8057644000000002"/>
    <n v="3.9778191999999999"/>
    <n v="2.7921081000000001"/>
    <n v="5.1394640999999996"/>
    <n v="3.1289036000000001"/>
    <n v="5.3994011000000004"/>
    <n v="5.3134610999999996"/>
    <n v="7.7748388999999998"/>
    <n v="7.3453685999999996"/>
    <n v="9.2653969000000007"/>
    <n v="5.4398816999999999"/>
    <n v="7.1885650999999999"/>
    <n v="6.7286178999999997"/>
    <n v="4.2194877999999996"/>
    <n v="3.8245374000000001"/>
    <n v="3.8163911000000001"/>
    <n v="5.4249248000000003"/>
    <n v="1.7522905"/>
    <n v="6.5091172000000004"/>
    <n v="5.2227918000000004"/>
    <n v="5.0992930000000003"/>
    <n v="7.9111121000000004"/>
    <n v="7.4118772999999996"/>
    <n v="8.1030870000000004"/>
    <n v="5.8511046999999996"/>
    <n v="3.2457410000000002"/>
    <n v="6.6686040000000002"/>
  </r>
  <r>
    <x v="0"/>
    <s v="PEST CONTROL"/>
    <s v="SC JOHNSON"/>
    <x v="4"/>
    <x v="6"/>
    <x v="3"/>
    <x v="0"/>
    <x v="0"/>
    <n v="1427.383"/>
    <n v="950.851"/>
    <n v="1020.817"/>
    <n v="1692.28"/>
    <n v="1042.693"/>
    <n v="2171.5050000000001"/>
    <n v="1596.3610000000001"/>
    <n v="1620.6210000000001"/>
    <n v="1511.1759999999999"/>
    <n v="1212.5840000000001"/>
    <n v="1178.442"/>
    <n v="1073.011"/>
    <n v="1834.287"/>
    <n v="1938.931"/>
    <n v="2171.915"/>
    <n v="1470.335"/>
    <n v="2088.375"/>
    <n v="1582.56"/>
    <n v="1101.0899999999999"/>
    <n v="997.28399999999999"/>
    <n v="902.23599999999999"/>
    <n v="854.47"/>
    <n v="743.79600000000005"/>
    <n v="776.63199999999995"/>
    <n v="676.78300000000002"/>
    <n v="689.53200000000004"/>
    <n v="808.42399999999998"/>
    <n v="823.42899999999997"/>
    <n v="1125.49"/>
    <n v="1074.7819999999999"/>
    <n v="874.16899999999998"/>
    <n v="967.38900000000001"/>
    <n v="509.291"/>
    <n v="439.75900000000001"/>
    <n v="541.87099999999998"/>
    <n v="622.87199999999996"/>
    <n v="591.12400000000002"/>
    <n v="598.76400000000001"/>
  </r>
  <r>
    <x v="0"/>
    <s v="PEST CONTROL"/>
    <s v="SC JOHNSON"/>
    <x v="4"/>
    <x v="6"/>
    <x v="3"/>
    <x v="0"/>
    <x v="1"/>
    <n v="0"/>
    <n v="1.2100580999999999"/>
    <n v="1.7194187999999999"/>
    <n v="0.82864760000000004"/>
    <n v="0.34450999999999998"/>
    <n v="1.138917"/>
    <n v="0.1393411"/>
    <n v="1.0826074999999999"/>
    <n v="1.635907"/>
    <n v="2.4244416000000002"/>
    <n v="0.5940955"/>
    <n v="0.91660790000000003"/>
    <n v="2.7376296999999998"/>
    <n v="0"/>
    <n v="0.77559060000000002"/>
    <n v="0.94853670000000001"/>
    <n v="0.57576210000000005"/>
    <n v="1.5881487999999999"/>
    <n v="1.61212"/>
    <n v="3.5257187999999999"/>
    <n v="1.1482306"/>
    <n v="1.3416918"/>
    <n v="0.20895569999999999"/>
    <n v="0"/>
    <n v="0.17587249999999999"/>
    <n v="0.61909369999999997"/>
    <n v="0.14529059999999999"/>
    <n v="0.94887969999999999"/>
    <n v="1.1280047"/>
    <n v="2.5466335"/>
    <n v="1.1619991000000001"/>
    <n v="1.4138765"/>
    <n v="1.6509999"/>
    <n v="2.3405971000000001"/>
    <n v="1.0011435"/>
    <n v="0"/>
    <n v="0.98861909999999997"/>
    <n v="0.68876470000000001"/>
  </r>
  <r>
    <x v="1"/>
    <s v="PEST CONTROL"/>
    <s v="SC JOHNSON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0"/>
    <x v="0"/>
    <x v="0"/>
    <x v="0"/>
    <x v="1"/>
    <n v="0"/>
    <n v="0.3106912"/>
    <n v="2.0184768000000002"/>
    <n v="0.62669600000000003"/>
    <n v="2.9305702"/>
    <n v="3.4017624"/>
    <n v="1.4556941000000001"/>
    <n v="6.0356534000000002"/>
    <n v="19.495692099999999"/>
    <n v="29.5383356"/>
    <n v="10.3246789"/>
    <n v="8.9635189999999998"/>
    <n v="6.1880381"/>
    <n v="6.8867539999999998"/>
    <n v="0.30609310000000001"/>
    <n v="2.1383315000000001"/>
    <n v="0.69702370000000002"/>
    <n v="0.87463299999999999"/>
    <n v="2.8212709"/>
    <n v="1.4619797999999999"/>
    <n v="14.277383800000001"/>
    <n v="37.080005399999997"/>
    <n v="21.332935899999999"/>
    <n v="10.8523969"/>
    <n v="11.143701800000001"/>
    <n v="4.6638071999999999"/>
    <n v="0.84915589999999996"/>
    <n v="0.55716509999999997"/>
    <n v="2.9515289999999998"/>
    <n v="4.3072664999999999"/>
    <n v="1.2495696000000001"/>
    <n v="1.8966441000000001"/>
    <n v="28.3346479"/>
    <n v="15.4500759"/>
    <n v="24.117297000000001"/>
    <n v="15.204358600000001"/>
    <n v="4.8644359000000001"/>
    <n v="4.2830523999999999"/>
  </r>
  <r>
    <x v="1"/>
    <s v="PEST CONTROL"/>
    <s v="SC JOHNSON"/>
    <x v="0"/>
    <x v="0"/>
    <x v="0"/>
    <x v="1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0"/>
    <x v="0"/>
    <x v="0"/>
    <x v="1"/>
    <x v="1"/>
    <n v="0"/>
    <n v="0"/>
    <n v="1.5871439000000001"/>
    <n v="4.2301979999999997"/>
    <n v="2.1593675000000001"/>
    <n v="1.5556540000000001"/>
    <n v="3.8786727000000001"/>
    <n v="0.6172687"/>
    <n v="1.5731633"/>
    <n v="0.30769419999999997"/>
    <n v="0"/>
    <n v="0"/>
    <n v="0"/>
    <n v="0"/>
    <n v="0.30609310000000001"/>
    <n v="0"/>
    <n v="0.29176380000000002"/>
    <n v="0"/>
    <n v="0.29184549999999998"/>
    <n v="0"/>
    <n v="1.9536423999999999"/>
    <m/>
    <m/>
    <n v="0"/>
    <n v="0.28841299999999997"/>
    <n v="0.2855625"/>
    <n v="0.28305200000000003"/>
    <n v="0.27858260000000001"/>
    <n v="0"/>
    <n v="0.27788819999999997"/>
    <m/>
    <m/>
    <m/>
    <m/>
    <m/>
    <m/>
    <m/>
    <m/>
  </r>
  <r>
    <x v="1"/>
    <s v="PEST CONTROL"/>
    <s v="SC JOHNSON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0"/>
    <x v="0"/>
    <x v="1"/>
    <x v="0"/>
    <x v="1"/>
    <n v="0"/>
    <n v="0.6213824"/>
    <n v="0"/>
    <n v="0"/>
    <n v="2.3651244"/>
    <n v="0.61536950000000001"/>
    <n v="0"/>
    <n v="0.6172687"/>
    <n v="11.991804500000001"/>
    <n v="39.247626099999998"/>
    <n v="15.5896344"/>
    <n v="9.3056052000000005"/>
    <n v="9.9486766000000006"/>
    <n v="5.4550308000000003"/>
    <n v="0"/>
    <n v="1.2028303"/>
    <n v="2.0423466000000001"/>
    <n v="1.1661774"/>
    <n v="1.1673822"/>
    <n v="2.9403337000000001"/>
    <n v="8.3514035999999994"/>
    <n v="32.6722131"/>
    <n v="20.850562700000001"/>
    <n v="13.5976719"/>
    <n v="11.5924724"/>
    <n v="2.4112900000000002"/>
    <n v="0"/>
    <n v="0.83574769999999998"/>
    <n v="0"/>
    <n v="0"/>
    <n v="1.9437749"/>
    <n v="0.55783649999999996"/>
    <n v="8.5470775999999997"/>
    <n v="11.327734400000001"/>
    <n v="30.859055300000001"/>
    <n v="15.426279900000001"/>
    <n v="4.5542677999999999"/>
    <n v="1.5697355"/>
  </r>
  <r>
    <x v="1"/>
    <s v="PEST CONTROL"/>
    <s v="SC JOHNSON"/>
    <x v="0"/>
    <x v="0"/>
    <x v="1"/>
    <x v="12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0"/>
    <x v="0"/>
    <x v="1"/>
    <x v="12"/>
    <x v="1"/>
    <n v="0"/>
    <n v="0"/>
    <n v="0"/>
    <n v="0"/>
    <n v="0"/>
    <n v="1.2307389"/>
    <n v="0"/>
    <n v="4.1665637999999996"/>
    <n v="0"/>
    <n v="0"/>
    <n v="0"/>
    <n v="0"/>
    <n v="0"/>
    <n v="0"/>
    <n v="0"/>
    <n v="1.2028303"/>
    <n v="0"/>
    <n v="0.29154429999999998"/>
    <n v="0"/>
    <n v="1.4619797999999999"/>
    <n v="0"/>
    <n v="0.29171360000000002"/>
    <m/>
    <m/>
    <m/>
    <n v="0"/>
    <n v="0.28305200000000003"/>
    <n v="0"/>
    <n v="0.54912170000000005"/>
    <n v="0.5557763"/>
    <n v="0.27768209999999999"/>
    <n v="0"/>
    <n v="1.9509422000000001"/>
    <n v="0.83566620000000003"/>
    <n v="1.3967924"/>
    <n v="1.5624186"/>
    <n v="0"/>
    <n v="0.2906918"/>
  </r>
  <r>
    <x v="1"/>
    <s v="PEST CONTROL"/>
    <s v="SC JOHNSON"/>
    <x v="0"/>
    <x v="0"/>
    <x v="1"/>
    <x v="2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0"/>
    <x v="0"/>
    <x v="1"/>
    <x v="2"/>
    <x v="1"/>
    <n v="0"/>
    <n v="0"/>
    <n v="0"/>
    <n v="0.62669600000000003"/>
    <n v="2.2108838"/>
    <n v="3.7263698000000001"/>
    <n v="4.3744636999999997"/>
    <n v="10.562393500000001"/>
    <n v="10.2205005"/>
    <n v="6.2221921"/>
    <n v="6.4957323000000002"/>
    <n v="1.5395416"/>
    <n v="1.8461652"/>
    <n v="1.2273666000000001"/>
    <n v="1.2583487"/>
    <n v="2.5091038999999999"/>
    <n v="5.0087090999999999"/>
    <n v="11.1273728"/>
    <n v="12.241461299999999"/>
    <n v="17.1215373"/>
    <n v="14.032995400000001"/>
    <n v="16.238820100000002"/>
    <n v="3.2955904"/>
    <n v="3.4473942000000002"/>
    <n v="3.1725430999999999"/>
    <n v="1.9989376999999999"/>
    <n v="3.9310258999999999"/>
    <n v="1.9188768"/>
    <n v="0.82368249999999998"/>
    <n v="6.1135394999999999"/>
    <n v="4.4795680999999998"/>
    <n v="2.8820622"/>
    <n v="31.585474999999999"/>
    <n v="14.6703993"/>
    <n v="10.429290200000001"/>
    <n v="2.9494992"/>
    <n v="3.7499237000000001"/>
    <n v="3.3138860999999999"/>
  </r>
  <r>
    <x v="1"/>
    <s v="PEST CONTROL"/>
    <s v="SC JOHNSON"/>
    <x v="0"/>
    <x v="0"/>
    <x v="1"/>
    <x v="3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0"/>
    <x v="0"/>
    <x v="1"/>
    <x v="3"/>
    <x v="1"/>
    <n v="0"/>
    <n v="1.8641471999999999"/>
    <n v="0.93160469999999995"/>
    <n v="4.7002199999999998"/>
    <n v="2.6908804000000002"/>
    <n v="2.7691626"/>
    <n v="4.8868631000000002"/>
    <n v="7.3044492999999999"/>
    <n v="17.035496599999998"/>
    <n v="37.640847000000001"/>
    <n v="13.093926700000001"/>
    <n v="7.4923330999999997"/>
    <n v="8.6837456999999993"/>
    <n v="2.1819510000000002"/>
    <n v="0"/>
    <n v="0.60141509999999998"/>
    <n v="1.7505828000000001"/>
    <n v="3.9034871999999998"/>
    <n v="0.29184549999999998"/>
    <n v="7.9596026000000002"/>
    <n v="10.0445408"/>
    <n v="27.421368600000001"/>
    <n v="18.423070599999999"/>
    <n v="9.8951705000000008"/>
    <n v="9.6456845999999992"/>
    <n v="5.5524778000000001"/>
    <n v="1.4152598999999999"/>
    <n v="0.55716509999999997"/>
    <n v="0.82368249999999998"/>
    <n v="1.3894408"/>
    <n v="0.83304639999999996"/>
    <n v="1.3945912"/>
    <n v="5.8528264999999999"/>
    <n v="19.9440104"/>
    <n v="23.745470900000001"/>
    <n v="15.661799999999999"/>
    <n v="4.5251986000000004"/>
    <n v="2.7325024999999998"/>
  </r>
  <r>
    <x v="1"/>
    <s v="PEST CONTROL"/>
    <s v="SC JOHNSON"/>
    <x v="1"/>
    <x v="1"/>
    <x v="2"/>
    <x v="4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1"/>
    <x v="1"/>
    <x v="2"/>
    <x v="4"/>
    <x v="1"/>
    <n v="0"/>
    <n v="0"/>
    <n v="0.3105349"/>
    <m/>
    <m/>
    <m/>
    <m/>
    <m/>
    <m/>
    <m/>
    <m/>
    <m/>
    <m/>
    <m/>
    <m/>
    <m/>
    <m/>
    <m/>
    <m/>
    <m/>
    <m/>
    <m/>
    <n v="0"/>
    <n v="0"/>
    <n v="0"/>
    <n v="0"/>
    <n v="0"/>
    <n v="1.6714954"/>
    <n v="0"/>
    <m/>
    <m/>
    <m/>
    <m/>
    <m/>
    <m/>
    <m/>
    <m/>
    <m/>
  </r>
  <r>
    <x v="1"/>
    <s v="PEST CONTROL"/>
    <s v="SC JOHNSON"/>
    <x v="1"/>
    <x v="1"/>
    <x v="3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1"/>
    <x v="1"/>
    <x v="3"/>
    <x v="0"/>
    <x v="1"/>
    <n v="0"/>
    <n v="0"/>
    <n v="0"/>
    <n v="0.94004399999999999"/>
    <n v="1.7481622000000001"/>
    <n v="0.30768469999999998"/>
    <n v="1.7429576"/>
    <n v="4.4751981000000001"/>
    <n v="2.1470351000000001"/>
    <n v="3.4529443"/>
    <n v="4.0000245999999997"/>
    <n v="2.8395305"/>
    <n v="3.2821739999999999"/>
    <n v="0.6477427"/>
    <n v="0"/>
    <n v="0.60141509999999998"/>
    <n v="0.58352760000000004"/>
    <n v="1.1661774"/>
    <n v="1.4592277"/>
    <n v="0.87718790000000002"/>
    <n v="3.2558753"/>
    <n v="1.4585679"/>
    <n v="4.4047305999999997"/>
    <n v="9.983079"/>
    <n v="2.0188910999999998"/>
    <n v="3.9264847999999999"/>
    <n v="1.1322079"/>
    <n v="0"/>
    <n v="1.3041640000000001"/>
    <n v="0.97260860000000005"/>
    <n v="2.7212849000000001"/>
    <n v="4.4069082000000002"/>
    <n v="5.5183793000000003"/>
    <n v="5.8496636000000004"/>
    <n v="7.2074487999999999"/>
    <n v="8.4084161999999996"/>
    <n v="8.2751222999999996"/>
    <n v="1.1627670000000001"/>
  </r>
  <r>
    <x v="1"/>
    <s v="PEST CONTROL"/>
    <s v="SC JOHNSON"/>
    <x v="1"/>
    <x v="1"/>
    <x v="3"/>
    <x v="4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1"/>
    <x v="1"/>
    <x v="3"/>
    <x v="4"/>
    <x v="1"/>
    <n v="0"/>
    <n v="3.6764089000000002"/>
    <n v="1.3110782999999999"/>
    <n v="0.94004399999999999"/>
    <n v="2.1593675000000001"/>
    <n v="3.1451533999999999"/>
    <n v="2.1870780999999999"/>
    <n v="5.5896768000000003"/>
    <n v="5.9276571999999996"/>
    <n v="16.4785629"/>
    <n v="17.333337400000001"/>
    <n v="11.1872329"/>
    <n v="7.4871230000000004"/>
    <n v="7.7051005999999997"/>
    <n v="4.3192795999999998"/>
    <n v="0.60141509999999998"/>
    <n v="1.8153543999999999"/>
    <n v="4.6970708999999999"/>
    <n v="7.0366879000000004"/>
    <n v="6.8388489000000003"/>
    <n v="15.710015800000001"/>
    <n v="14.9745334"/>
    <n v="13.502689699999999"/>
    <n v="24.322515200000002"/>
    <n v="12.3694571"/>
    <n v="4.5370175000000001"/>
    <n v="7.0445976999999997"/>
    <n v="4.0238467"/>
    <n v="0.27456079999999999"/>
    <n v="8.0640365000000003"/>
    <n v="10.366707"/>
    <n v="7.3447541000000003"/>
    <n v="20.661034900000001"/>
    <n v="14.8561958"/>
    <n v="15.0847993"/>
    <n v="15.605668700000001"/>
    <n v="8.5756975999999998"/>
    <n v="8.2850058000000004"/>
  </r>
  <r>
    <x v="1"/>
    <s v="PEST CONTROL"/>
    <s v="SC JOHNSON"/>
    <x v="1"/>
    <x v="1"/>
    <x v="3"/>
    <x v="5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1"/>
    <x v="1"/>
    <x v="3"/>
    <x v="5"/>
    <x v="1"/>
    <n v="0"/>
    <n v="3.1413986999999999"/>
    <n v="0"/>
    <n v="0.95226460000000002"/>
    <n v="2.4678485999999999"/>
    <n v="0.30768469999999998"/>
    <n v="0.61512529999999999"/>
    <n v="3.5492951000000001"/>
    <n v="0.30671929999999997"/>
    <n v="8.1366654999999994"/>
    <n v="7.3846607999999998"/>
    <n v="2.4974444"/>
    <n v="2.1880134999999998"/>
    <n v="1.8410499"/>
    <n v="0.30609310000000001"/>
    <n v="0"/>
    <n v="0.58352760000000004"/>
    <n v="4.6647093999999996"/>
    <n v="6.7124474999999997"/>
    <n v="7.6022946999999998"/>
    <n v="4.3954756000000001"/>
    <n v="7.1306468000000001"/>
    <n v="7.9726144000000003"/>
    <n v="5.6738362999999996"/>
    <n v="7.9152066000000003"/>
    <n v="1.1422501"/>
    <n v="4.2457796999999999"/>
    <n v="1.6714954"/>
    <n v="0.27456079999999999"/>
    <n v="2.4454158000000001"/>
    <n v="6.0534705000000004"/>
    <n v="4.1837736999999997"/>
    <n v="8.5841455"/>
    <n v="6.8711263000000002"/>
    <n v="5.3078111000000003"/>
    <n v="5.7867356000000001"/>
    <n v="9.2925435000000007"/>
    <n v="3.3138860999999999"/>
  </r>
  <r>
    <x v="1"/>
    <s v="PEST CONTROL"/>
    <s v="SC JOHNSON"/>
    <x v="1"/>
    <x v="2"/>
    <x v="3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1"/>
    <x v="2"/>
    <x v="3"/>
    <x v="0"/>
    <x v="1"/>
    <n v="0"/>
    <n v="1.5879426999999999"/>
    <n v="0"/>
    <n v="0.31334800000000002"/>
    <n v="2.0566433000000002"/>
    <n v="4.9229557000000002"/>
    <n v="3.2294079"/>
    <n v="4.6810573"/>
    <n v="6.8827810999999999"/>
    <n v="16.1025606"/>
    <n v="9.6409824000000004"/>
    <n v="6.1239885000000003"/>
    <n v="5.2991095000000001"/>
    <n v="2.1478915000000001"/>
    <n v="0.61218620000000001"/>
    <n v="2.1049530000000001"/>
    <n v="3.6146617000000001"/>
    <n v="0.87463299999999999"/>
    <n v="1.4592277"/>
    <n v="7.5049269000000001"/>
    <n v="8.9864032999999992"/>
    <n v="14.5696349"/>
    <n v="11.396683299999999"/>
    <n v="5.0113620000000001"/>
    <n v="11.536520299999999"/>
    <n v="18.4262078"/>
    <n v="15.504455200000001"/>
    <n v="5.8502340000000004"/>
    <n v="5.2166560000000004"/>
    <n v="3.0567698000000001"/>
    <n v="3.5543312999999999"/>
    <n v="2.3242257"/>
    <n v="4.6822612000000001"/>
    <n v="0.83566620000000003"/>
    <n v="1.0615622"/>
    <n v="3.9236960999999999"/>
    <n v="2.2287336999999998"/>
    <n v="2.0833878000000001"/>
  </r>
  <r>
    <x v="1"/>
    <s v="PEST CONTROL"/>
    <s v="SC JOHNSON"/>
    <x v="1"/>
    <x v="3"/>
    <x v="2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1"/>
    <x v="3"/>
    <x v="2"/>
    <x v="0"/>
    <x v="1"/>
    <n v="0"/>
    <n v="2.5200163"/>
    <n v="0.93160469999999995"/>
    <n v="4.2342715000000002"/>
    <n v="0"/>
    <n v="6.7007580999999998"/>
    <n v="1.2302506"/>
    <n v="1.5774302"/>
    <n v="5.2482739"/>
    <n v="5.5726497000000004"/>
    <n v="3.3846362000000001"/>
    <n v="4.0369859000000003"/>
    <n v="1.5384709999999999"/>
    <n v="1.5342081999999999"/>
    <n v="0"/>
    <n v="11.460266000000001"/>
    <n v="9.1581738999999995"/>
    <n v="22.7244235"/>
    <n v="7.1989539999999996"/>
    <n v="5.4581552000000002"/>
    <n v="2.3442536"/>
    <n v="3.4034224000000002"/>
    <n v="0.86809829999999999"/>
    <n v="1.9391592"/>
    <n v="0.86523899999999998"/>
    <n v="1.1422501"/>
    <n v="0.56610400000000005"/>
    <n v="1.6714954"/>
    <n v="0.27456079999999999"/>
    <n v="1.3894408"/>
    <n v="0"/>
    <n v="0"/>
    <n v="0"/>
    <n v="0"/>
    <n v="1.3967924"/>
    <n v="0"/>
    <n v="1.938042"/>
    <n v="0"/>
  </r>
  <r>
    <x v="1"/>
    <s v="PEST CONTROL"/>
    <s v="SC JOHNSON"/>
    <x v="1"/>
    <x v="4"/>
    <x v="2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1"/>
    <x v="4"/>
    <x v="2"/>
    <x v="0"/>
    <x v="1"/>
    <n v="0"/>
    <n v="0"/>
    <n v="0"/>
    <n v="1.2533920000000001"/>
    <n v="0"/>
    <n v="0"/>
    <n v="0"/>
    <n v="1.2345374"/>
    <n v="0"/>
    <n v="0"/>
    <n v="0"/>
    <n v="0"/>
    <n v="0"/>
    <n v="0"/>
    <n v="0"/>
    <n v="0"/>
    <n v="0.29176380000000002"/>
    <n v="0.6154501"/>
    <n v="0.58369110000000002"/>
    <n v="4.0286314000000001"/>
    <n v="1.1721268"/>
    <n v="3.5005630000000001"/>
    <n v="4.1636886000000004"/>
    <n v="4.1495135000000003"/>
    <n v="3.1725430999999999"/>
    <n v="1.5546024000000001"/>
    <n v="0.56610400000000005"/>
    <n v="1.8804323999999999"/>
    <n v="0.27456079999999999"/>
    <n v="1.1115526"/>
    <n v="2.3880663000000002"/>
    <n v="0.55783649999999996"/>
    <n v="1.9509422000000001"/>
    <n v="6.1282190999999999"/>
    <n v="4.1903772000000004"/>
    <n v="5.4973989000000003"/>
    <n v="6.3661494999999997"/>
    <n v="1.1627670000000001"/>
  </r>
  <r>
    <x v="1"/>
    <s v="PEST CONTROL"/>
    <s v="SC JOHNSON"/>
    <x v="1"/>
    <x v="4"/>
    <x v="3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1"/>
    <x v="4"/>
    <x v="3"/>
    <x v="0"/>
    <x v="1"/>
    <n v="0"/>
    <n v="0"/>
    <n v="0"/>
    <n v="0"/>
    <n v="0"/>
    <n v="0"/>
    <n v="0"/>
    <n v="0.30863439999999998"/>
    <n v="1.260923"/>
    <n v="2.1538594"/>
    <n v="2.8034018999999999"/>
    <n v="4.3448943"/>
    <n v="1.2307767999999999"/>
    <n v="3.3752580999999999"/>
    <n v="1.2243724"/>
    <n v="1.3062737"/>
    <n v="1.5723151"/>
    <n v="4.4865757999999998"/>
    <n v="1.4592277"/>
    <n v="1.2020398000000001"/>
    <n v="3.8094122000000001"/>
    <n v="12.673496699999999"/>
    <n v="10.8031934"/>
    <n v="14.2279704"/>
    <n v="5.1914341000000004"/>
    <n v="3.3553597000000002"/>
    <n v="1.3444969"/>
    <n v="0.27858260000000001"/>
    <n v="0.27456079999999999"/>
    <n v="0.83366450000000003"/>
    <n v="0.27768209999999999"/>
    <n v="0"/>
    <n v="3.5303692"/>
    <n v="4.7724899000000001"/>
    <n v="3.9110187000000001"/>
    <n v="7.0598175000000003"/>
    <n v="3.6821925000000002"/>
    <n v="0"/>
  </r>
  <r>
    <x v="1"/>
    <s v="PEST CONTROL"/>
    <s v="SC JOHNSON"/>
    <x v="2"/>
    <x v="0"/>
    <x v="2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2"/>
    <x v="0"/>
    <x v="2"/>
    <x v="0"/>
    <x v="1"/>
    <n v="0"/>
    <n v="0.3106912"/>
    <n v="0"/>
    <n v="1.723414"/>
    <n v="0.61696209999999996"/>
    <n v="1.692266"/>
    <n v="0"/>
    <n v="0.92590309999999998"/>
    <n v="4.9075087999999996"/>
    <n v="9.9486766000000006"/>
    <n v="5.2308013999999998"/>
    <n v="6.2606998000000003"/>
    <n v="3.7264845000000002"/>
    <n v="1.2273666000000001"/>
    <n v="2.176628"/>
    <n v="0"/>
    <n v="1.4588190000000001"/>
    <n v="0.29154429999999998"/>
    <n v="6.4206019999999997"/>
    <n v="15.269793699999999"/>
    <n v="5.2095177000000001"/>
    <n v="12.3330669"/>
    <n v="7.0894690999999996"/>
    <n v="6.0329398999999997"/>
    <n v="4.1658375000000003"/>
    <n v="1.1422501"/>
    <n v="1.5409349999999999"/>
    <n v="1.7951861"/>
    <n v="0.27456079999999999"/>
    <n v="2.3209219000000001"/>
    <n v="1.1107285"/>
    <n v="0.83675469999999996"/>
    <n v="1.9509422000000001"/>
    <n v="4.3546567999999999"/>
    <n v="4.9725809999999999"/>
    <n v="6.2768721999999997"/>
    <n v="3.6045777999999999"/>
    <n v="0.58138350000000005"/>
  </r>
  <r>
    <x v="1"/>
    <s v="PEST CONTROL"/>
    <s v="SC JOHNSON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2"/>
    <x v="0"/>
    <x v="0"/>
    <x v="0"/>
    <x v="1"/>
    <n v="0"/>
    <n v="0.6213824"/>
    <n v="2.4842792"/>
    <n v="0"/>
    <n v="1.7481622000000001"/>
    <n v="0.61536950000000001"/>
    <n v="1.2302506"/>
    <n v="0.6172687"/>
    <n v="5.8617125000000003"/>
    <n v="15.5896344"/>
    <n v="7.0769666000000004"/>
    <n v="2.9765497000000001"/>
    <n v="2.8375558999999999"/>
    <n v="2.1478915000000001"/>
    <n v="1.2243724"/>
    <n v="0"/>
    <n v="1.1670552000000001"/>
    <n v="0"/>
    <n v="0"/>
    <n v="0.87718790000000002"/>
    <n v="1.1721268"/>
    <n v="7.3252198000000002"/>
    <n v="7.0090253000000002"/>
    <n v="5.1389155999999998"/>
    <n v="4.3821472000000004"/>
    <n v="0.2855625"/>
    <n v="0"/>
    <n v="1.1143303"/>
    <n v="2.4710475999999999"/>
    <n v="0"/>
    <n v="0.27768209999999999"/>
    <n v="0.27891820000000001"/>
    <n v="2.2296482000000002"/>
    <n v="2.5069987"/>
    <n v="5.3078111000000003"/>
    <n v="7.2334196000000004"/>
    <n v="7.7228079999999997"/>
    <n v="0.2906918"/>
  </r>
  <r>
    <x v="1"/>
    <s v="PEST CONTROL"/>
    <s v="SC JOHNSON"/>
    <x v="2"/>
    <x v="0"/>
    <x v="3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2"/>
    <x v="0"/>
    <x v="3"/>
    <x v="0"/>
    <x v="1"/>
    <n v="0"/>
    <n v="0"/>
    <n v="0"/>
    <n v="0"/>
    <n v="2.3651244"/>
    <n v="0"/>
    <n v="0"/>
    <n v="0"/>
    <n v="0.61343859999999995"/>
    <n v="0"/>
    <n v="1.5384709999999999"/>
    <n v="0.61581660000000005"/>
    <n v="3.0769419999999998"/>
    <n v="0"/>
    <n v="2.0407226000000001"/>
    <n v="0"/>
    <n v="0"/>
    <n v="2.3323546999999998"/>
    <n v="0.58369110000000002"/>
    <n v="0.29239599999999999"/>
    <n v="0"/>
    <n v="1.4585679"/>
    <n v="1.7361964999999999"/>
    <n v="0.86184859999999996"/>
    <n v="2.0188910999999998"/>
    <n v="4.4976098000000002"/>
    <n v="0"/>
    <n v="0"/>
    <n v="0"/>
    <n v="1.8526803999999999"/>
    <n v="0"/>
    <n v="0"/>
    <n v="0.83611809999999998"/>
    <n v="0.55711080000000002"/>
    <n v="2.2348678"/>
    <n v="3.0091025"/>
    <n v="2.1801881999999999"/>
    <n v="0.98835200000000001"/>
  </r>
  <r>
    <x v="1"/>
    <s v="PEST CONTROL"/>
    <s v="SC JOHNSON"/>
    <x v="2"/>
    <x v="0"/>
    <x v="3"/>
    <x v="6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2"/>
    <x v="0"/>
    <x v="3"/>
    <x v="6"/>
    <x v="1"/>
    <n v="0"/>
    <n v="0.6213824"/>
    <n v="1.5871439000000001"/>
    <n v="1.56674"/>
    <n v="0.30848110000000001"/>
    <n v="1.8802614"/>
    <n v="0.61512529999999999"/>
    <n v="0.92590309999999998"/>
    <n v="0"/>
    <n v="0.61538839999999995"/>
    <n v="0"/>
    <n v="0"/>
    <n v="3.0769419999999998"/>
    <n v="0"/>
    <n v="0"/>
    <n v="0.30070760000000002"/>
    <n v="0.58352760000000004"/>
    <n v="0"/>
    <n v="0.29184549999999998"/>
    <n v="0"/>
    <n v="0.29303170000000001"/>
    <m/>
    <m/>
    <m/>
    <m/>
    <m/>
    <m/>
    <m/>
    <m/>
    <m/>
    <m/>
    <m/>
    <m/>
    <m/>
    <m/>
    <m/>
    <m/>
    <m/>
  </r>
  <r>
    <x v="1"/>
    <s v="PEST CONTROL"/>
    <s v="SC JOHNSON"/>
    <x v="2"/>
    <x v="5"/>
    <x v="3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2"/>
    <x v="5"/>
    <x v="3"/>
    <x v="0"/>
    <x v="1"/>
    <n v="0"/>
    <n v="1.8641471999999999"/>
    <n v="2.9500815"/>
    <n v="1.2533920000000001"/>
    <n v="7.3350628999999996"/>
    <n v="5.3844827999999998"/>
    <n v="2.4605012999999998"/>
    <n v="9.3105726000000004"/>
    <n v="8.1087381000000001"/>
    <n v="12.4785383"/>
    <n v="8.1025113999999991"/>
    <n v="12.384688300000001"/>
    <n v="4.6837210999999996"/>
    <n v="7.9778829"/>
    <n v="2.1426516000000002"/>
    <n v="2.8098114999999999"/>
    <n v="3.2094018000000002"/>
    <n v="4.3731650999999996"/>
    <n v="1.7510733000000001"/>
    <n v="4.5809673999999996"/>
    <n v="6.5606869000000003"/>
    <n v="14.5045828"/>
    <n v="13.616410500000001"/>
    <n v="15.576476100000001"/>
    <n v="8.3316750000000006"/>
    <n v="5.3223143999999998"/>
    <n v="3.2392468999999999"/>
    <n v="3.3429909000000002"/>
    <n v="1.7692701"/>
    <n v="4.7240986999999999"/>
    <n v="2.9989669999999999"/>
    <n v="3.5701535"/>
    <n v="12.5417711"/>
    <n v="10.724104799999999"/>
    <n v="9.1626788000000001"/>
    <n v="12.9588158"/>
    <n v="7.0928788999999997"/>
    <n v="3.4883011000000002"/>
  </r>
  <r>
    <x v="1"/>
    <s v="PEST CONTROL"/>
    <s v="SC JOHNSON"/>
    <x v="2"/>
    <x v="5"/>
    <x v="3"/>
    <x v="7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2"/>
    <x v="5"/>
    <x v="3"/>
    <x v="7"/>
    <x v="1"/>
    <n v="0"/>
    <n v="0.6213824"/>
    <n v="3.0534895999999998"/>
    <n v="4.1471608"/>
    <n v="0.92544320000000002"/>
    <n v="3.7436001999999999"/>
    <n v="1.8453759000000001"/>
    <n v="3.1551689999999999"/>
    <n v="3.8146678999999999"/>
    <n v="4.3760269000000003"/>
    <n v="3.1452501000000002"/>
    <n v="3.7974332999999998"/>
    <n v="3.1110961000000001"/>
    <n v="1.5682677"/>
    <n v="1.2583487"/>
    <n v="3.1438975999999998"/>
    <n v="1.7829686"/>
    <n v="5.6527532000000003"/>
    <n v="2.6590047000000001"/>
    <n v="3.4438395000000002"/>
    <n v="2.4093067000000001"/>
    <n v="6.9687457999999998"/>
    <n v="4.5002214"/>
    <n v="5.7134812999999998"/>
    <n v="2.5957170999999999"/>
    <n v="1.4278126"/>
    <n v="4.9375587000000003"/>
    <n v="6.0976153000000002"/>
    <n v="6.8640210000000002"/>
    <n v="4.2661389999999999"/>
    <n v="4.5353823000000002"/>
    <n v="3.1609805"/>
    <n v="5.1095174999999999"/>
    <n v="2.8783131000000002"/>
    <n v="1.6761509000000001"/>
    <n v="2.8933678"/>
    <n v="1.1627670000000001"/>
    <n v="0.8720753"/>
  </r>
  <r>
    <x v="1"/>
    <s v="PEST CONTROL"/>
    <s v="SC JOHNSON"/>
    <x v="3"/>
    <x v="0"/>
    <x v="0"/>
    <x v="9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3"/>
    <x v="0"/>
    <x v="0"/>
    <x v="9"/>
    <x v="1"/>
    <n v="0"/>
    <n v="1.8986339000000001"/>
    <n v="1.5526745"/>
    <n v="1.880088"/>
    <n v="0.30848110000000001"/>
    <n v="7.1109019"/>
    <n v="4.2406739"/>
    <n v="6.8757561999999997"/>
    <n v="8.0483144000000006"/>
    <n v="10.8376052"/>
    <n v="7.4188149000000001"/>
    <n v="4.3790721000000001"/>
    <n v="5.5726497000000004"/>
    <n v="1.8751093000000001"/>
    <n v="0.61218620000000001"/>
    <n v="4.2432844000000003"/>
    <n v="0.58352760000000004"/>
    <n v="2.9154434"/>
    <n v="3.0319834000000001"/>
    <n v="4.8245332000000003"/>
    <n v="7.0816971999999998"/>
    <n v="14.5209188"/>
    <n v="12.667868500000001"/>
    <n v="7.3975334000000004"/>
    <n v="8.3316750000000006"/>
    <n v="1.1422501"/>
    <n v="2.3900909000000001"/>
    <n v="0.83574769999999998"/>
    <n v="0.82368249999999998"/>
    <n v="3.8904342999999999"/>
    <n v="1.7585609"/>
    <n v="1.7663892000000001"/>
    <n v="12.113957299999999"/>
    <n v="18.514185399999999"/>
    <n v="14.991772900000001"/>
    <n v="12.9298821"/>
    <n v="5.4266338000000003"/>
    <n v="1.2113126000000001"/>
  </r>
  <r>
    <x v="1"/>
    <s v="PEST CONTROL"/>
    <s v="SC JOHNSON"/>
    <x v="3"/>
    <x v="0"/>
    <x v="0"/>
    <x v="1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3"/>
    <x v="0"/>
    <x v="0"/>
    <x v="10"/>
    <x v="1"/>
    <n v="0"/>
    <n v="0.6213824"/>
    <n v="2.4842792"/>
    <n v="0.31334800000000002"/>
    <n v="1.7481622000000001"/>
    <n v="0"/>
    <n v="0.92268799999999995"/>
    <n v="1.8518060999999999"/>
    <n v="2.7604736999999999"/>
    <n v="13.162542500000001"/>
    <n v="18.017033999999999"/>
    <n v="2.4974444"/>
    <n v="3.6923303999999999"/>
    <n v="0"/>
    <n v="0.30609310000000001"/>
    <n v="5.1120286000000004"/>
    <n v="0"/>
    <n v="1.4577217"/>
    <n v="0"/>
    <n v="1.4619797999999999"/>
    <n v="3.6303698"/>
    <n v="4.3433235999999997"/>
    <n v="13.0214739"/>
    <n v="5.8732106000000002"/>
    <n v="3.3005985"/>
    <n v="1.6419845"/>
    <n v="0"/>
    <n v="2.2286606"/>
    <n v="1.0982434000000001"/>
    <n v="0.69472040000000002"/>
    <n v="1.1107285"/>
    <n v="0.83675469999999996"/>
    <n v="3.6231783000000002"/>
    <n v="5.5711082000000003"/>
    <n v="13.6882862"/>
    <n v="11.4429804"/>
    <n v="3.3138860999999999"/>
    <n v="0.58138350000000005"/>
  </r>
  <r>
    <x v="1"/>
    <s v="PEST CONTROL"/>
    <s v="SC JOHNSON"/>
    <x v="3"/>
    <x v="0"/>
    <x v="3"/>
    <x v="11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3"/>
    <x v="0"/>
    <x v="3"/>
    <x v="11"/>
    <x v="1"/>
    <n v="0"/>
    <n v="1.9331206000000001"/>
    <n v="2.4842792"/>
    <n v="0.94004399999999999"/>
    <n v="0.65120350000000005"/>
    <n v="0.94028449999999997"/>
    <n v="0.30756270000000002"/>
    <n v="1.2345374"/>
    <n v="0.64748439999999996"/>
    <n v="0"/>
    <n v="0"/>
    <n v="1.2316332999999999"/>
    <n v="0"/>
    <n v="0"/>
    <n v="0"/>
    <n v="0"/>
    <n v="0.29176380000000002"/>
    <n v="0"/>
    <n v="1.1673822"/>
    <n v="0.58479190000000003"/>
    <n v="0"/>
    <n v="0.29171360000000002"/>
    <n v="0"/>
    <n v="0"/>
    <n v="0"/>
    <n v="0"/>
    <n v="0"/>
    <n v="0"/>
    <n v="0"/>
    <n v="0"/>
    <n v="0"/>
    <n v="0"/>
    <n v="0"/>
    <n v="0"/>
    <n v="0"/>
    <n v="0"/>
    <n v="1.938042"/>
    <n v="0"/>
  </r>
  <r>
    <x v="1"/>
    <s v="PEST CONTROL"/>
    <s v="SC JOHNSON"/>
    <x v="3"/>
    <x v="0"/>
    <x v="3"/>
    <x v="8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3"/>
    <x v="0"/>
    <x v="3"/>
    <x v="8"/>
    <x v="1"/>
    <n v="0"/>
    <n v="5.5924414999999996"/>
    <n v="1.3974070000000001"/>
    <n v="1.2533920000000001"/>
    <n v="2.0566433000000002"/>
    <n v="1.692266"/>
    <n v="4.1862352999999999"/>
    <n v="1.8860645"/>
    <n v="7.7020283000000003"/>
    <n v="36.615302200000002"/>
    <n v="20.170893400000001"/>
    <n v="8.3477023999999993"/>
    <n v="10.564064999999999"/>
    <n v="5.0116446000000003"/>
    <n v="1.8365585"/>
    <n v="4.2099058999999999"/>
    <n v="1.4588190000000001"/>
    <n v="0"/>
    <n v="7.7663017999999999"/>
    <n v="10.5262542"/>
    <n v="7.3583192000000004"/>
    <n v="22.996948700000001"/>
    <n v="19.5805349"/>
    <n v="15.576476100000001"/>
    <n v="7.8431033000000001"/>
    <n v="0.57112510000000005"/>
    <n v="2.3900909000000001"/>
    <n v="2.8398707000000001"/>
    <n v="0.54912170000000005"/>
    <n v="2.1305684999999999"/>
    <n v="0"/>
    <n v="2.6963026999999999"/>
    <n v="4.1805903999999998"/>
    <n v="24.178331199999999"/>
    <n v="22.162067"/>
    <n v="18.2753792"/>
    <n v="4.4574673999999996"/>
    <n v="3.0231943000000001"/>
  </r>
  <r>
    <x v="1"/>
    <s v="PEST CONTROL"/>
    <s v="SC JOHNSON"/>
    <x v="3"/>
    <x v="0"/>
    <x v="3"/>
    <x v="9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3"/>
    <x v="0"/>
    <x v="3"/>
    <x v="9"/>
    <x v="1"/>
    <n v="0"/>
    <n v="1.5534559999999999"/>
    <n v="0"/>
    <n v="4.5783275999999997"/>
    <n v="3.4275332000000001"/>
    <n v="6.2220006999999997"/>
    <n v="5.1089232999999998"/>
    <n v="2.8119676"/>
    <n v="4.3281159999999996"/>
    <n v="26.9743198"/>
    <n v="15.076708200000001"/>
    <n v="7.8344192000000001"/>
    <n v="1.8461652"/>
    <n v="1.8410499"/>
    <n v="1.2243724"/>
    <n v="0.60141509999999998"/>
    <n v="0"/>
    <n v="2.9154434"/>
    <n v="4.5723440999999996"/>
    <n v="5.0356430999999997"/>
    <n v="2.0512218999999998"/>
    <n v="8.8648840999999994"/>
    <n v="16.365388299999999"/>
    <n v="9.9905483999999998"/>
    <n v="9.0925084999999992"/>
    <n v="0.98347739999999995"/>
    <n v="0.28305200000000003"/>
    <n v="1.1143303"/>
    <n v="0.54912170000000005"/>
    <n v="3.7792789999999998"/>
    <n v="4.6095233999999996"/>
    <n v="3.9048554000000002"/>
    <n v="7.1906154000000004"/>
    <n v="15.2275101"/>
    <n v="15.2711314"/>
    <n v="14.849921"/>
    <n v="4.8158903999999998"/>
    <n v="2.3255341"/>
  </r>
  <r>
    <x v="1"/>
    <s v="PEST CONTROL"/>
    <s v="SC JOHNSON"/>
    <x v="3"/>
    <x v="0"/>
    <x v="3"/>
    <x v="1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3"/>
    <x v="0"/>
    <x v="3"/>
    <x v="10"/>
    <x v="1"/>
    <n v="0"/>
    <n v="0"/>
    <n v="0"/>
    <n v="0"/>
    <n v="2.3651244"/>
    <n v="0"/>
    <n v="2.6484220000000001"/>
    <n v="2.1604405"/>
    <n v="6.5410957999999999"/>
    <n v="27.999864599999999"/>
    <n v="18.051188"/>
    <n v="4.3448943"/>
    <n v="5.1966473999999998"/>
    <n v="0.61368330000000004"/>
    <n v="0"/>
    <n v="1.8042454000000001"/>
    <n v="0.58352760000000004"/>
    <n v="0.29154429999999998"/>
    <n v="0"/>
    <n v="2.0467716999999999"/>
    <n v="2.6372854000000001"/>
    <n v="9.7724051000000003"/>
    <n v="13.889572100000001"/>
    <n v="12.376719700000001"/>
    <n v="4.6146080999999999"/>
    <n v="1.7133752"/>
    <n v="0"/>
    <n v="0"/>
    <n v="1.3728042"/>
    <n v="1.6117513000000001"/>
    <n v="0"/>
    <n v="0"/>
    <n v="2.5083541999999999"/>
    <n v="11.977604100000001"/>
    <n v="15.3641577"/>
    <n v="16.589413700000001"/>
    <n v="5.6879657000000003"/>
    <n v="0.2906918"/>
  </r>
  <r>
    <x v="1"/>
    <s v="PEST CONTROL"/>
    <s v="SC JOHNSON"/>
    <x v="4"/>
    <x v="6"/>
    <x v="3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PEST CONTROL"/>
    <s v="SC JOHNSON"/>
    <x v="4"/>
    <x v="6"/>
    <x v="3"/>
    <x v="0"/>
    <x v="1"/>
    <n v="0"/>
    <n v="2.1748384000000001"/>
    <n v="1.5871439000000001"/>
    <n v="0.31334800000000002"/>
    <n v="2.7078468"/>
    <n v="4.3075862999999996"/>
    <n v="1.5719527"/>
    <n v="6.6356386000000001"/>
    <n v="6.0905250999999998"/>
    <n v="28.615252999999999"/>
    <n v="16.410254800000001"/>
    <n v="12.2821549"/>
    <n v="5.4360334999999997"/>
    <n v="3.4093176000000001"/>
    <n v="1.2243724"/>
    <n v="2.4056605000000002"/>
    <n v="0.87529140000000005"/>
    <n v="1.5711324"/>
    <n v="0.58369110000000002"/>
    <n v="3.2163555000000001"/>
    <n v="2.3767801999999998"/>
    <n v="14.213160999999999"/>
    <n v="9.9510103000000001"/>
    <n v="13.9728633"/>
    <n v="5.4798470999999997"/>
    <n v="2.9824150999999999"/>
    <n v="3.3258608000000001"/>
    <n v="3.8689548"/>
    <n v="2.3183916999999998"/>
    <n v="7.4629645"/>
    <n v="3.8320134000000001"/>
    <n v="4.5555716999999998"/>
    <n v="8.3982486000000005"/>
    <n v="11.699048700000001"/>
    <n v="5.9595545000000003"/>
    <n v="10.690704800000001"/>
    <n v="2.6647713999999998"/>
    <n v="2.151119"/>
  </r>
  <r>
    <x v="2"/>
    <s v="PEST CONTROL"/>
    <s v="SC JOHNSON"/>
    <x v="0"/>
    <x v="0"/>
    <x v="0"/>
    <x v="0"/>
    <x v="0"/>
    <n v="43.625999999999998"/>
    <n v="43.625999999999998"/>
    <n v="41.125999999999998"/>
    <n v="164.679"/>
    <n v="155.012"/>
    <n v="223.304"/>
    <n v="403.00299999999999"/>
    <n v="238.07"/>
    <n v="94.070999999999998"/>
    <n v="94.09"/>
    <n v="181.24799999999999"/>
    <n v="182.71899999999999"/>
    <n v="182.202"/>
    <n v="180.327"/>
    <n v="211.39400000000001"/>
    <n v="116.572"/>
    <n v="414.16"/>
    <n v="407.03899999999999"/>
    <n v="384.76400000000001"/>
    <n v="869.303"/>
    <n v="941.55"/>
    <n v="666.61099999999999"/>
    <n v="810.20299999999997"/>
    <n v="744.85699999999997"/>
    <n v="607.41300000000001"/>
    <n v="437.17200000000003"/>
    <n v="312.911"/>
    <n v="356.85199999999998"/>
    <n v="534.03899999999999"/>
    <n v="171.65899999999999"/>
    <n v="244.465"/>
    <n v="264.024"/>
    <n v="846.37199999999996"/>
    <n v="1042.213"/>
    <n v="1035.144"/>
    <n v="1136.7049999999999"/>
    <n v="964.90300000000002"/>
    <n v="935.57399999999996"/>
  </r>
  <r>
    <x v="2"/>
    <s v="PEST CONTROL"/>
    <s v="SC JOHNSON"/>
    <x v="0"/>
    <x v="0"/>
    <x v="0"/>
    <x v="0"/>
    <x v="1"/>
    <n v="0"/>
    <n v="0"/>
    <n v="0"/>
    <n v="2.3102399999999999E-2"/>
    <n v="0"/>
    <n v="0.23862149999999999"/>
    <n v="0"/>
    <n v="1.0148938999999999"/>
    <n v="1.16565E-2"/>
    <n v="0.31469269999999999"/>
    <n v="0"/>
    <n v="0"/>
    <n v="0"/>
    <n v="0"/>
    <n v="1.1790649"/>
    <n v="0.46574860000000001"/>
    <n v="1.1716600000000001E-2"/>
    <n v="0"/>
    <n v="0.86673770000000006"/>
    <n v="0.64333960000000001"/>
    <n v="0.68658470000000005"/>
    <n v="1.17156E-2"/>
    <n v="0.78621169999999996"/>
    <n v="0.1333172"/>
    <n v="1.21198E-2"/>
    <n v="0"/>
    <n v="0"/>
    <n v="0"/>
    <n v="0.69819109999999995"/>
    <n v="0.32479449999999999"/>
    <n v="2.9001008000000001"/>
    <n v="1.2554900000000001E-2"/>
    <n v="0"/>
    <n v="1.1123670000000001"/>
    <n v="1.25548E-2"/>
    <n v="1.0697072999999999"/>
    <n v="8.6421300000000006E-2"/>
    <n v="1.3094099999999999E-2"/>
  </r>
  <r>
    <x v="2"/>
    <s v="PEST CONTROL"/>
    <s v="SC JOHNSON"/>
    <x v="0"/>
    <x v="0"/>
    <x v="0"/>
    <x v="1"/>
    <x v="0"/>
    <n v="15.333"/>
    <n v="15.333"/>
    <n v="15.333"/>
    <n v="19.332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PEST CONTROL"/>
    <s v="SC JOHNSON"/>
    <x v="0"/>
    <x v="0"/>
    <x v="0"/>
    <x v="1"/>
    <x v="1"/>
    <n v="0"/>
    <n v="0"/>
    <n v="0"/>
    <n v="0"/>
    <n v="0"/>
    <n v="0.111615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x v="2"/>
    <s v="PEST CONTROL"/>
    <s v="SC JOHNSON"/>
    <x v="0"/>
    <x v="0"/>
    <x v="1"/>
    <x v="0"/>
    <x v="0"/>
    <n v="2595.6930000000002"/>
    <n v="2408.3760000000002"/>
    <n v="2893.5590000000002"/>
    <n v="2974.1680000000001"/>
    <n v="3170.8330000000001"/>
    <n v="2634.7750000000001"/>
    <n v="2272.2910000000002"/>
    <n v="1469.4090000000001"/>
    <n v="1311.6569999999999"/>
    <n v="1463.3009999999999"/>
    <n v="1466.7180000000001"/>
    <n v="1751.3040000000001"/>
    <n v="1766.058"/>
    <n v="2086.866"/>
    <n v="1758.049"/>
    <n v="2427.232"/>
    <n v="2384.3150000000001"/>
    <n v="2419.5120000000002"/>
    <n v="2664.7370000000001"/>
    <n v="2283.471"/>
    <n v="2156.23"/>
    <n v="1691.3810000000001"/>
    <n v="1950.095"/>
    <n v="1794.54"/>
    <n v="1663.08"/>
    <n v="1581.39"/>
    <n v="1684.0250000000001"/>
    <n v="1892.826"/>
    <n v="1891.3810000000001"/>
    <n v="1792.1869999999999"/>
    <n v="1885.1289999999999"/>
    <n v="1261.8150000000001"/>
    <n v="1428.636"/>
    <n v="743.66499999999996"/>
    <n v="617.798"/>
    <n v="585.13599999999997"/>
    <n v="948.43700000000001"/>
    <n v="1738.6210000000001"/>
  </r>
  <r>
    <x v="2"/>
    <s v="PEST CONTROL"/>
    <s v="SC JOHNSON"/>
    <x v="0"/>
    <x v="0"/>
    <x v="1"/>
    <x v="0"/>
    <x v="1"/>
    <n v="0"/>
    <n v="0.9271104"/>
    <n v="0.40077570000000001"/>
    <n v="1.6260148000000001"/>
    <n v="0.61655740000000003"/>
    <n v="2.2863072"/>
    <n v="2.9771043000000001"/>
    <n v="1.1107256999999999"/>
    <n v="4.0554987000000002"/>
    <n v="2.5592088"/>
    <n v="0.42341859999999998"/>
    <n v="0.28893540000000001"/>
    <n v="2.8864166"/>
    <n v="0.47263699999999997"/>
    <n v="1.2980666000000001"/>
    <n v="2.0047695000000001"/>
    <n v="0.52696410000000005"/>
    <n v="3.4313321999999999"/>
    <n v="0.61014699999999999"/>
    <n v="2.7930774999999999"/>
    <n v="3.0817223"/>
    <n v="0.69258109999999995"/>
    <n v="2.6168241000000001"/>
    <n v="0.2423949"/>
    <n v="0.1333173"/>
    <n v="2.0409679000000001"/>
    <n v="2.547202"/>
    <n v="1.2690315999999999"/>
    <n v="5.5723500000000002E-2"/>
    <n v="2.5213939000000001"/>
    <n v="2.3176399999999999"/>
    <n v="5.7709612000000003"/>
    <n v="4.5634509000000003"/>
    <n v="2.9193231000000002"/>
    <n v="9.3105536999999998"/>
    <n v="1.7438560000000001"/>
    <n v="0.84129849999999995"/>
    <n v="0.91789949999999998"/>
  </r>
  <r>
    <x v="2"/>
    <s v="PEST CONTROL"/>
    <s v="SC JOHNSON"/>
    <x v="0"/>
    <x v="0"/>
    <x v="1"/>
    <x v="12"/>
    <x v="0"/>
    <n v="126.744"/>
    <n v="126.744"/>
    <n v="126.744"/>
    <n v="231.446"/>
    <n v="231.446"/>
    <n v="231.446"/>
    <n v="231.446"/>
    <n v="39.311999999999998"/>
    <m/>
    <m/>
    <m/>
    <m/>
    <m/>
    <m/>
    <m/>
    <n v="20.123999999999999"/>
    <n v="20.123999999999999"/>
    <n v="20.123999999999999"/>
    <m/>
    <m/>
    <m/>
    <m/>
    <m/>
    <m/>
    <m/>
    <m/>
    <m/>
    <n v="11"/>
    <n v="11"/>
    <n v="9.6"/>
    <n v="9.6"/>
    <n v="9.6"/>
    <n v="9.6"/>
    <n v="9.6"/>
    <n v="9.6"/>
    <m/>
    <m/>
    <m/>
  </r>
  <r>
    <x v="2"/>
    <s v="PEST CONTROL"/>
    <s v="SC JOHNSON"/>
    <x v="0"/>
    <x v="0"/>
    <x v="1"/>
    <x v="12"/>
    <x v="1"/>
    <n v="0"/>
    <n v="0"/>
    <n v="0"/>
    <n v="0"/>
    <n v="0"/>
    <n v="0"/>
    <n v="0"/>
    <n v="0"/>
    <n v="0"/>
    <n v="0"/>
    <n v="0.25055729999999998"/>
    <m/>
    <m/>
    <m/>
    <m/>
    <n v="0"/>
    <n v="0"/>
    <n v="0"/>
    <n v="1.1716499999999999E-2"/>
    <n v="0.25190410000000002"/>
    <m/>
    <m/>
    <m/>
    <m/>
    <m/>
    <m/>
    <m/>
    <n v="0"/>
    <n v="0"/>
    <n v="0"/>
    <n v="0"/>
    <n v="0"/>
    <n v="0"/>
    <n v="0"/>
    <n v="1.25548E-2"/>
    <n v="0"/>
    <n v="0"/>
    <n v="0"/>
  </r>
  <r>
    <x v="2"/>
    <s v="PEST CONTROL"/>
    <s v="SC JOHNSON"/>
    <x v="0"/>
    <x v="0"/>
    <x v="1"/>
    <x v="2"/>
    <x v="0"/>
    <n v="6.8259999999999996"/>
    <n v="6.8259999999999996"/>
    <n v="6.8259999999999996"/>
    <n v="5.9729999999999999"/>
    <n v="187.87700000000001"/>
    <n v="181.904"/>
    <n v="214.922"/>
    <n v="218.048"/>
    <n v="305.51499999999999"/>
    <n v="463.49299999999999"/>
    <n v="426.041"/>
    <n v="510.34199999999998"/>
    <n v="510.34199999999998"/>
    <n v="700.53300000000002"/>
    <n v="759.75599999999997"/>
    <n v="704.45600000000002"/>
    <n v="833.13599999999997"/>
    <n v="769.51099999999997"/>
    <n v="487.25900000000001"/>
    <n v="436.1"/>
    <n v="496.161"/>
    <n v="293.93099999999998"/>
    <n v="308.601"/>
    <n v="308.85599999999999"/>
    <n v="278.49599999999998"/>
    <n v="201.27500000000001"/>
    <n v="164.876"/>
    <n v="273.988"/>
    <n v="151.06"/>
    <n v="147.43199999999999"/>
    <n v="91.468999999999994"/>
    <n v="90.361000000000004"/>
    <n v="85.156000000000006"/>
    <n v="43.738999999999997"/>
    <n v="43.738999999999997"/>
    <n v="46.454999999999998"/>
    <n v="46.454999999999998"/>
    <n v="46.454999999999998"/>
  </r>
  <r>
    <x v="2"/>
    <s v="PEST CONTROL"/>
    <s v="SC JOHNSON"/>
    <x v="0"/>
    <x v="0"/>
    <x v="1"/>
    <x v="2"/>
    <x v="1"/>
    <n v="0"/>
    <n v="0"/>
    <n v="0"/>
    <n v="0"/>
    <n v="0"/>
    <n v="0"/>
    <n v="8.0822099999999994E-2"/>
    <n v="0"/>
    <n v="0.19699559999999999"/>
    <n v="0"/>
    <n v="0"/>
    <n v="0.70136730000000003"/>
    <n v="0.43685930000000001"/>
    <n v="0"/>
    <n v="0"/>
    <n v="0"/>
    <n v="1.1716600000000001E-2"/>
    <n v="1.1716499999999999E-2"/>
    <n v="0"/>
    <n v="1.2369311999999999"/>
    <n v="0.25190390000000001"/>
    <n v="0.53188950000000002"/>
    <n v="0"/>
    <n v="1.2119700000000001E-2"/>
    <n v="0.54538880000000001"/>
    <n v="0.60801210000000006"/>
    <n v="0.20357839999999999"/>
    <n v="0"/>
    <n v="0"/>
    <n v="0.54838359999999997"/>
    <n v="1.2554900000000001E-2"/>
    <n v="0.89642200000000005"/>
    <n v="0.10797229999999999"/>
    <n v="0"/>
    <n v="0.70809279999999997"/>
    <n v="0.2238386"/>
    <n v="0"/>
    <n v="0"/>
  </r>
  <r>
    <x v="2"/>
    <s v="PEST CONTROL"/>
    <s v="SC JOHNSON"/>
    <x v="0"/>
    <x v="0"/>
    <x v="1"/>
    <x v="3"/>
    <x v="0"/>
    <n v="5302.741"/>
    <n v="5244.3670000000002"/>
    <n v="5582.9139999999998"/>
    <n v="6128.8010000000004"/>
    <n v="6434.1210000000001"/>
    <n v="5717.7830000000004"/>
    <n v="5344.4009999999998"/>
    <n v="4177.7479999999996"/>
    <n v="5339.6629999999996"/>
    <n v="5573.0029999999997"/>
    <n v="5331.5069999999996"/>
    <n v="5854.8109999999997"/>
    <n v="6139.0990000000002"/>
    <n v="6084.0479999999998"/>
    <n v="5101.1329999999998"/>
    <n v="4921.7650000000003"/>
    <n v="4142.8860000000004"/>
    <n v="7871.1459999999997"/>
    <n v="7518.8370000000004"/>
    <n v="7042.1040000000003"/>
    <n v="7013.5919999999996"/>
    <n v="6704.3940000000002"/>
    <n v="7390.1719999999996"/>
    <n v="6382.4530000000004"/>
    <n v="6329.393"/>
    <n v="6017.3950000000004"/>
    <n v="5762.0249999999996"/>
    <n v="5232.3119999999999"/>
    <n v="5920.79"/>
    <n v="4615.4840000000004"/>
    <n v="4705.576"/>
    <n v="4581.5"/>
    <n v="3797.6819999999998"/>
    <n v="3271.9920000000002"/>
    <n v="3688.19"/>
    <n v="3144.6550000000002"/>
    <n v="3121.0830000000001"/>
    <n v="3910.89"/>
  </r>
  <r>
    <x v="2"/>
    <s v="PEST CONTROL"/>
    <s v="SC JOHNSON"/>
    <x v="0"/>
    <x v="0"/>
    <x v="1"/>
    <x v="3"/>
    <x v="1"/>
    <n v="0"/>
    <n v="1.4081513999999999"/>
    <n v="1.7405721000000001"/>
    <n v="1.1465595"/>
    <n v="1.0878890000000001"/>
    <n v="2.749187"/>
    <n v="2.2515991"/>
    <n v="3.2691245000000002"/>
    <n v="4.9019737000000001"/>
    <n v="3.1271591000000001"/>
    <n v="6.0599899999999998E-2"/>
    <n v="1.2994519"/>
    <n v="1.7130475000000001"/>
    <n v="1.1650799999999999E-2"/>
    <n v="2.2316598999999999"/>
    <n v="2.3433900000000001E-2"/>
    <n v="5.5784542999999998"/>
    <n v="6.4923653999999997"/>
    <n v="1.8266096000000001"/>
    <n v="3.1203888000000002"/>
    <n v="5.2092326"/>
    <n v="0.6304883"/>
    <n v="2.6878058999999999"/>
    <n v="1.7608173"/>
    <n v="0.2939039"/>
    <n v="0.9861972"/>
    <n v="5.5561150000000001"/>
    <n v="1.0565872999999999"/>
    <n v="1.1989152000000001"/>
    <n v="5.0239335000000001"/>
    <n v="2.5109900000000001E-2"/>
    <n v="8.4184066000000009"/>
    <n v="7.3963437000000001"/>
    <n v="1.7879103000000001"/>
    <n v="5.8565173000000001"/>
    <n v="2.6633638999999998"/>
    <n v="3.0111154"/>
    <n v="1.7146257"/>
  </r>
  <r>
    <x v="2"/>
    <s v="PEST CONTROL"/>
    <s v="SC JOHNSON"/>
    <x v="1"/>
    <x v="1"/>
    <x v="2"/>
    <x v="4"/>
    <x v="0"/>
    <n v="31.686"/>
    <n v="31.686"/>
    <m/>
    <n v="57.860999999999997"/>
    <n v="57.860999999999997"/>
    <n v="57.860999999999997"/>
    <n v="57.860999999999997"/>
    <n v="19.655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PEST CONTROL"/>
    <s v="SC JOHNSON"/>
    <x v="1"/>
    <x v="1"/>
    <x v="2"/>
    <x v="4"/>
    <x v="1"/>
    <n v="0"/>
    <n v="0"/>
    <n v="0"/>
    <n v="0.24257500000000001"/>
    <n v="0"/>
    <n v="0"/>
    <n v="0"/>
    <n v="0"/>
    <n v="0"/>
    <n v="0.25058859999999999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PEST CONTROL"/>
    <s v="SC JOHNSON"/>
    <x v="1"/>
    <x v="1"/>
    <x v="3"/>
    <x v="0"/>
    <x v="0"/>
    <n v="1649.6890000000001"/>
    <n v="1564.191"/>
    <n v="1257.6389999999999"/>
    <n v="1224.2280000000001"/>
    <n v="1306.395"/>
    <n v="819.35699999999997"/>
    <n v="679.56100000000004"/>
    <n v="1057.4949999999999"/>
    <n v="1190.5550000000001"/>
    <n v="892.95699999999999"/>
    <n v="461.04"/>
    <n v="473.62700000000001"/>
    <n v="1078.672"/>
    <n v="758.23500000000001"/>
    <n v="1376.3989999999999"/>
    <n v="1283.913"/>
    <n v="963.17600000000004"/>
    <n v="959.27"/>
    <n v="1474.6410000000001"/>
    <n v="1232.45"/>
    <n v="1302.826"/>
    <n v="1313.1010000000001"/>
    <n v="1604.9290000000001"/>
    <n v="1520.77"/>
    <n v="1407.021"/>
    <n v="1151.3050000000001"/>
    <n v="829.46400000000006"/>
    <n v="1205.662"/>
    <n v="1008.121"/>
    <n v="705.32"/>
    <n v="520.91200000000003"/>
    <n v="552.63300000000004"/>
    <n v="552.05999999999995"/>
    <n v="381.46100000000001"/>
    <n v="300.858"/>
    <n v="213.76900000000001"/>
    <n v="326.63"/>
    <n v="328.31099999999998"/>
  </r>
  <r>
    <x v="2"/>
    <s v="PEST CONTROL"/>
    <s v="SC JOHNSON"/>
    <x v="1"/>
    <x v="1"/>
    <x v="3"/>
    <x v="0"/>
    <x v="1"/>
    <n v="0"/>
    <n v="3.7980917999999999"/>
    <n v="3.0154400000000001E-2"/>
    <n v="2.2576800000000001"/>
    <n v="2.1520971000000002"/>
    <n v="1.9375252000000001"/>
    <n v="2.3561597999999999"/>
    <n v="0.92714419999999997"/>
    <n v="1.3552716"/>
    <n v="1.3910347999999999"/>
    <n v="1.9333704"/>
    <n v="0.1351472"/>
    <n v="1.6402376999999999"/>
    <n v="2.3301599999999999E-2"/>
    <n v="0"/>
    <n v="3.7869199999999999E-2"/>
    <n v="2.0056761999999999"/>
    <n v="1.4103701"/>
    <n v="0.1382544"/>
    <n v="0.28060950000000001"/>
    <n v="0.72485060000000001"/>
    <n v="1.3735754"/>
    <n v="0.22024379999999999"/>
    <n v="0.58983169999999996"/>
    <n v="0"/>
    <n v="9.9381999999999998E-2"/>
    <n v="0.12602469999999999"/>
    <n v="0.57883289999999998"/>
    <n v="1.5776532000000001"/>
    <n v="0.1205874"/>
    <n v="0.87427509999999997"/>
    <n v="0.95295680000000005"/>
    <n v="2.2229369999999999"/>
    <n v="0.80561240000000001"/>
    <n v="1.0960372"/>
    <n v="1.1651815999999999"/>
    <n v="0.14665439999999999"/>
    <n v="0.30116530000000002"/>
  </r>
  <r>
    <x v="2"/>
    <s v="PEST CONTROL"/>
    <s v="SC JOHNSON"/>
    <x v="1"/>
    <x v="1"/>
    <x v="3"/>
    <x v="4"/>
    <x v="0"/>
    <n v="95.058000000000007"/>
    <n v="95.058000000000007"/>
    <m/>
    <n v="173.584"/>
    <n v="115.723"/>
    <n v="57.860999999999997"/>
    <n v="476.76499999999999"/>
    <n v="66.194999999999993"/>
    <n v="40.265999999999998"/>
    <n v="136.435"/>
    <n v="136.28399999999999"/>
    <n v="135.476"/>
    <n v="135.476"/>
    <n v="39.344999999999999"/>
    <n v="143.30799999999999"/>
    <n v="21.84"/>
    <n v="22.445"/>
    <n v="22.445"/>
    <n v="42.569000000000003"/>
    <n v="42.884"/>
    <n v="176.93600000000001"/>
    <n v="176.93600000000001"/>
    <n v="176.93600000000001"/>
    <n v="181.566"/>
    <n v="182.899"/>
    <n v="151.89099999999999"/>
    <n v="148.239"/>
    <n v="146.245"/>
    <n v="133.03299999999999"/>
    <n v="139.17599999999999"/>
    <n v="139.17599999999999"/>
    <n v="139.17599999999999"/>
    <n v="26.369"/>
    <n v="26.369"/>
    <n v="147.892"/>
    <n v="137.929"/>
    <m/>
    <m/>
  </r>
  <r>
    <x v="2"/>
    <s v="PEST CONTROL"/>
    <s v="SC JOHNSON"/>
    <x v="1"/>
    <x v="1"/>
    <x v="3"/>
    <x v="4"/>
    <x v="1"/>
    <n v="0"/>
    <n v="0"/>
    <n v="0"/>
    <n v="0"/>
    <n v="0"/>
    <n v="0"/>
    <n v="0"/>
    <n v="0.24246609999999999"/>
    <n v="0.19699559999999999"/>
    <n v="0.25058859999999999"/>
    <n v="0"/>
    <n v="0"/>
    <n v="0.98521669999999995"/>
    <n v="0"/>
    <n v="1.1495533"/>
    <n v="0"/>
    <n v="1.2165657999999999"/>
    <n v="0"/>
    <n v="0.25190410000000002"/>
    <n v="0"/>
    <n v="1.1716499999999999E-2"/>
    <n v="0"/>
    <n v="0"/>
    <n v="0"/>
    <n v="0"/>
    <n v="0"/>
    <n v="0.20357839999999999"/>
    <n v="0"/>
    <n v="0"/>
    <n v="0"/>
    <n v="0"/>
    <n v="0"/>
    <n v="1.2554900000000001E-2"/>
    <n v="0.83741399999999999"/>
    <n v="0"/>
    <n v="0"/>
    <n v="0.28605459999999999"/>
    <n v="0.86421349999999997"/>
  </r>
  <r>
    <x v="2"/>
    <s v="PEST CONTROL"/>
    <s v="SC JOHNSON"/>
    <x v="1"/>
    <x v="1"/>
    <x v="3"/>
    <x v="5"/>
    <x v="0"/>
    <m/>
    <m/>
    <m/>
    <m/>
    <n v="48.332999999999998"/>
    <m/>
    <n v="323.82400000000001"/>
    <n v="390.01900000000001"/>
    <n v="416.22500000000002"/>
    <n v="20.18"/>
    <n v="20.029"/>
    <n v="19.221"/>
    <n v="19.221"/>
    <n v="19.221"/>
    <n v="19.375"/>
    <n v="21.84"/>
    <n v="31.347000000000001"/>
    <n v="11.223000000000001"/>
    <n v="51.47"/>
    <n v="78.638000000000005"/>
    <n v="212.691"/>
    <n v="212.691"/>
    <n v="221.69399999999999"/>
    <n v="149.828"/>
    <n v="150.542"/>
    <n v="138.07599999999999"/>
    <n v="134.42400000000001"/>
    <n v="133.34100000000001"/>
    <n v="227.35499999999999"/>
    <n v="238.79900000000001"/>
    <n v="125.991"/>
    <n v="251.983"/>
    <n v="256.23"/>
    <n v="256.23"/>
    <n v="256.23"/>
    <n v="275.858"/>
    <m/>
    <n v="148.63399999999999"/>
  </r>
  <r>
    <x v="2"/>
    <s v="PEST CONTROL"/>
    <s v="SC JOHNSON"/>
    <x v="1"/>
    <x v="1"/>
    <x v="3"/>
    <x v="5"/>
    <x v="1"/>
    <m/>
    <m/>
    <m/>
    <m/>
    <n v="0"/>
    <n v="0"/>
    <n v="0.1116153"/>
    <n v="0"/>
    <n v="0"/>
    <n v="0.25058859999999999"/>
    <n v="0.98557609999999995"/>
    <n v="0"/>
    <n v="0"/>
    <n v="0"/>
    <n v="0"/>
    <n v="0"/>
    <n v="0"/>
    <n v="0.20475699999999999"/>
    <n v="0.25190410000000002"/>
    <n v="0"/>
    <n v="1.1716499999999999E-2"/>
    <n v="0"/>
    <n v="0"/>
    <n v="0"/>
    <n v="0.31268960000000001"/>
    <n v="0"/>
    <n v="0"/>
    <n v="0"/>
    <n v="0"/>
    <n v="0"/>
    <n v="0"/>
    <n v="0"/>
    <n v="0"/>
    <n v="0.83741399999999999"/>
    <n v="0.32463039999999999"/>
    <n v="0"/>
    <n v="0.28605459999999999"/>
    <n v="0"/>
  </r>
  <r>
    <x v="2"/>
    <s v="PEST CONTROL"/>
    <s v="SC JOHNSON"/>
    <x v="1"/>
    <x v="2"/>
    <x v="3"/>
    <x v="0"/>
    <x v="0"/>
    <n v="187.61600000000001"/>
    <n v="173.965"/>
    <n v="72.081000000000003"/>
    <n v="79.366"/>
    <n v="75.382000000000005"/>
    <n v="68.042000000000002"/>
    <n v="48.344000000000001"/>
    <n v="39.07"/>
    <n v="36.167999999999999"/>
    <n v="101.102"/>
    <n v="102.133"/>
    <n v="74.53"/>
    <n v="276.40300000000002"/>
    <n v="316.23"/>
    <n v="338.24"/>
    <n v="338.33499999999998"/>
    <n v="338.637"/>
    <n v="293.38299999999998"/>
    <n v="298.291"/>
    <n v="270.17200000000003"/>
    <n v="287.29000000000002"/>
    <n v="287.50700000000001"/>
    <n v="287.36599999999999"/>
    <n v="452.88900000000001"/>
    <n v="453.50799999999998"/>
    <n v="394.512"/>
    <n v="383.55599999999998"/>
    <n v="272.69400000000002"/>
    <n v="373.05599999999998"/>
    <n v="242.55"/>
    <n v="355.35700000000003"/>
    <n v="355.35700000000003"/>
    <n v="394.68900000000002"/>
    <n v="394.68900000000002"/>
    <n v="394.68900000000002"/>
    <n v="431.61799999999999"/>
    <n v="389.59199999999998"/>
    <n v="385.70299999999997"/>
  </r>
  <r>
    <x v="2"/>
    <s v="PEST CONTROL"/>
    <s v="SC JOHNSON"/>
    <x v="1"/>
    <x v="2"/>
    <x v="3"/>
    <x v="0"/>
    <x v="1"/>
    <n v="0"/>
    <n v="0"/>
    <n v="0"/>
    <n v="0.3118821"/>
    <n v="0"/>
    <n v="0"/>
    <n v="1.1546000000000001E-2"/>
    <n v="0.39949180000000001"/>
    <n v="0.39399119999999999"/>
    <n v="6.9931699999999999E-2"/>
    <n v="0"/>
    <n v="0"/>
    <n v="0.17898420000000001"/>
    <n v="0"/>
    <n v="8.1555900000000001E-2"/>
    <n v="1.2048886999999999"/>
    <n v="8.2015900000000003E-2"/>
    <n v="1.1716499999999999E-2"/>
    <n v="1.2609851999999999"/>
    <n v="0"/>
    <n v="0.50380789999999998"/>
    <n v="0"/>
    <n v="9.8406800000000003E-2"/>
    <n v="0"/>
    <n v="0"/>
    <n v="0"/>
    <n v="0.20357839999999999"/>
    <n v="0"/>
    <n v="0"/>
    <n v="0"/>
    <n v="0.53555560000000002"/>
    <n v="0.76128070000000003"/>
    <n v="0"/>
    <n v="9.5417500000000002E-2"/>
    <n v="0"/>
    <n v="0"/>
    <n v="0"/>
    <n v="0"/>
  </r>
  <r>
    <x v="2"/>
    <s v="PEST CONTROL"/>
    <s v="SC JOHNSON"/>
    <x v="1"/>
    <x v="3"/>
    <x v="2"/>
    <x v="0"/>
    <x v="0"/>
    <n v="45.762999999999998"/>
    <n v="45.762999999999998"/>
    <n v="22.881"/>
    <n v="25.213000000000001"/>
    <n v="25.213000000000001"/>
    <m/>
    <m/>
    <n v="19.698"/>
    <m/>
    <m/>
    <m/>
    <n v="172.25399999999999"/>
    <n v="171.221"/>
    <n v="213.38499999999999"/>
    <n v="663.69100000000003"/>
    <n v="479.41699999999997"/>
    <n v="253.70500000000001"/>
    <n v="214.602"/>
    <n v="239.63399999999999"/>
    <n v="250.98599999999999"/>
    <n v="268.10399999999998"/>
    <n v="268.10399999999998"/>
    <n v="402.15600000000001"/>
    <n v="275.49099999999999"/>
    <n v="275.49099999999999"/>
    <n v="289.85899999999998"/>
    <n v="282.55500000000001"/>
    <n v="282.214"/>
    <n v="255.79"/>
    <n v="112.807"/>
    <n v="338.42099999999999"/>
    <n v="63.595999999999997"/>
    <n v="63.595999999999997"/>
    <n v="50.411000000000001"/>
    <n v="50.411000000000001"/>
    <n v="49.662999999999997"/>
    <n v="49.662999999999997"/>
    <n v="49.662999999999997"/>
  </r>
  <r>
    <x v="2"/>
    <s v="PEST CONTROL"/>
    <s v="SC JOHNSON"/>
    <x v="1"/>
    <x v="3"/>
    <x v="2"/>
    <x v="0"/>
    <x v="1"/>
    <n v="0"/>
    <n v="0"/>
    <n v="0"/>
    <n v="0.49958900000000001"/>
    <n v="0"/>
    <n v="1.1546000000000001E-2"/>
    <n v="0.39949200000000001"/>
    <n v="1.1546000000000001E-2"/>
    <n v="0"/>
    <n v="0.61481620000000003"/>
    <n v="0"/>
    <n v="0"/>
    <n v="0"/>
    <n v="0"/>
    <n v="0.88740940000000001"/>
    <n v="0"/>
    <n v="1.1716600000000001E-2"/>
    <n v="0"/>
    <n v="0.62683120000000003"/>
    <n v="1.1716499999999999E-2"/>
    <n v="0"/>
    <n v="0"/>
    <n v="1.0326036000000001"/>
    <n v="0"/>
    <n v="0"/>
    <n v="0.96049119999999999"/>
    <n v="0"/>
    <n v="1.21168E-2"/>
    <n v="0.87703929999999997"/>
    <n v="0"/>
    <n v="0"/>
    <n v="0.81858140000000001"/>
    <n v="1.1746008999999999"/>
    <n v="0"/>
    <n v="0.32463039999999999"/>
    <n v="1.30984E-2"/>
    <n v="0"/>
    <n v="0"/>
  </r>
  <r>
    <x v="2"/>
    <s v="PEST CONTROL"/>
    <s v="SC JOHNSON"/>
    <x v="1"/>
    <x v="4"/>
    <x v="2"/>
    <x v="0"/>
    <x v="0"/>
    <n v="40.353000000000002"/>
    <n v="36.918999999999997"/>
    <n v="67.825999999999993"/>
    <n v="61.383000000000003"/>
    <n v="82.908000000000001"/>
    <n v="164.755"/>
    <n v="174.87200000000001"/>
    <n v="108.26600000000001"/>
    <n v="107.996"/>
    <n v="107.996"/>
    <n v="107.996"/>
    <n v="93.647000000000006"/>
    <n v="93.647000000000006"/>
    <n v="7.548"/>
    <n v="7.548"/>
    <n v="7.548"/>
    <n v="7.548"/>
    <n v="6.9480000000000004"/>
    <n v="6.9480000000000004"/>
    <m/>
    <m/>
    <m/>
    <m/>
    <m/>
    <n v="12.797000000000001"/>
    <n v="13.815"/>
    <n v="380.541"/>
    <n v="38.71"/>
    <n v="64.516999999999996"/>
    <n v="1233.414"/>
    <n v="315.11"/>
    <n v="393.55900000000003"/>
    <n v="262.37299999999999"/>
    <m/>
    <n v="13.183999999999999"/>
    <n v="10.494999999999999"/>
    <n v="20.99"/>
    <n v="10.494999999999999"/>
  </r>
  <r>
    <x v="2"/>
    <s v="PEST CONTROL"/>
    <s v="SC JOHNSON"/>
    <x v="1"/>
    <x v="4"/>
    <x v="2"/>
    <x v="0"/>
    <x v="1"/>
    <n v="0"/>
    <n v="6.4955399999999996E-2"/>
    <n v="0.113659"/>
    <n v="0"/>
    <n v="0"/>
    <n v="6.0039299999999997E-2"/>
    <n v="0"/>
    <n v="8.3708500000000005E-2"/>
    <n v="1.1501163999999999"/>
    <n v="6.0607500000000002E-2"/>
    <n v="0"/>
    <n v="0"/>
    <n v="0"/>
    <n v="0"/>
    <n v="0"/>
    <n v="0"/>
    <n v="0"/>
    <n v="0"/>
    <n v="0"/>
    <n v="0"/>
    <n v="6.5612199999999996E-2"/>
    <m/>
    <m/>
    <m/>
    <n v="0"/>
    <n v="0"/>
    <n v="0"/>
    <n v="0"/>
    <n v="0"/>
    <n v="0"/>
    <n v="0.3246328"/>
    <n v="0"/>
    <n v="0"/>
    <n v="0.3246329"/>
    <n v="1.1968901999999999"/>
    <n v="0"/>
    <n v="0"/>
    <n v="0"/>
  </r>
  <r>
    <x v="2"/>
    <s v="PEST CONTROL"/>
    <s v="SC JOHNSON"/>
    <x v="1"/>
    <x v="4"/>
    <x v="3"/>
    <x v="0"/>
    <x v="0"/>
    <n v="95.058000000000007"/>
    <n v="95.058000000000007"/>
    <m/>
    <n v="115.723"/>
    <n v="57.860999999999997"/>
    <n v="57.860999999999997"/>
    <n v="21.524999999999999"/>
    <n v="39.311999999999998"/>
    <m/>
    <m/>
    <m/>
    <m/>
    <m/>
    <n v="54.773000000000003"/>
    <n v="410.79899999999998"/>
    <n v="379.19900000000001"/>
    <n v="399.75599999999997"/>
    <n v="257.51600000000002"/>
    <n v="241.2"/>
    <n v="193.25299999999999"/>
    <n v="181.965"/>
    <n v="154.15799999999999"/>
    <n v="197.83500000000001"/>
    <n v="318.714"/>
    <n v="318.714"/>
    <n v="281.70400000000001"/>
    <n v="241.21700000000001"/>
    <n v="240.876"/>
    <n v="214.452"/>
    <n v="235.214"/>
    <n v="225.614"/>
    <n v="451.22800000000001"/>
    <n v="486.09199999999998"/>
    <n v="503.214"/>
    <n v="491.8"/>
    <n v="551.71600000000001"/>
    <n v="495.68099999999998"/>
    <n v="490.49599999999998"/>
  </r>
  <r>
    <x v="2"/>
    <s v="PEST CONTROL"/>
    <s v="SC JOHNSON"/>
    <x v="1"/>
    <x v="4"/>
    <x v="3"/>
    <x v="0"/>
    <x v="1"/>
    <n v="0"/>
    <n v="0.1333905"/>
    <n v="0"/>
    <n v="0.24257500000000001"/>
    <n v="0"/>
    <n v="0"/>
    <n v="0"/>
    <n v="0"/>
    <n v="0"/>
    <n v="0.50117719999999999"/>
    <n v="0"/>
    <n v="0"/>
    <n v="1.16496E-2"/>
    <n v="0"/>
    <n v="7.5730500000000006E-2"/>
    <n v="0.13814280000000001"/>
    <n v="0"/>
    <n v="0"/>
    <n v="0"/>
    <n v="0.1376685"/>
    <n v="3.7492699999999997E-2"/>
    <n v="4.9205600000000002E-2"/>
    <n v="0.15229619999999999"/>
    <n v="0.2504788"/>
    <n v="0"/>
    <n v="8.2414399999999999E-2"/>
    <n v="9.6942100000000003E-2"/>
    <n v="0.86756480000000002"/>
    <n v="0"/>
    <n v="0"/>
    <n v="0"/>
    <n v="0.20338990000000001"/>
    <n v="1.2554900000000001E-2"/>
    <n v="0.21343390000000001"/>
    <n v="1.0740662999999999"/>
    <n v="0.1845434"/>
    <n v="0.14927319999999999"/>
    <n v="0.18659149999999999"/>
  </r>
  <r>
    <x v="2"/>
    <s v="PEST CONTROL"/>
    <s v="SC JOHNSON"/>
    <x v="2"/>
    <x v="0"/>
    <x v="2"/>
    <x v="0"/>
    <x v="0"/>
    <n v="1995.48"/>
    <n v="1851.8620000000001"/>
    <n v="2719.9029999999998"/>
    <n v="3776.6669999999999"/>
    <n v="2960.7779999999998"/>
    <n v="2969.4670000000001"/>
    <n v="1968.865"/>
    <n v="1812.9829999999999"/>
    <n v="2459.8719999999998"/>
    <n v="2023.06"/>
    <n v="1846.1010000000001"/>
    <n v="1779.954"/>
    <n v="1647.6489999999999"/>
    <n v="2831.37"/>
    <n v="3075.9029999999998"/>
    <n v="2229.9699999999998"/>
    <n v="2111.0430000000001"/>
    <n v="1612.7719999999999"/>
    <n v="1517.673"/>
    <n v="2277.098"/>
    <n v="4063.047"/>
    <n v="2505.3020000000001"/>
    <n v="2465.4299999999998"/>
    <n v="2088.9360000000001"/>
    <n v="1505.4760000000001"/>
    <n v="1293.77"/>
    <n v="1542.596"/>
    <n v="3084.6149999999998"/>
    <n v="3329.25"/>
    <n v="3239.663"/>
    <n v="2600.288"/>
    <n v="2269.7060000000001"/>
    <n v="1820.2739999999999"/>
    <n v="1725.6489999999999"/>
    <n v="1385.248"/>
    <n v="1154.521"/>
    <n v="1102"/>
    <n v="1181.2429999999999"/>
  </r>
  <r>
    <x v="2"/>
    <s v="PEST CONTROL"/>
    <s v="SC JOHNSON"/>
    <x v="2"/>
    <x v="0"/>
    <x v="2"/>
    <x v="0"/>
    <x v="1"/>
    <n v="0"/>
    <n v="0"/>
    <n v="3.2206098999999999"/>
    <n v="0.80165260000000005"/>
    <n v="0"/>
    <n v="3.8697970000000002"/>
    <n v="2.8528923000000002"/>
    <n v="2.4801974000000002"/>
    <n v="1.5249442"/>
    <n v="1.7711368999999999"/>
    <n v="1.0008425999999999"/>
    <n v="2.6586715000000001"/>
    <n v="2.5784598999999999"/>
    <n v="1.2352966999999999"/>
    <n v="3.9273112999999999"/>
    <n v="1.2610363"/>
    <n v="0.96555009999999997"/>
    <n v="4.6713564999999999"/>
    <n v="2.1438212999999999"/>
    <n v="4.7420536999999996"/>
    <n v="0.85705920000000002"/>
    <n v="0.89507400000000004"/>
    <n v="3.2698117"/>
    <n v="1.504921"/>
    <n v="0"/>
    <n v="1.1311738"/>
    <n v="1.7792873"/>
    <n v="1.8445809"/>
    <n v="1.4574601"/>
    <n v="2.1701831999999999"/>
    <n v="0.83113630000000005"/>
    <n v="2.3595733999999999"/>
    <n v="1.2554900000000001E-2"/>
    <n v="0.84996890000000003"/>
    <n v="1.8102819000000001"/>
    <n v="4.3001012000000003"/>
    <n v="2.5655872"/>
    <n v="0"/>
  </r>
  <r>
    <x v="2"/>
    <s v="PEST CONTROL"/>
    <s v="SC JOHNSON"/>
    <x v="2"/>
    <x v="0"/>
    <x v="0"/>
    <x v="0"/>
    <x v="0"/>
    <n v="1804.934"/>
    <n v="1274.7829999999999"/>
    <n v="2642.7550000000001"/>
    <n v="2061.1819999999998"/>
    <n v="1923.739"/>
    <n v="2189.3139999999999"/>
    <n v="1778.7380000000001"/>
    <n v="1543.0540000000001"/>
    <n v="1637.682"/>
    <n v="1849.9770000000001"/>
    <n v="1645.1120000000001"/>
    <n v="1539.258"/>
    <n v="1386.2909999999999"/>
    <n v="1090.8630000000001"/>
    <n v="1826.172"/>
    <n v="1665.904"/>
    <n v="2549.2179999999998"/>
    <n v="1352.4960000000001"/>
    <n v="1800.924"/>
    <n v="1179.5150000000001"/>
    <n v="1401.001"/>
    <n v="1364.9849999999999"/>
    <n v="1215.2270000000001"/>
    <n v="1678.105"/>
    <n v="1498.451"/>
    <n v="1238.8989999999999"/>
    <n v="1161.9000000000001"/>
    <n v="953.12099999999998"/>
    <n v="1211.7670000000001"/>
    <n v="1510.056"/>
    <n v="1801.9449999999999"/>
    <n v="1293.1289999999999"/>
    <n v="963.13199999999995"/>
    <n v="1317.9480000000001"/>
    <n v="1340.7449999999999"/>
    <n v="900.54600000000005"/>
    <n v="865.005"/>
    <n v="721.904"/>
  </r>
  <r>
    <x v="2"/>
    <s v="PEST CONTROL"/>
    <s v="SC JOHNSON"/>
    <x v="2"/>
    <x v="0"/>
    <x v="0"/>
    <x v="0"/>
    <x v="1"/>
    <n v="0"/>
    <n v="0.82199869999999997"/>
    <n v="0.81218659999999998"/>
    <n v="1.2105646999999999"/>
    <n v="1.5059703"/>
    <n v="0.41437489999999999"/>
    <n v="0.59140979999999999"/>
    <n v="1.5606850999999999"/>
    <n v="0.47411829999999999"/>
    <n v="5.1570666000000003"/>
    <n v="0.89183259999999998"/>
    <n v="0.20230139999999999"/>
    <n v="1.101596"/>
    <n v="0.94626429999999995"/>
    <n v="1.4816022"/>
    <n v="0.23061290000000001"/>
    <n v="7.4985999999999997E-2"/>
    <n v="0.19918"/>
    <n v="1.9721867"/>
    <n v="0.53368519999999997"/>
    <n v="0.4944347"/>
    <n v="2.8292540000000002"/>
    <n v="1.2876178"/>
    <n v="0.32965709999999998"/>
    <n v="0.34723080000000001"/>
    <n v="1.4822953999999999"/>
    <n v="0.1114834"/>
    <n v="0.44070110000000001"/>
    <n v="1.3979813000000001"/>
    <n v="1.4762405999999999"/>
    <n v="1.3760203"/>
    <n v="0.1079724"/>
    <n v="1.8556176"/>
    <n v="3.6655004"/>
    <n v="0.46398909999999999"/>
    <n v="3.1216509000000001"/>
    <n v="1.0376582000000001"/>
    <n v="0.2860547"/>
  </r>
  <r>
    <x v="2"/>
    <s v="PEST CONTROL"/>
    <s v="SC JOHNSON"/>
    <x v="2"/>
    <x v="0"/>
    <x v="3"/>
    <x v="0"/>
    <x v="0"/>
    <n v="4058.058"/>
    <n v="4063.413"/>
    <n v="4968.49"/>
    <n v="5533.393"/>
    <n v="4967.1260000000002"/>
    <n v="3285.8719999999998"/>
    <n v="3548.886"/>
    <n v="2751.3389999999999"/>
    <n v="2435.8249999999998"/>
    <n v="2521.4290000000001"/>
    <n v="2471.7420000000002"/>
    <n v="2503.9079999999999"/>
    <n v="2780.4769999999999"/>
    <n v="3544.002"/>
    <n v="2803.7139999999999"/>
    <n v="3672.5880000000002"/>
    <n v="3765.2139999999999"/>
    <n v="3238.4789999999998"/>
    <n v="3164.0749999999998"/>
    <n v="2986.0239999999999"/>
    <n v="4521.4840000000004"/>
    <n v="3323.5790000000002"/>
    <n v="2608.17"/>
    <n v="3100.8389999999999"/>
    <n v="2925.7739999999999"/>
    <n v="2501.7570000000001"/>
    <n v="2506.8580000000002"/>
    <n v="3412.127"/>
    <n v="2810.61"/>
    <n v="2193.5230000000001"/>
    <n v="2312.326"/>
    <n v="2062.6559999999999"/>
    <n v="1591.8040000000001"/>
    <n v="2092.7130000000002"/>
    <n v="1887.883"/>
    <n v="2118.4340000000002"/>
    <n v="1729.221"/>
    <n v="2436.5320000000002"/>
  </r>
  <r>
    <x v="2"/>
    <s v="PEST CONTROL"/>
    <s v="SC JOHNSON"/>
    <x v="2"/>
    <x v="0"/>
    <x v="3"/>
    <x v="0"/>
    <x v="1"/>
    <n v="0"/>
    <n v="1.4698705999999999"/>
    <n v="0.19937879999999999"/>
    <n v="0.75210949999999999"/>
    <n v="0.32816089999999998"/>
    <n v="0.54266270000000005"/>
    <n v="3.3538160000000001"/>
    <n v="3.1386546000000002"/>
    <n v="1.4448753999999999"/>
    <n v="4.2554372000000003"/>
    <n v="0.49289870000000002"/>
    <n v="0.95182069999999996"/>
    <n v="1.5792637"/>
    <n v="3.2807301"/>
    <n v="1.6043205"/>
    <n v="0.35323080000000001"/>
    <n v="1.0173022"/>
    <n v="2.8128432000000001"/>
    <n v="0.5298891"/>
    <n v="2.9280396"/>
    <n v="4.2869244000000002"/>
    <n v="1.1342603"/>
    <n v="1.9728219"/>
    <n v="5.8005589000000004"/>
    <n v="0.42479729999999999"/>
    <n v="0.60114020000000001"/>
    <n v="1.3855691000000001"/>
    <n v="1.8722193"/>
    <n v="1.7493179000000001"/>
    <n v="3.5605053"/>
    <n v="5.5492787999999997"/>
    <n v="2.3218207999999998"/>
    <n v="2.2455359000000001"/>
    <n v="4.6595247000000004"/>
    <n v="2.1193442999999998"/>
    <n v="5.0517006999999996"/>
    <n v="0.3921695"/>
    <n v="1.3094099999999999E-2"/>
  </r>
  <r>
    <x v="2"/>
    <s v="PEST CONTROL"/>
    <s v="SC JOHNSON"/>
    <x v="2"/>
    <x v="0"/>
    <x v="3"/>
    <x v="6"/>
    <x v="0"/>
    <m/>
    <m/>
    <m/>
    <m/>
    <m/>
    <n v="390.072"/>
    <n v="404.78"/>
    <n v="404.78"/>
    <n v="495.10399999999998"/>
    <n v="480.65600000000001"/>
    <n v="480.65600000000001"/>
    <n v="480.65600000000001"/>
    <n v="480.65600000000001"/>
    <m/>
    <m/>
    <m/>
    <m/>
    <m/>
    <n v="725.399"/>
    <n v="627.46500000000003"/>
    <n v="670.26"/>
    <n v="670.26"/>
    <n v="670.26"/>
    <n v="688.72799999999995"/>
    <n v="688.72799999999995"/>
    <n v="621.303"/>
    <n v="603.04200000000003"/>
    <n v="602.19000000000005"/>
    <n v="536.13"/>
    <n v="564.03599999999994"/>
    <n v="225.614"/>
    <m/>
    <m/>
    <m/>
    <m/>
    <m/>
    <m/>
    <m/>
  </r>
  <r>
    <x v="2"/>
    <s v="PEST CONTROL"/>
    <s v="SC JOHNSON"/>
    <x v="2"/>
    <x v="0"/>
    <x v="3"/>
    <x v="6"/>
    <x v="1"/>
    <n v="0"/>
    <n v="0"/>
    <n v="0"/>
    <n v="0"/>
    <n v="0"/>
    <n v="0"/>
    <n v="0"/>
    <n v="0"/>
    <n v="0"/>
    <n v="0"/>
    <n v="0"/>
    <n v="0.98530459999999997"/>
    <n v="0"/>
    <n v="0"/>
    <n v="0"/>
    <n v="0"/>
    <n v="1.2048492"/>
    <m/>
    <n v="0"/>
    <n v="0"/>
    <n v="0"/>
    <n v="0.43347829999999998"/>
    <n v="0"/>
    <n v="0"/>
    <n v="0"/>
    <n v="0"/>
    <n v="0"/>
    <n v="0"/>
    <n v="0"/>
    <n v="0"/>
    <n v="0"/>
    <n v="0"/>
    <n v="0.83741339999999997"/>
    <m/>
    <m/>
    <m/>
    <m/>
    <m/>
  </r>
  <r>
    <x v="2"/>
    <s v="PEST CONTROL"/>
    <s v="SC JOHNSON"/>
    <x v="2"/>
    <x v="5"/>
    <x v="3"/>
    <x v="0"/>
    <x v="0"/>
    <n v="578.24699999999996"/>
    <n v="439.73899999999998"/>
    <n v="344.68099999999998"/>
    <n v="654.31500000000005"/>
    <n v="569.77700000000004"/>
    <n v="223.55699999999999"/>
    <n v="411.14"/>
    <n v="309.96499999999997"/>
    <n v="290.483"/>
    <n v="309.46899999999999"/>
    <n v="311.60599999999999"/>
    <n v="301.59199999999998"/>
    <n v="301.59199999999998"/>
    <n v="430.36700000000002"/>
    <n v="321.923"/>
    <n v="312.29000000000002"/>
    <n v="301.37"/>
    <n v="299.58699999999999"/>
    <n v="335.84100000000001"/>
    <n v="335.971"/>
    <n v="353.089"/>
    <n v="353.26900000000001"/>
    <n v="341.88900000000001"/>
    <n v="328.01600000000002"/>
    <n v="327.82299999999998"/>
    <n v="281.29399999999998"/>
    <n v="262.99"/>
    <n v="279.995"/>
    <n v="253.571"/>
    <n v="264.73399999999998"/>
    <n v="264.73399999999998"/>
    <n v="264.73399999999998"/>
    <n v="243.04599999999999"/>
    <n v="243.04599999999999"/>
    <n v="243.04599999999999"/>
    <m/>
    <n v="247.84100000000001"/>
    <n v="367.87200000000001"/>
  </r>
  <r>
    <x v="2"/>
    <s v="PEST CONTROL"/>
    <s v="SC JOHNSON"/>
    <x v="2"/>
    <x v="5"/>
    <x v="3"/>
    <x v="0"/>
    <x v="1"/>
    <n v="0"/>
    <n v="7.9535499999999995E-2"/>
    <n v="1.5640643000000001"/>
    <n v="0"/>
    <n v="9.2368199999999998E-2"/>
    <n v="0"/>
    <n v="0.55677169999999998"/>
    <n v="0.39949180000000001"/>
    <n v="0.19699559999999999"/>
    <n v="0.32052029999999998"/>
    <n v="0.13518440000000001"/>
    <n v="0"/>
    <n v="0.17898420000000001"/>
    <n v="0"/>
    <n v="0"/>
    <n v="0"/>
    <n v="1.2868651"/>
    <n v="0.33598149999999999"/>
    <n v="0"/>
    <n v="1.4450274000000001"/>
    <n v="1.2590393"/>
    <n v="0"/>
    <n v="0.1312091"/>
    <n v="0.2504788"/>
    <n v="0.20361180000000001"/>
    <n v="0"/>
    <n v="0"/>
    <n v="0.13328509999999999"/>
    <n v="0"/>
    <n v="0"/>
    <n v="0"/>
    <n v="0"/>
    <n v="0"/>
    <n v="0.2109229"/>
    <n v="0"/>
    <n v="0.30126330000000001"/>
    <n v="0"/>
    <n v="0"/>
  </r>
  <r>
    <x v="2"/>
    <s v="PEST CONTROL"/>
    <s v="SC JOHNSON"/>
    <x v="3"/>
    <x v="0"/>
    <x v="0"/>
    <x v="8"/>
    <x v="0"/>
    <m/>
    <m/>
    <m/>
    <m/>
    <m/>
    <m/>
    <m/>
    <m/>
    <m/>
    <n v="74.451999999999998"/>
    <n v="74.566999999999993"/>
    <n v="74.566999999999993"/>
    <n v="74.566999999999993"/>
    <n v="61.613"/>
    <n v="64.048000000000002"/>
    <n v="63.469000000000001"/>
    <m/>
    <m/>
    <m/>
    <m/>
    <m/>
    <m/>
    <m/>
    <m/>
    <m/>
    <m/>
    <m/>
    <m/>
    <m/>
    <m/>
    <n v="26.369"/>
    <m/>
    <m/>
    <m/>
    <m/>
    <m/>
    <m/>
    <m/>
  </r>
  <r>
    <x v="2"/>
    <s v="PEST CONTROL"/>
    <s v="SC JOHNSON"/>
    <x v="3"/>
    <x v="0"/>
    <x v="0"/>
    <x v="8"/>
    <x v="1"/>
    <m/>
    <m/>
    <m/>
    <m/>
    <m/>
    <m/>
    <m/>
    <m/>
    <m/>
    <n v="0"/>
    <n v="0"/>
    <n v="0"/>
    <n v="0"/>
    <n v="0"/>
    <n v="0"/>
    <n v="0"/>
    <n v="0"/>
    <n v="0.78910420000000003"/>
    <n v="0"/>
    <m/>
    <m/>
    <m/>
    <m/>
    <m/>
    <m/>
    <m/>
    <m/>
    <m/>
    <m/>
    <m/>
    <n v="0"/>
    <n v="0"/>
    <n v="0"/>
    <n v="0.3246329"/>
    <m/>
    <m/>
    <m/>
    <m/>
  </r>
  <r>
    <x v="2"/>
    <s v="PEST CONTROL"/>
    <s v="SC JOHNSON"/>
    <x v="3"/>
    <x v="0"/>
    <x v="0"/>
    <x v="9"/>
    <x v="0"/>
    <n v="15.454000000000001"/>
    <n v="15.454000000000001"/>
    <n v="15.454000000000001"/>
    <n v="14.35"/>
    <n v="14.35"/>
    <n v="7.1749999999999998"/>
    <n v="7.1749999999999998"/>
    <n v="7.1749999999999998"/>
    <n v="7.1749999999999998"/>
    <n v="7.1749999999999998"/>
    <n v="7.1749999999999998"/>
    <n v="7.1749999999999998"/>
    <n v="7.1749999999999998"/>
    <m/>
    <m/>
    <m/>
    <m/>
    <m/>
    <m/>
    <m/>
    <m/>
    <m/>
    <m/>
    <m/>
    <m/>
    <m/>
    <m/>
    <m/>
    <m/>
    <m/>
    <m/>
    <m/>
    <m/>
    <m/>
    <m/>
    <m/>
    <m/>
    <m/>
  </r>
  <r>
    <x v="2"/>
    <s v="PEST CONTROL"/>
    <s v="SC JOHNSON"/>
    <x v="3"/>
    <x v="0"/>
    <x v="0"/>
    <x v="9"/>
    <x v="1"/>
    <n v="0"/>
    <n v="0"/>
    <n v="0"/>
    <n v="0"/>
    <n v="0"/>
    <n v="0"/>
    <n v="6.0039299999999997E-2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</r>
  <r>
    <x v="2"/>
    <s v="PEST CONTROL"/>
    <s v="SC JOHNSON"/>
    <x v="3"/>
    <x v="0"/>
    <x v="0"/>
    <x v="10"/>
    <x v="0"/>
    <n v="1260.903"/>
    <n v="1318.1379999999999"/>
    <n v="2480.6689999999999"/>
    <n v="2882.3249999999998"/>
    <n v="2754.3319999999999"/>
    <n v="2751.5450000000001"/>
    <n v="2625.6509999999998"/>
    <n v="2658.393"/>
    <n v="3346.116"/>
    <n v="2452.5920000000001"/>
    <n v="1991.338"/>
    <n v="1781.018"/>
    <n v="1656.0170000000001"/>
    <n v="1769.8309999999999"/>
    <n v="1752.4649999999999"/>
    <n v="880.26700000000005"/>
    <n v="2017.0050000000001"/>
    <n v="1529.1969999999999"/>
    <n v="1600.992"/>
    <n v="1473.2139999999999"/>
    <n v="1550.9760000000001"/>
    <n v="1394.654"/>
    <n v="1275.944"/>
    <n v="1216.0319999999999"/>
    <n v="1271.3520000000001"/>
    <n v="1241.3240000000001"/>
    <n v="1012.6660000000001"/>
    <n v="1890.4559999999999"/>
    <n v="1289.97"/>
    <n v="876.09"/>
    <n v="844.88199999999995"/>
    <n v="387.12299999999999"/>
    <n v="722.46900000000005"/>
    <n v="302.233"/>
    <n v="467.50599999999997"/>
    <n v="1436.1890000000001"/>
    <n v="796.59"/>
    <n v="1019.611"/>
  </r>
  <r>
    <x v="2"/>
    <s v="PEST CONTROL"/>
    <s v="SC JOHNSON"/>
    <x v="3"/>
    <x v="0"/>
    <x v="0"/>
    <x v="10"/>
    <x v="1"/>
    <n v="0"/>
    <n v="1.4788948"/>
    <n v="0"/>
    <n v="0.1335895"/>
    <n v="0.13855219999999999"/>
    <n v="1.1546000000000001E-2"/>
    <n v="0.39949200000000001"/>
    <n v="0.94965900000000003"/>
    <n v="0.38000339999999999"/>
    <n v="0.48369430000000002"/>
    <n v="0.41176479999999999"/>
    <n v="0.32113770000000003"/>
    <n v="0"/>
    <n v="1.9262691999999999"/>
    <n v="0.17900350000000001"/>
    <n v="1.1716900000000001E-2"/>
    <n v="0.1376696"/>
    <n v="1.2727014999999999"/>
    <n v="0.91230299999999998"/>
    <n v="1.5758652"/>
    <n v="0.48623319999999998"/>
    <n v="0.74745709999999999"/>
    <n v="1.491519"/>
    <n v="0.1333172"/>
    <n v="0.68900779999999995"/>
    <n v="4.1207199999999999E-2"/>
    <n v="0.4192746"/>
    <n v="0"/>
    <n v="1.4831292"/>
    <n v="0.81898919999999997"/>
    <n v="3.1044071999999998"/>
    <n v="0.38740750000000002"/>
    <n v="2.7043303999999999"/>
    <n v="1.4078223000000001"/>
    <n v="2.6535525999999998"/>
    <n v="8.8650000000000007E-2"/>
    <n v="0.76731660000000002"/>
    <n v="0"/>
  </r>
  <r>
    <x v="2"/>
    <s v="PEST CONTROL"/>
    <s v="SC JOHNSON"/>
    <x v="3"/>
    <x v="0"/>
    <x v="3"/>
    <x v="11"/>
    <x v="0"/>
    <n v="68.372"/>
    <n v="68.372"/>
    <n v="36.686"/>
    <n v="63.485999999999997"/>
    <n v="57.860999999999997"/>
    <n v="63.485999999999997"/>
    <n v="61.610999999999997"/>
    <n v="23.405999999999999"/>
    <n v="5.625"/>
    <m/>
    <m/>
    <m/>
    <m/>
    <m/>
    <m/>
    <m/>
    <m/>
    <m/>
    <m/>
    <m/>
    <m/>
    <m/>
    <m/>
    <m/>
    <m/>
    <m/>
    <m/>
    <m/>
    <m/>
    <m/>
    <m/>
    <n v="19.559999999999999"/>
    <m/>
    <m/>
    <m/>
    <m/>
    <m/>
    <m/>
  </r>
  <r>
    <x v="2"/>
    <s v="PEST CONTROL"/>
    <s v="SC JOHNSON"/>
    <x v="3"/>
    <x v="0"/>
    <x v="3"/>
    <x v="11"/>
    <x v="1"/>
    <n v="0"/>
    <n v="3.0935000000000001E-2"/>
    <n v="0"/>
    <n v="0.24257500000000001"/>
    <n v="0"/>
    <n v="0"/>
    <n v="0"/>
    <n v="0"/>
    <n v="0"/>
    <n v="0.25058859999999999"/>
    <n v="2.3307700000000001E-2"/>
    <n v="0"/>
    <n v="0"/>
    <m/>
    <m/>
    <m/>
    <m/>
    <m/>
    <m/>
    <m/>
    <m/>
    <m/>
    <m/>
    <m/>
    <m/>
    <m/>
    <m/>
    <m/>
    <m/>
    <m/>
    <m/>
    <n v="0"/>
    <n v="0"/>
    <n v="0.2109229"/>
    <m/>
    <m/>
    <m/>
    <m/>
  </r>
  <r>
    <x v="2"/>
    <s v="PEST CONTROL"/>
    <s v="SC JOHNSON"/>
    <x v="3"/>
    <x v="0"/>
    <x v="3"/>
    <x v="8"/>
    <x v="0"/>
    <n v="1950.816"/>
    <n v="1590.2080000000001"/>
    <n v="2481.6480000000001"/>
    <n v="2978.2910000000002"/>
    <n v="2827.366"/>
    <n v="2538.0990000000002"/>
    <n v="2204.9209999999998"/>
    <n v="1936.6469999999999"/>
    <n v="1738.6079999999999"/>
    <n v="1600.5239999999999"/>
    <n v="1790.8019999999999"/>
    <n v="1610.9280000000001"/>
    <n v="1277.5709999999999"/>
    <n v="1193.8150000000001"/>
    <n v="2138.8969999999999"/>
    <n v="1446.251"/>
    <n v="1680.367"/>
    <n v="1847.9259999999999"/>
    <n v="2675.2249999999999"/>
    <n v="2437.7249999999999"/>
    <n v="2260.0100000000002"/>
    <n v="2151.3000000000002"/>
    <n v="2420.3240000000001"/>
    <n v="2377.085"/>
    <n v="2329.6590000000001"/>
    <n v="2442.462"/>
    <n v="1964.578"/>
    <n v="1297.7929999999999"/>
    <n v="1485.723"/>
    <n v="1493.6949999999999"/>
    <n v="1257.434"/>
    <n v="1110.079"/>
    <n v="969.30799999999999"/>
    <n v="1167.5650000000001"/>
    <n v="1153.538"/>
    <n v="1225.377"/>
    <n v="1350.143"/>
    <n v="1434.557"/>
  </r>
  <r>
    <x v="2"/>
    <s v="PEST CONTROL"/>
    <s v="SC JOHNSON"/>
    <x v="3"/>
    <x v="0"/>
    <x v="3"/>
    <x v="8"/>
    <x v="1"/>
    <n v="0"/>
    <n v="0.2223214"/>
    <n v="2.9640884000000001"/>
    <n v="2.2477691000000002"/>
    <n v="0.30275970000000002"/>
    <n v="1.874484"/>
    <n v="1.2835816"/>
    <n v="0.45202609999999999"/>
    <n v="3.8107928000000002"/>
    <n v="0.88450779999999996"/>
    <n v="2.2860735999999999"/>
    <n v="0.25123400000000001"/>
    <n v="1.1794617999999999"/>
    <n v="0"/>
    <n v="1.5698224000000001"/>
    <n v="0.1054525"/>
    <n v="1.9636958"/>
    <n v="1.5998254000000001"/>
    <n v="1.9752681999999999"/>
    <n v="3.1265048000000002"/>
    <n v="2.0110603"/>
    <n v="1.3202927"/>
    <n v="1.8150546999999999"/>
    <n v="1.2185435"/>
    <n v="1.21198E-2"/>
    <n v="0.70017079999999998"/>
    <n v="1.1065213"/>
    <n v="1.4287434999999999"/>
    <n v="1.7502628"/>
    <n v="0"/>
    <n v="0.18330199999999999"/>
    <n v="1.4040052000000001"/>
    <n v="2.2158937000000001"/>
    <n v="1.2680482"/>
    <n v="2.2642522"/>
    <n v="0.53983760000000003"/>
    <n v="2.3161439000000001"/>
    <n v="0"/>
  </r>
  <r>
    <x v="2"/>
    <s v="PEST CONTROL"/>
    <s v="SC JOHNSON"/>
    <x v="3"/>
    <x v="0"/>
    <x v="3"/>
    <x v="9"/>
    <x v="0"/>
    <n v="285.90800000000002"/>
    <n v="263.74900000000002"/>
    <n v="232.06299999999999"/>
    <n v="312.50200000000001"/>
    <n v="483.58199999999999"/>
    <n v="451.03500000000003"/>
    <n v="465.911"/>
    <n v="192.535"/>
    <n v="180.161"/>
    <n v="107.60299999999999"/>
    <n v="185.10300000000001"/>
    <n v="182.82400000000001"/>
    <n v="182.82400000000001"/>
    <n v="156.50899999999999"/>
    <n v="224.767"/>
    <n v="312.32"/>
    <n v="347.79899999999998"/>
    <n v="294.03899999999999"/>
    <n v="302.93599999999998"/>
    <n v="320.125"/>
    <n v="252.947"/>
    <n v="266.714"/>
    <n v="268.45800000000003"/>
    <n v="353.29"/>
    <n v="490.55500000000001"/>
    <n v="386.66"/>
    <n v="401.01499999999999"/>
    <n v="371.29599999999999"/>
    <n v="181.08699999999999"/>
    <n v="257.17099999999999"/>
    <n v="243.852"/>
    <n v="320.96199999999999"/>
    <n v="468.01400000000001"/>
    <n v="253.61099999999999"/>
    <n v="336.73200000000003"/>
    <n v="261.07499999999999"/>
    <n v="247.06700000000001"/>
    <n v="219.76"/>
  </r>
  <r>
    <x v="2"/>
    <s v="PEST CONTROL"/>
    <s v="SC JOHNSON"/>
    <x v="3"/>
    <x v="0"/>
    <x v="3"/>
    <x v="9"/>
    <x v="1"/>
    <n v="0"/>
    <n v="0"/>
    <n v="0.16844729999999999"/>
    <n v="0.1386143"/>
    <n v="0"/>
    <n v="0"/>
    <n v="0.9957049"/>
    <n v="0.2736403"/>
    <n v="0.63722840000000003"/>
    <n v="0"/>
    <n v="0.83186199999999999"/>
    <n v="0"/>
    <n v="0"/>
    <n v="1.1650799999999999E-2"/>
    <n v="0.17900350000000001"/>
    <n v="0.75156009999999995"/>
    <n v="0.50381220000000004"/>
    <n v="4.6865900000000002E-2"/>
    <n v="0.14294090000000001"/>
    <n v="0.14294090000000001"/>
    <n v="0.23843"/>
    <n v="0.37372850000000002"/>
    <n v="0.35731039999999997"/>
    <n v="0.1333172"/>
    <n v="0.32480930000000002"/>
    <n v="0"/>
    <n v="0.2156962"/>
    <n v="1.21168E-2"/>
    <n v="1.1618833"/>
    <n v="1.0229326000000001"/>
    <n v="1.1830384"/>
    <n v="0.17827999999999999"/>
    <n v="3.7664799999999998E-2"/>
    <n v="0.1581921"/>
    <n v="1.2214851"/>
    <n v="1.0697072999999999"/>
    <n v="0.29156720000000003"/>
    <n v="0"/>
  </r>
  <r>
    <x v="2"/>
    <s v="PEST CONTROL"/>
    <s v="SC JOHNSON"/>
    <x v="3"/>
    <x v="0"/>
    <x v="3"/>
    <x v="10"/>
    <x v="0"/>
    <n v="4876.6729999999998"/>
    <n v="4310.1760000000004"/>
    <n v="4143.723"/>
    <n v="4842.5309999999999"/>
    <n v="5075.07"/>
    <n v="5109.058"/>
    <n v="4575.6130000000003"/>
    <n v="2422.9989999999998"/>
    <n v="3160.1559999999999"/>
    <n v="2580.377"/>
    <n v="2701.2660000000001"/>
    <n v="2697.3139999999999"/>
    <n v="2561.8449999999998"/>
    <n v="2077.9989999999998"/>
    <n v="2392.6819999999998"/>
    <n v="2290.386"/>
    <n v="2362.337"/>
    <n v="2148.7669999999998"/>
    <n v="2382.4870000000001"/>
    <n v="2867.9279999999999"/>
    <n v="3318.2660000000001"/>
    <n v="3369.6979999999999"/>
    <n v="2906.0320000000002"/>
    <n v="3298.252"/>
    <n v="3261.4279999999999"/>
    <n v="2737.8890000000001"/>
    <n v="2880.6759999999999"/>
    <n v="3682.578"/>
    <n v="3398.777"/>
    <n v="3261.694"/>
    <n v="3252.3310000000001"/>
    <n v="2763.6819999999998"/>
    <n v="1991.277"/>
    <n v="4024.7339999999999"/>
    <n v="3694.9540000000002"/>
    <n v="3817.2539999999999"/>
    <n v="4755.6589999999997"/>
    <n v="4612.4309999999996"/>
  </r>
  <r>
    <x v="2"/>
    <s v="PEST CONTROL"/>
    <s v="SC JOHNSON"/>
    <x v="3"/>
    <x v="0"/>
    <x v="3"/>
    <x v="10"/>
    <x v="1"/>
    <n v="0"/>
    <n v="0.4729911"/>
    <n v="1.9809262000000001"/>
    <n v="3.1982472"/>
    <n v="0.22168360000000001"/>
    <n v="1.3637113999999999"/>
    <n v="2.5257592"/>
    <n v="2.7435271999999999"/>
    <n v="2.5817733"/>
    <n v="1.3951374000000001"/>
    <n v="1.8212139000000001"/>
    <n v="3.6881903"/>
    <n v="0.81392120000000001"/>
    <n v="0"/>
    <n v="3.0066388000000002"/>
    <n v="0.35853859999999999"/>
    <n v="3.6838628"/>
    <n v="0.67766890000000002"/>
    <n v="2.5202597999999998"/>
    <n v="2.5922689999999999"/>
    <n v="3.3527005999999999"/>
    <n v="1.2512291"/>
    <n v="0.64784470000000005"/>
    <n v="0.4759061"/>
    <n v="2.6033224000000001"/>
    <n v="0.45535160000000002"/>
    <n v="1.5878266999999999"/>
    <n v="1.21168E-2"/>
    <n v="0.65414539999999999"/>
    <n v="4.4318244"/>
    <n v="1.3720779999999999"/>
    <n v="3.3628377999999999"/>
    <n v="4.4254346"/>
    <n v="4.8545404000000003"/>
    <n v="2.3740190999999999"/>
    <n v="2.0448311000000001"/>
    <n v="1.9692539"/>
    <n v="1.5503465999999999"/>
  </r>
  <r>
    <x v="2"/>
    <s v="PEST CONTROL"/>
    <s v="SC JOHNSON"/>
    <x v="4"/>
    <x v="6"/>
    <x v="3"/>
    <x v="0"/>
    <x v="0"/>
    <n v="261.50599999999997"/>
    <n v="229.82"/>
    <n v="215.267"/>
    <n v="435.202"/>
    <n v="246.79300000000001"/>
    <n v="422.57"/>
    <n v="327.15800000000002"/>
    <n v="153.09100000000001"/>
    <n v="180.71299999999999"/>
    <n v="199.36699999999999"/>
    <n v="177.767"/>
    <n v="167.75299999999999"/>
    <n v="81.231999999999999"/>
    <n v="81.997"/>
    <n v="427.32799999999997"/>
    <n v="363.38"/>
    <n v="363.68200000000002"/>
    <n v="162.44"/>
    <m/>
    <n v="31.189"/>
    <n v="28.975999999999999"/>
    <n v="28.975999999999999"/>
    <n v="28.975999999999999"/>
    <n v="48.164000000000001"/>
    <n v="47.972000000000001"/>
    <n v="39.411999999999999"/>
    <n v="28.411999999999999"/>
    <n v="70.608999999999995"/>
    <n v="70.608999999999995"/>
    <n v="40.634999999999998"/>
    <n v="55.2"/>
    <n v="45.24"/>
    <n v="45.24"/>
    <n v="45.24"/>
    <n v="35.64"/>
    <n v="16.440000000000001"/>
    <n v="7.3360000000000003"/>
    <n v="7.3360000000000003"/>
  </r>
  <r>
    <x v="2"/>
    <s v="PEST CONTROL"/>
    <s v="SC JOHNSON"/>
    <x v="4"/>
    <x v="6"/>
    <x v="3"/>
    <x v="0"/>
    <x v="1"/>
    <n v="0"/>
    <n v="0"/>
    <n v="3.0154400000000001E-2"/>
    <n v="6.9307099999999996E-2"/>
    <n v="0"/>
    <n v="0.44336700000000001"/>
    <n v="0.30275950000000001"/>
    <n v="4.6184000000000003E-2"/>
    <n v="0.76816629999999997"/>
    <n v="1.0602928"/>
    <n v="2.3307700000000001E-2"/>
    <n v="0"/>
    <n v="0.19063369999999999"/>
    <n v="1.1611978000000001"/>
    <n v="7.5730500000000006E-2"/>
    <n v="0"/>
    <n v="0"/>
    <n v="0.28939680000000001"/>
    <n v="0.21647350000000001"/>
    <n v="0"/>
    <n v="0.26362039999999998"/>
    <n v="1.17156E-2"/>
    <n v="2.3430200000000002E-2"/>
    <n v="6.7870600000000003E-2"/>
    <n v="0"/>
    <n v="0"/>
    <n v="0"/>
    <n v="0"/>
    <n v="0"/>
    <n v="0"/>
    <n v="0.21092279999999999"/>
    <n v="0"/>
    <n v="1.2554900000000001E-2"/>
    <n v="0.51726320000000003"/>
    <n v="1.88323E-2"/>
    <n v="8.8650000000000007E-2"/>
    <n v="0"/>
    <n v="1.9641200000000001E-2"/>
  </r>
  <r>
    <x v="3"/>
    <s v="PEST CONTROL"/>
    <s v="SC JOHNSON"/>
    <x v="0"/>
    <x v="0"/>
    <x v="0"/>
    <x v="0"/>
    <x v="0"/>
    <n v="3097.3879999999999"/>
    <n v="3130.3359999999998"/>
    <n v="3428.9859999999999"/>
    <n v="3217.79"/>
    <n v="3433.2829999999999"/>
    <n v="3084.6170000000002"/>
    <n v="3410.39"/>
    <n v="3258.9259999999999"/>
    <n v="2621.0970000000002"/>
    <n v="2249.5059999999999"/>
    <n v="2451.3850000000002"/>
    <n v="2585.395"/>
    <n v="2547.5880000000002"/>
    <n v="2290.893"/>
    <n v="3873.721"/>
    <n v="3499.288"/>
    <n v="3284.4169999999999"/>
    <n v="3355.866"/>
    <n v="3214.8539999999998"/>
    <n v="3676.7510000000002"/>
    <n v="3459.3989999999999"/>
    <n v="3352.768"/>
    <n v="3336.5120000000002"/>
    <n v="2781.2260000000001"/>
    <n v="2921.7510000000002"/>
    <n v="2862.49"/>
    <n v="2706.4810000000002"/>
    <n v="3319.0450000000001"/>
    <n v="3720.672"/>
    <n v="3517.3380000000002"/>
    <n v="4967.241"/>
    <n v="4684.4539999999997"/>
    <n v="4170.2700000000004"/>
    <n v="4592.3469999999998"/>
    <n v="3730.663"/>
    <n v="3992.4479999999999"/>
    <n v="3757.7159999999999"/>
    <n v="4571.9380000000001"/>
  </r>
  <r>
    <x v="3"/>
    <s v="PEST CONTROL"/>
    <s v="SC JOHNSON"/>
    <x v="0"/>
    <x v="0"/>
    <x v="0"/>
    <x v="0"/>
    <x v="1"/>
    <n v="0"/>
    <n v="0.24675569999999999"/>
    <n v="0.62129869999999998"/>
    <n v="0.97173909999999997"/>
    <n v="0.81809829999999994"/>
    <n v="1.4424119"/>
    <n v="1.6608784000000001"/>
    <n v="1.8638623999999999"/>
    <n v="2.0669832000000001"/>
    <n v="1.6494939"/>
    <n v="0.36847099999999999"/>
    <n v="1.2023391999999999"/>
    <n v="0.57336540000000003"/>
    <n v="0.43585089999999999"/>
    <n v="0.98494999999999999"/>
    <n v="1.1201961"/>
    <n v="0.88801799999999997"/>
    <n v="1.5914838"/>
    <n v="0.92041249999999997"/>
    <n v="1.8803962999999999"/>
    <n v="2.0089910999999998"/>
    <n v="2.1855614000000001"/>
    <n v="0.89520489999999997"/>
    <n v="0.67120970000000002"/>
    <n v="1.8529236"/>
    <n v="0.76252580000000003"/>
    <n v="0.32284170000000001"/>
    <n v="1.1449502"/>
    <n v="1.0136616000000001"/>
    <n v="1.4305216000000001"/>
    <n v="1.9936411000000001"/>
    <n v="1.6185695"/>
    <n v="3.6037330999999999"/>
    <n v="3.8003727999999999"/>
    <n v="2.9983906999999999"/>
    <n v="1.4426136000000001"/>
    <n v="0.61359359999999996"/>
    <n v="1.1957704"/>
  </r>
  <r>
    <x v="3"/>
    <s v="PEST CONTROL"/>
    <s v="SC JOHNSON"/>
    <x v="0"/>
    <x v="0"/>
    <x v="0"/>
    <x v="1"/>
    <x v="0"/>
    <n v="411.36799999999999"/>
    <n v="342.78500000000003"/>
    <n v="338.94799999999998"/>
    <n v="458.18299999999999"/>
    <n v="329.41800000000001"/>
    <n v="205.08"/>
    <n v="214.61699999999999"/>
    <n v="359.541"/>
    <n v="391.37"/>
    <n v="391.37"/>
    <n v="381.50799999999998"/>
    <n v="367.02800000000002"/>
    <n v="354.31099999999998"/>
    <n v="130.31299999999999"/>
    <n v="62.411000000000001"/>
    <n v="40.685000000000002"/>
    <n v="40.685000000000002"/>
    <n v="40.685000000000002"/>
    <m/>
    <m/>
    <m/>
    <m/>
    <m/>
    <m/>
    <m/>
    <m/>
    <m/>
    <m/>
    <m/>
    <m/>
    <m/>
    <m/>
    <m/>
    <m/>
    <m/>
    <m/>
    <m/>
    <m/>
  </r>
  <r>
    <x v="3"/>
    <s v="PEST CONTROL"/>
    <s v="SC JOHNSON"/>
    <x v="0"/>
    <x v="0"/>
    <x v="0"/>
    <x v="1"/>
    <x v="1"/>
    <n v="0"/>
    <n v="0.37422319999999998"/>
    <n v="0.20432810000000001"/>
    <n v="0.18764149999999999"/>
    <n v="0.1072072"/>
    <n v="0.183314"/>
    <n v="0.44487929999999998"/>
    <n v="2.1344700000000001E-2"/>
    <n v="0.20589689999999999"/>
    <n v="0.1394938"/>
    <n v="0"/>
    <n v="6.7194199999999996E-2"/>
    <n v="0"/>
    <n v="0.11635810000000001"/>
    <n v="8.1981999999999999E-2"/>
    <n v="9.5697000000000004E-2"/>
    <n v="0.1111412"/>
    <n v="0"/>
    <n v="4.3254000000000001E-3"/>
    <n v="4.1090000000000002E-2"/>
    <n v="0.15505250000000001"/>
    <m/>
    <m/>
    <n v="0"/>
    <n v="4.3888E-3"/>
    <n v="4.3876999999999996E-3"/>
    <n v="4.3867000000000003E-3"/>
    <n v="4.3848999999999997E-3"/>
    <n v="0"/>
    <n v="4.5009000000000004E-3"/>
    <m/>
    <m/>
    <m/>
    <m/>
    <m/>
    <m/>
    <m/>
    <m/>
  </r>
  <r>
    <x v="3"/>
    <s v="PEST CONTROL"/>
    <s v="SC JOHNSON"/>
    <x v="0"/>
    <x v="0"/>
    <x v="1"/>
    <x v="0"/>
    <x v="0"/>
    <n v="17963.984"/>
    <n v="15882.588"/>
    <n v="19614.507000000001"/>
    <n v="21539.331999999999"/>
    <n v="20915.217000000001"/>
    <n v="22109.901999999998"/>
    <n v="20900.242999999999"/>
    <n v="18337.402999999998"/>
    <n v="18399.682000000001"/>
    <n v="18902.025000000001"/>
    <n v="18275.578000000001"/>
    <n v="19333.843000000001"/>
    <n v="19254.243999999999"/>
    <n v="20997.558000000001"/>
    <n v="25351.952000000001"/>
    <n v="26784.018"/>
    <n v="24769.942999999999"/>
    <n v="24031.037"/>
    <n v="22207.891"/>
    <n v="21519.483"/>
    <n v="20699.462"/>
    <n v="19027.166000000001"/>
    <n v="19574.585999999999"/>
    <n v="19254.946"/>
    <n v="18954.999"/>
    <n v="20722.861000000001"/>
    <n v="23032.736000000001"/>
    <n v="23805.464"/>
    <n v="25301.385999999999"/>
    <n v="24049.167000000001"/>
    <n v="22566.291000000001"/>
    <n v="18583.683000000001"/>
    <n v="17603.989000000001"/>
    <n v="16224.984"/>
    <n v="15293.950999999999"/>
    <n v="16077.46"/>
    <n v="16286.861000000001"/>
    <n v="19052.558000000001"/>
  </r>
  <r>
    <x v="3"/>
    <s v="PEST CONTROL"/>
    <s v="SC JOHNSON"/>
    <x v="0"/>
    <x v="0"/>
    <x v="1"/>
    <x v="0"/>
    <x v="1"/>
    <n v="0"/>
    <n v="2.2271383"/>
    <n v="1.7795860999999999"/>
    <n v="4.1483435999999996"/>
    <n v="1.6972651000000001"/>
    <n v="4.7947217999999996"/>
    <n v="5.9394118000000002"/>
    <n v="5.9217171000000004"/>
    <n v="7.9099564000000004"/>
    <n v="5.9091101999999998"/>
    <n v="4.2206334999999999"/>
    <n v="3.3373952999999998"/>
    <n v="3.8674043999999999"/>
    <n v="3.5505467999999998"/>
    <n v="2.2666596000000001"/>
    <n v="2.5163416000000001"/>
    <n v="2.9302313999999998"/>
    <n v="5.3075039000000004"/>
    <n v="4.9794485999999996"/>
    <n v="6.7318262000000004"/>
    <n v="5.8138167999999997"/>
    <n v="6.4003388000000001"/>
    <n v="5.6703916999999997"/>
    <n v="4.3965778999999996"/>
    <n v="1.9441586"/>
    <n v="2.4603573999999999"/>
    <n v="2.7340762000000001"/>
    <n v="2.8824605000000001"/>
    <n v="1.4336816999999999"/>
    <n v="3.4544788"/>
    <n v="5.2310233999999998"/>
    <n v="5.6829549000000004"/>
    <n v="9.6732268999999995"/>
    <n v="6.8547282000000003"/>
    <n v="12.662710000000001"/>
    <n v="3.4167481"/>
    <n v="4.2220313000000003"/>
    <n v="1.5157940999999999"/>
  </r>
  <r>
    <x v="3"/>
    <s v="PEST CONTROL"/>
    <s v="SC JOHNSON"/>
    <x v="0"/>
    <x v="0"/>
    <x v="1"/>
    <x v="12"/>
    <x v="0"/>
    <n v="950.41399999999999"/>
    <n v="920.29499999999996"/>
    <n v="933.43"/>
    <n v="1097.1410000000001"/>
    <n v="1166.356"/>
    <n v="1195.1300000000001"/>
    <n v="1337.134"/>
    <n v="1061.403"/>
    <n v="1040.701"/>
    <n v="883.38800000000003"/>
    <n v="913.88900000000001"/>
    <n v="1014.119"/>
    <n v="827.39300000000003"/>
    <n v="767.21"/>
    <n v="896.19100000000003"/>
    <n v="1211.7729999999999"/>
    <n v="1372.527"/>
    <n v="1222.6759999999999"/>
    <n v="1051.672"/>
    <n v="898.42600000000004"/>
    <n v="935.12400000000002"/>
    <n v="952.06600000000003"/>
    <n v="857.16399999999999"/>
    <n v="826.56399999999996"/>
    <n v="959.19100000000003"/>
    <n v="1008.501"/>
    <n v="1015.552"/>
    <n v="1169.607"/>
    <n v="1580.7239999999999"/>
    <n v="1626.73"/>
    <n v="1451.7940000000001"/>
    <n v="1404.846"/>
    <n v="1152.655"/>
    <n v="1090.423"/>
    <n v="911.91"/>
    <n v="992.37800000000004"/>
    <n v="1035.905"/>
    <n v="860.07500000000005"/>
  </r>
  <r>
    <x v="3"/>
    <s v="PEST CONTROL"/>
    <s v="SC JOHNSON"/>
    <x v="0"/>
    <x v="0"/>
    <x v="1"/>
    <x v="12"/>
    <x v="1"/>
    <n v="0"/>
    <n v="0.2822152"/>
    <n v="8.2870700000000005E-2"/>
    <n v="0.58715890000000004"/>
    <n v="0.28502070000000002"/>
    <n v="0.50470800000000005"/>
    <n v="0.4532928"/>
    <n v="1.1907954999999999"/>
    <n v="0.73920330000000001"/>
    <n v="0.4059489"/>
    <n v="0.27437489999999998"/>
    <n v="0.16808100000000001"/>
    <n v="0.148837"/>
    <n v="0.20961009999999999"/>
    <n v="0.15457270000000001"/>
    <n v="0.10175919999999999"/>
    <n v="9.8055299999999998E-2"/>
    <n v="0.54672109999999996"/>
    <n v="0.79801270000000002"/>
    <n v="0.9727133"/>
    <n v="0.58126619999999996"/>
    <n v="0.55615539999999997"/>
    <n v="0.11801540000000001"/>
    <n v="0.33511770000000002"/>
    <n v="7.8998899999999997E-2"/>
    <n v="0.28704960000000002"/>
    <n v="0.15616769999999999"/>
    <n v="0.28882140000000001"/>
    <n v="0.24188950000000001"/>
    <n v="0.56840630000000003"/>
    <n v="0.53424899999999997"/>
    <n v="0.29493469999999999"/>
    <n v="1.2198306000000001"/>
    <n v="1.3939162"/>
    <n v="0.64991509999999997"/>
    <n v="0.59582869999999999"/>
    <n v="0.35616540000000002"/>
    <n v="0.39669460000000001"/>
  </r>
  <r>
    <x v="3"/>
    <s v="PEST CONTROL"/>
    <s v="SC JOHNSON"/>
    <x v="0"/>
    <x v="0"/>
    <x v="1"/>
    <x v="2"/>
    <x v="0"/>
    <n v="2305.09"/>
    <n v="2244.5540000000001"/>
    <n v="2346.92"/>
    <n v="2298.0160000000001"/>
    <n v="2596.6030000000001"/>
    <n v="2164.2779999999998"/>
    <n v="2138.71"/>
    <n v="1948.992"/>
    <n v="1895.02"/>
    <n v="2099.2249999999999"/>
    <n v="2138.152"/>
    <n v="2178.1849999999999"/>
    <n v="2217.5059999999999"/>
    <n v="2646.9810000000002"/>
    <n v="2680.8209999999999"/>
    <n v="2644.61"/>
    <n v="3069.0569999999998"/>
    <n v="3121.8029999999999"/>
    <n v="2631.424"/>
    <n v="2354.2130000000002"/>
    <n v="2422.4630000000002"/>
    <n v="2174.335"/>
    <n v="2047.829"/>
    <n v="2090.692"/>
    <n v="2207.134"/>
    <n v="2211.1410000000001"/>
    <n v="2195.0479999999998"/>
    <n v="2258.4209999999998"/>
    <n v="2273.7139999999999"/>
    <n v="1821.973"/>
    <n v="1765.934"/>
    <n v="1866.395"/>
    <n v="1447.4190000000001"/>
    <n v="1422.6690000000001"/>
    <n v="1496.3420000000001"/>
    <n v="1335.0409999999999"/>
    <n v="1451.5229999999999"/>
    <n v="1403.5889999999999"/>
  </r>
  <r>
    <x v="3"/>
    <s v="PEST CONTROL"/>
    <s v="SC JOHNSON"/>
    <x v="0"/>
    <x v="0"/>
    <x v="1"/>
    <x v="2"/>
    <x v="1"/>
    <n v="0"/>
    <n v="0.18745220000000001"/>
    <n v="0.17496819999999999"/>
    <n v="0.66926620000000003"/>
    <n v="0.36972430000000001"/>
    <n v="0.88397110000000001"/>
    <n v="1.4745771999999999"/>
    <n v="1.3941422000000001"/>
    <n v="1.4397036000000001"/>
    <n v="0.7043296"/>
    <n v="0.30255910000000003"/>
    <n v="0.66198040000000002"/>
    <n v="0.361008"/>
    <n v="0.26153480000000001"/>
    <n v="0.33237889999999998"/>
    <n v="0.36150510000000002"/>
    <n v="0.37611600000000001"/>
    <n v="0.89355510000000005"/>
    <n v="1.3328816000000001"/>
    <n v="2.18919"/>
    <n v="1.1991319"/>
    <n v="1.2976844999999999"/>
    <n v="0.38335540000000001"/>
    <n v="0.49696679999999999"/>
    <n v="0.41606090000000001"/>
    <n v="0.62594899999999998"/>
    <n v="0.49170029999999998"/>
    <n v="0.41348889999999999"/>
    <n v="0.13978760000000001"/>
    <n v="1.0154240000000001"/>
    <n v="0.555697"/>
    <n v="1.0823737"/>
    <n v="1.2683434"/>
    <n v="1.4875430999999999"/>
    <n v="1.580635"/>
    <n v="0.43498510000000001"/>
    <n v="0.42395830000000001"/>
    <n v="0.45476460000000002"/>
  </r>
  <r>
    <x v="3"/>
    <s v="PEST CONTROL"/>
    <s v="SC JOHNSON"/>
    <x v="0"/>
    <x v="0"/>
    <x v="1"/>
    <x v="3"/>
    <x v="0"/>
    <n v="34153.158000000003"/>
    <n v="33139.964"/>
    <n v="36455.067999999999"/>
    <n v="37252.762000000002"/>
    <n v="35754.027999999998"/>
    <n v="36903.423000000003"/>
    <n v="35228.688000000002"/>
    <n v="34111.603999999999"/>
    <n v="33939.383999999998"/>
    <n v="33950.15"/>
    <n v="34617.529000000002"/>
    <n v="36560.023999999998"/>
    <n v="36287.601000000002"/>
    <n v="35382.550999999999"/>
    <n v="41188.254000000001"/>
    <n v="45564.726000000002"/>
    <n v="43019.79"/>
    <n v="45473.322"/>
    <n v="44047.881999999998"/>
    <n v="40474.955999999998"/>
    <n v="37879.303999999996"/>
    <n v="36947.902999999998"/>
    <n v="37232.328999999998"/>
    <n v="36500.550999999999"/>
    <n v="37725.321000000004"/>
    <n v="40847.480000000003"/>
    <n v="41573.468000000001"/>
    <n v="42035.372000000003"/>
    <n v="44835.557000000001"/>
    <n v="41522.400999999998"/>
    <n v="38522.67"/>
    <n v="33530.050000000003"/>
    <n v="30194.932000000001"/>
    <n v="28618.454000000002"/>
    <n v="27534.937000000002"/>
    <n v="25015.335999999999"/>
    <n v="25565.957999999999"/>
    <n v="27731.352999999999"/>
  </r>
  <r>
    <x v="3"/>
    <s v="PEST CONTROL"/>
    <s v="SC JOHNSON"/>
    <x v="0"/>
    <x v="0"/>
    <x v="1"/>
    <x v="3"/>
    <x v="1"/>
    <n v="0"/>
    <n v="4.4210450999999997"/>
    <n v="2.7561157999999999"/>
    <n v="4.6502591000000004"/>
    <n v="3.5013359999999998"/>
    <n v="4.5446087999999998"/>
    <n v="6.2434852000000003"/>
    <n v="7.3948134000000003"/>
    <n v="7.3513178000000003"/>
    <n v="8.0100043999999997"/>
    <n v="4.4977662"/>
    <n v="3.9468861999999998"/>
    <n v="2.9664535999999999"/>
    <n v="5.070271"/>
    <n v="3.3810984999999998"/>
    <n v="1.8950731999999999"/>
    <n v="5.4694354000000001"/>
    <n v="6.8716287999999999"/>
    <n v="5.7230781000000004"/>
    <n v="7.6630818999999999"/>
    <n v="7.9001546999999999"/>
    <n v="6.6384328999999997"/>
    <n v="6.7167728999999996"/>
    <n v="4.1067698000000004"/>
    <n v="4.7562297999999998"/>
    <n v="3.0552369000000001"/>
    <n v="5.1785795999999999"/>
    <n v="4.0323260999999997"/>
    <n v="2.9985184"/>
    <n v="5.5118100999999999"/>
    <n v="3.3857008"/>
    <n v="5.1443963999999998"/>
    <n v="11.854149100000001"/>
    <n v="8.1086001999999997"/>
    <n v="12.1123525"/>
    <n v="5.4229023999999999"/>
    <n v="5.371245"/>
    <n v="3.6927072000000001"/>
  </r>
  <r>
    <x v="3"/>
    <s v="PEST CONTROL"/>
    <s v="SC JOHNSON"/>
    <x v="1"/>
    <x v="1"/>
    <x v="2"/>
    <x v="0"/>
    <x v="0"/>
    <n v="55.002000000000002"/>
    <n v="879.88300000000004"/>
    <n v="829.59900000000005"/>
    <n v="712.91300000000001"/>
    <n v="378.14100000000002"/>
    <n v="166.3"/>
    <n v="221.73400000000001"/>
    <n v="332.601"/>
    <n v="285.96199999999999"/>
    <m/>
    <n v="126.01600000000001"/>
    <n v="210.02600000000001"/>
    <n v="296.65899999999999"/>
    <n v="169.13399999999999"/>
    <n v="282.68"/>
    <m/>
    <m/>
    <m/>
    <m/>
    <m/>
    <m/>
    <m/>
    <m/>
    <m/>
    <m/>
    <m/>
    <m/>
    <n v="34.171999999999997"/>
    <n v="34.171999999999997"/>
    <m/>
    <n v="32.381999999999998"/>
    <n v="32.381999999999998"/>
    <m/>
    <m/>
    <m/>
    <m/>
    <m/>
    <m/>
  </r>
  <r>
    <x v="3"/>
    <s v="PEST CONTROL"/>
    <s v="SC JOHNSON"/>
    <x v="1"/>
    <x v="1"/>
    <x v="2"/>
    <x v="0"/>
    <x v="1"/>
    <n v="0"/>
    <n v="0"/>
    <n v="0"/>
    <n v="0.198964"/>
    <n v="0"/>
    <n v="0"/>
    <n v="0.51127400000000001"/>
    <n v="0"/>
    <n v="0"/>
    <n v="0"/>
    <n v="0"/>
    <n v="0"/>
    <n v="0"/>
    <n v="0"/>
    <n v="0"/>
    <n v="0"/>
    <n v="0.22569990000000001"/>
    <n v="0"/>
    <m/>
    <m/>
    <m/>
    <m/>
    <m/>
    <m/>
    <m/>
    <m/>
    <m/>
    <n v="0"/>
    <n v="0.22703429999999999"/>
    <n v="0"/>
    <n v="0.22093860000000001"/>
    <n v="0"/>
    <n v="0"/>
    <n v="0"/>
    <n v="0.24422679999999999"/>
    <m/>
    <m/>
    <m/>
  </r>
  <r>
    <x v="3"/>
    <s v="PEST CONTROL"/>
    <s v="SC JOHNSON"/>
    <x v="1"/>
    <x v="1"/>
    <x v="2"/>
    <x v="4"/>
    <x v="0"/>
    <n v="179.18299999999999"/>
    <n v="117.53700000000001"/>
    <n v="170.369"/>
    <n v="216.09700000000001"/>
    <n v="176.244"/>
    <n v="121.483"/>
    <n v="121.483"/>
    <n v="70.710999999999999"/>
    <n v="53.823"/>
    <n v="34.606999999999999"/>
    <n v="69.241"/>
    <n v="69.241"/>
    <n v="69.241"/>
    <n v="69.241"/>
    <n v="69.016000000000005"/>
    <n v="63.905999999999999"/>
    <n v="62.438000000000002"/>
    <n v="97.716999999999999"/>
    <n v="66.013999999999996"/>
    <n v="63.485999999999997"/>
    <n v="63.485999999999997"/>
    <n v="64.207999999999998"/>
    <n v="50.093000000000004"/>
    <n v="44.655999999999999"/>
    <n v="48.500999999999998"/>
    <n v="45.341000000000001"/>
    <n v="41.436999999999998"/>
    <n v="36.229999999999997"/>
    <n v="4.9669999999999996"/>
    <n v="5.54"/>
    <n v="5.54"/>
    <n v="4.4320000000000004"/>
    <n v="4.4320000000000004"/>
    <n v="36.863"/>
    <n v="36.904000000000003"/>
    <n v="5.0430000000000001"/>
    <n v="33.389000000000003"/>
    <n v="33.874000000000002"/>
  </r>
  <r>
    <x v="3"/>
    <s v="PEST CONTROL"/>
    <s v="SC JOHNSON"/>
    <x v="1"/>
    <x v="1"/>
    <x v="2"/>
    <x v="4"/>
    <x v="1"/>
    <n v="0"/>
    <n v="0"/>
    <n v="4.2836000000000003E-3"/>
    <n v="0.23893880000000001"/>
    <n v="2.27726E-2"/>
    <n v="0.23745669999999999"/>
    <n v="0.20418259999999999"/>
    <n v="0"/>
    <n v="0"/>
    <n v="9.3235799999999994E-2"/>
    <n v="0.1026207"/>
    <n v="0"/>
    <n v="0"/>
    <n v="0"/>
    <n v="0"/>
    <n v="0"/>
    <n v="0"/>
    <n v="0"/>
    <n v="0"/>
    <n v="8.0943000000000001E-2"/>
    <n v="0"/>
    <n v="0"/>
    <n v="0"/>
    <n v="0"/>
    <n v="0.11762060000000001"/>
    <n v="0"/>
    <n v="0"/>
    <n v="2.63095E-2"/>
    <n v="2.27867E-2"/>
    <n v="0.1164196"/>
    <n v="0"/>
    <n v="0"/>
    <n v="0"/>
    <n v="0"/>
    <n v="0"/>
    <n v="0"/>
    <n v="0"/>
    <n v="0.2313547"/>
  </r>
  <r>
    <x v="3"/>
    <s v="PEST CONTROL"/>
    <s v="SC JOHNSON"/>
    <x v="1"/>
    <x v="1"/>
    <x v="2"/>
    <x v="5"/>
    <x v="0"/>
    <n v="19.347999999999999"/>
    <n v="25.597999999999999"/>
    <n v="25.597999999999999"/>
    <n v="25.597999999999999"/>
    <n v="23.984999999999999"/>
    <n v="23.984999999999999"/>
    <n v="23.984999999999999"/>
    <n v="17.018999999999998"/>
    <n v="16.779"/>
    <n v="16.779"/>
    <n v="16.779"/>
    <n v="16.779"/>
    <n v="16.779"/>
    <n v="16.779"/>
    <n v="16.779"/>
    <m/>
    <m/>
    <m/>
    <m/>
    <m/>
    <m/>
    <m/>
    <m/>
    <m/>
    <m/>
    <m/>
    <m/>
    <m/>
    <m/>
    <m/>
    <m/>
    <m/>
    <m/>
    <m/>
    <m/>
    <m/>
    <m/>
    <m/>
  </r>
  <r>
    <x v="3"/>
    <s v="PEST CONTROL"/>
    <s v="SC JOHNSON"/>
    <x v="1"/>
    <x v="1"/>
    <x v="2"/>
    <x v="5"/>
    <x v="1"/>
    <n v="0"/>
    <n v="0"/>
    <n v="0"/>
    <n v="0"/>
    <n v="0"/>
    <n v="0"/>
    <n v="0"/>
    <n v="0"/>
    <n v="0"/>
    <n v="0"/>
    <n v="0"/>
    <n v="0"/>
    <n v="0"/>
    <n v="0"/>
    <n v="0"/>
    <n v="0"/>
    <n v="4.83074E-2"/>
    <n v="0"/>
    <m/>
    <m/>
    <m/>
    <m/>
    <m/>
    <m/>
    <m/>
    <m/>
    <m/>
    <m/>
    <m/>
    <m/>
    <m/>
    <m/>
    <m/>
    <m/>
    <m/>
    <m/>
    <m/>
    <m/>
  </r>
  <r>
    <x v="3"/>
    <s v="PEST CONTROL"/>
    <s v="SC JOHNSON"/>
    <x v="1"/>
    <x v="1"/>
    <x v="3"/>
    <x v="0"/>
    <x v="0"/>
    <n v="13400.819"/>
    <n v="13686.012000000001"/>
    <n v="14636.39"/>
    <n v="15329.708000000001"/>
    <n v="12417.816999999999"/>
    <n v="13987.464"/>
    <n v="12598.739"/>
    <n v="11603.433000000001"/>
    <n v="11434.373"/>
    <n v="10866.564"/>
    <n v="9730.0969999999998"/>
    <n v="10578.048000000001"/>
    <n v="12125.125"/>
    <n v="12427.621999999999"/>
    <n v="15635.668"/>
    <n v="12705.323"/>
    <n v="10626.484"/>
    <n v="9685.4179999999997"/>
    <n v="11184.950999999999"/>
    <n v="9956.1020000000008"/>
    <n v="10192.794"/>
    <n v="10141.352999999999"/>
    <n v="10266.495000000001"/>
    <n v="9898.8649999999998"/>
    <n v="10948.700999999999"/>
    <n v="13349.78"/>
    <n v="15533.482"/>
    <n v="13056.184999999999"/>
    <n v="15260.731"/>
    <n v="11448.968999999999"/>
    <n v="12123.54"/>
    <n v="12165.21"/>
    <n v="11330.539000000001"/>
    <n v="12910.263999999999"/>
    <n v="11237.643"/>
    <n v="11152.754999999999"/>
    <n v="10769.771000000001"/>
    <n v="11943.286"/>
  </r>
  <r>
    <x v="3"/>
    <s v="PEST CONTROL"/>
    <s v="SC JOHNSON"/>
    <x v="1"/>
    <x v="1"/>
    <x v="3"/>
    <x v="0"/>
    <x v="1"/>
    <n v="0"/>
    <n v="4.027571"/>
    <n v="1.5349964"/>
    <n v="2.5199297999999999"/>
    <n v="2.4412775999999998"/>
    <n v="2.1697220000000002"/>
    <n v="3.1847715000000001"/>
    <n v="3.1568307"/>
    <n v="3.1389176000000001"/>
    <n v="3.7870667"/>
    <n v="4.0284826000000002"/>
    <n v="2.5320311000000002"/>
    <n v="2.1527181"/>
    <n v="1.2322964999999999"/>
    <n v="1.8040551"/>
    <n v="1.6322658999999999"/>
    <n v="3.2678338999999998"/>
    <n v="3.1008821000000002"/>
    <n v="2.1083720000000001"/>
    <n v="2.5904794999999998"/>
    <n v="3.2681648000000001"/>
    <n v="2.5106625"/>
    <n v="1.9409247000000001"/>
    <n v="2.5751767999999999"/>
    <n v="1.5506431000000001"/>
    <n v="1.6354162000000001"/>
    <n v="1.3374759000000001"/>
    <n v="3.1459413999999999"/>
    <n v="2.6248385000000001"/>
    <n v="1.8174257"/>
    <n v="2.0379908000000002"/>
    <n v="3.1505573999999998"/>
    <n v="3.6946376999999999"/>
    <n v="3.1509798"/>
    <n v="2.2653864000000001"/>
    <n v="4.1162349000000003"/>
    <n v="3.4348413999999998"/>
    <n v="2.2172475"/>
  </r>
  <r>
    <x v="3"/>
    <s v="PEST CONTROL"/>
    <s v="SC JOHNSON"/>
    <x v="1"/>
    <x v="1"/>
    <x v="3"/>
    <x v="4"/>
    <x v="0"/>
    <n v="452.64299999999997"/>
    <n v="748.15499999999997"/>
    <n v="547.00400000000002"/>
    <n v="955.06500000000005"/>
    <n v="1112.4770000000001"/>
    <n v="1073.654"/>
    <n v="1406.3"/>
    <n v="1107.9749999999999"/>
    <n v="1000.29"/>
    <n v="1047.2560000000001"/>
    <n v="1190.807"/>
    <n v="1217.5260000000001"/>
    <n v="1322.69"/>
    <n v="1072.3420000000001"/>
    <n v="1347.4559999999999"/>
    <n v="1169.883"/>
    <n v="899.96699999999998"/>
    <n v="838.71"/>
    <n v="807.447"/>
    <n v="1029.1020000000001"/>
    <n v="964.95299999999997"/>
    <n v="1128.9549999999999"/>
    <n v="1206.252"/>
    <n v="1209.162"/>
    <n v="944.33699999999999"/>
    <n v="1527.337"/>
    <n v="1332.663"/>
    <n v="1234.1179999999999"/>
    <n v="1078.146"/>
    <n v="949.23400000000004"/>
    <n v="1418.875"/>
    <n v="1673.258"/>
    <n v="1630.1880000000001"/>
    <n v="1532.623"/>
    <n v="1532.3589999999999"/>
    <n v="1417.5940000000001"/>
    <n v="1136.24"/>
    <n v="1193.941"/>
  </r>
  <r>
    <x v="3"/>
    <s v="PEST CONTROL"/>
    <s v="SC JOHNSON"/>
    <x v="1"/>
    <x v="1"/>
    <x v="3"/>
    <x v="4"/>
    <x v="1"/>
    <n v="0"/>
    <n v="0.18581980000000001"/>
    <n v="0.1636552"/>
    <n v="0.22395889999999999"/>
    <n v="0.4184929"/>
    <n v="0.68593470000000001"/>
    <n v="0.21283940000000001"/>
    <n v="0.57372009999999996"/>
    <n v="1.4451725"/>
    <n v="1.1283706"/>
    <n v="0.32697959999999998"/>
    <n v="0.48298360000000001"/>
    <n v="0.63660839999999996"/>
    <n v="0.72982340000000001"/>
    <n v="0.76629369999999997"/>
    <n v="0.78072719999999995"/>
    <n v="0.65771970000000002"/>
    <n v="0.5447746"/>
    <n v="0.68925080000000005"/>
    <n v="0.67583570000000004"/>
    <n v="0.51704629999999996"/>
    <n v="0.50736559999999997"/>
    <n v="0.61264669999999999"/>
    <n v="0.9004221"/>
    <n v="0.45342739999999998"/>
    <n v="0.2530579"/>
    <n v="0.5776715"/>
    <n v="1.1167682999999999"/>
    <n v="0.21574180000000001"/>
    <n v="0.36640260000000002"/>
    <n v="0.37869409999999998"/>
    <n v="0.96265009999999995"/>
    <n v="1.4518808000000001"/>
    <n v="1.1940826"/>
    <n v="0.84058239999999995"/>
    <n v="1.1661676000000001"/>
    <n v="1.7651395999999999"/>
    <n v="0.87754670000000001"/>
  </r>
  <r>
    <x v="3"/>
    <s v="PEST CONTROL"/>
    <s v="SC JOHNSON"/>
    <x v="1"/>
    <x v="1"/>
    <x v="3"/>
    <x v="5"/>
    <x v="0"/>
    <n v="1100.55"/>
    <n v="1329.624"/>
    <n v="1059.56"/>
    <n v="2263.3240000000001"/>
    <n v="1348.5730000000001"/>
    <n v="1110.549"/>
    <n v="1663.704"/>
    <n v="1837.171"/>
    <n v="2143.31"/>
    <n v="1627.1410000000001"/>
    <n v="1499.4169999999999"/>
    <n v="1545.098"/>
    <n v="1728.098"/>
    <n v="1471.567"/>
    <n v="2046.6769999999999"/>
    <n v="2113.9169999999999"/>
    <n v="1573.798"/>
    <n v="2187.7289999999998"/>
    <n v="1839.963"/>
    <n v="1789.5709999999999"/>
    <n v="2044.6769999999999"/>
    <n v="1947.278"/>
    <n v="2113.6019999999999"/>
    <n v="2081.1260000000002"/>
    <n v="2050.828"/>
    <n v="2992.223"/>
    <n v="3176.8679999999999"/>
    <n v="2793.2640000000001"/>
    <n v="2436.1219999999998"/>
    <n v="2330.6759999999999"/>
    <n v="2479.9360000000001"/>
    <n v="2112.5990000000002"/>
    <n v="2667.47"/>
    <n v="2513.2719999999999"/>
    <n v="2523.3589999999999"/>
    <n v="2346.2460000000001"/>
    <n v="2093.44"/>
    <n v="2310.3159999999998"/>
  </r>
  <r>
    <x v="3"/>
    <s v="PEST CONTROL"/>
    <s v="SC JOHNSON"/>
    <x v="1"/>
    <x v="1"/>
    <x v="3"/>
    <x v="5"/>
    <x v="1"/>
    <n v="0"/>
    <n v="0.38310529999999998"/>
    <n v="0.718588"/>
    <n v="0.75972649999999997"/>
    <n v="0.54950169999999998"/>
    <n v="0.53604790000000002"/>
    <n v="1.0809944"/>
    <n v="0.32055479999999997"/>
    <n v="0.98846540000000005"/>
    <n v="0.62608520000000001"/>
    <n v="1.7577677"/>
    <n v="0.40289239999999998"/>
    <n v="0.3707357"/>
    <n v="0.61942059999999999"/>
    <n v="1.1845072999999999"/>
    <n v="0.64363369999999998"/>
    <n v="0.49530780000000002"/>
    <n v="0.96466689999999999"/>
    <n v="1.047034"/>
    <n v="1.5489900999999999"/>
    <n v="0.97972110000000001"/>
    <n v="0.45221929999999999"/>
    <n v="0.82895200000000002"/>
    <n v="0.37613960000000002"/>
    <n v="1.1246020000000001"/>
    <n v="0.29942299999999999"/>
    <n v="1.4454597"/>
    <n v="0.72218709999999997"/>
    <n v="0.3828471"/>
    <n v="0.80531430000000004"/>
    <n v="0.61158990000000002"/>
    <n v="1.4796285"/>
    <n v="1.2183318999999999"/>
    <n v="1.5098719"/>
    <n v="0.82080589999999998"/>
    <n v="0.70779829999999999"/>
    <n v="1.3574006000000001"/>
    <n v="0.50542659999999995"/>
  </r>
  <r>
    <x v="3"/>
    <s v="PEST CONTROL"/>
    <s v="SC JOHNSON"/>
    <x v="1"/>
    <x v="2"/>
    <x v="3"/>
    <x v="0"/>
    <x v="0"/>
    <n v="3008.386"/>
    <n v="2592.9569999999999"/>
    <n v="3081.413"/>
    <n v="3163.5360000000001"/>
    <n v="2778.2440000000001"/>
    <n v="2566.6439999999998"/>
    <n v="2430.1880000000001"/>
    <n v="2349.413"/>
    <n v="2478.578"/>
    <n v="2537.567"/>
    <n v="2373.386"/>
    <n v="2460.4989999999998"/>
    <n v="2508.6680000000001"/>
    <n v="2629.6320000000001"/>
    <n v="3068.3980000000001"/>
    <n v="2824.6790000000001"/>
    <n v="2682.38"/>
    <n v="2568.2359999999999"/>
    <n v="2559.3310000000001"/>
    <n v="2403.3690000000001"/>
    <n v="2449.5189999999998"/>
    <n v="2383.8560000000002"/>
    <n v="2505.105"/>
    <n v="2705.538"/>
    <n v="2937.556"/>
    <n v="3389.5230000000001"/>
    <n v="2913.123"/>
    <n v="2687.6190000000001"/>
    <n v="2401.6959999999999"/>
    <n v="2421.5210000000002"/>
    <n v="2243.6790000000001"/>
    <n v="1798.796"/>
    <n v="2200.8119999999999"/>
    <n v="2111.89"/>
    <n v="2001.693"/>
    <n v="1655.627"/>
    <n v="1744.491"/>
    <n v="1706.202"/>
  </r>
  <r>
    <x v="3"/>
    <s v="PEST CONTROL"/>
    <s v="SC JOHNSON"/>
    <x v="1"/>
    <x v="2"/>
    <x v="3"/>
    <x v="0"/>
    <x v="1"/>
    <n v="0"/>
    <n v="0.85103320000000005"/>
    <n v="1.2148825000000001"/>
    <n v="0.62139979999999995"/>
    <n v="1.1594443000000001"/>
    <n v="0.85434290000000002"/>
    <n v="0.78379350000000003"/>
    <n v="1.5377749999999999"/>
    <n v="0.97499040000000003"/>
    <n v="1.6141509999999999"/>
    <n v="0.2461344"/>
    <n v="0.30337550000000002"/>
    <n v="1.0342469999999999"/>
    <n v="1.1932575999999999"/>
    <n v="1.0818836000000001"/>
    <n v="1.2309794000000001"/>
    <n v="0.60021970000000002"/>
    <n v="0.61623240000000001"/>
    <n v="1.2007064000000001"/>
    <n v="1.0623069000000001"/>
    <n v="1.0853241"/>
    <n v="1.2417598000000001"/>
    <n v="1.1248723"/>
    <n v="0.92779040000000002"/>
    <n v="0.65818810000000005"/>
    <n v="0.9921006"/>
    <n v="0.85740479999999997"/>
    <n v="1.0276405"/>
    <n v="1.1184628999999999"/>
    <n v="0.55818029999999996"/>
    <n v="0.66507959999999999"/>
    <n v="1.7280049"/>
    <n v="1.178366"/>
    <n v="0.28911720000000002"/>
    <n v="0.66143269999999998"/>
    <n v="0.6690682"/>
    <n v="0.31225029999999998"/>
    <n v="0.55967469999999997"/>
  </r>
  <r>
    <x v="3"/>
    <s v="PEST CONTROL"/>
    <s v="SC JOHNSON"/>
    <x v="1"/>
    <x v="3"/>
    <x v="2"/>
    <x v="0"/>
    <x v="0"/>
    <n v="1563.9780000000001"/>
    <n v="1395.43"/>
    <n v="3171.8670000000002"/>
    <n v="2917.3009999999999"/>
    <n v="2242.364"/>
    <n v="2708.28"/>
    <n v="2452.0169999999998"/>
    <n v="2513.9850000000001"/>
    <n v="2623.3679999999999"/>
    <n v="2901.7950000000001"/>
    <n v="2391.3780000000002"/>
    <n v="2697.0549999999998"/>
    <n v="3381.7829999999999"/>
    <n v="4518.1959999999999"/>
    <n v="4094.692"/>
    <n v="4111.7690000000002"/>
    <n v="4272.5709999999999"/>
    <n v="3281.9490000000001"/>
    <n v="2683.6309999999999"/>
    <n v="2475.3290000000002"/>
    <n v="2438.8780000000002"/>
    <n v="3022.174"/>
    <n v="3023.1559999999999"/>
    <n v="3135.5639999999999"/>
    <n v="2998.6590000000001"/>
    <n v="3093.9140000000002"/>
    <n v="3336.221"/>
    <n v="2856.587"/>
    <n v="2524.7170000000001"/>
    <n v="1877.6369999999999"/>
    <n v="1946.865"/>
    <n v="1467.8630000000001"/>
    <n v="1359.703"/>
    <n v="1081.6949999999999"/>
    <n v="782.71600000000001"/>
    <n v="785.22299999999996"/>
    <n v="991.34699999999998"/>
    <n v="668.27"/>
  </r>
  <r>
    <x v="3"/>
    <s v="PEST CONTROL"/>
    <s v="SC JOHNSON"/>
    <x v="1"/>
    <x v="3"/>
    <x v="2"/>
    <x v="0"/>
    <x v="1"/>
    <n v="0"/>
    <n v="0.20573469999999999"/>
    <n v="0.73492570000000002"/>
    <n v="1.1179744"/>
    <n v="0.74433700000000003"/>
    <n v="1.2723433"/>
    <n v="0.35056330000000002"/>
    <n v="0.87979459999999998"/>
    <n v="1.1472671999999999"/>
    <n v="1.1274426"/>
    <n v="0.60852189999999995"/>
    <n v="0.40333020000000003"/>
    <n v="0.50768619999999998"/>
    <n v="0.92838980000000004"/>
    <n v="0.6470629"/>
    <n v="1.3374153"/>
    <n v="1.1768329"/>
    <n v="1.4433604"/>
    <n v="1.6918846000000001"/>
    <n v="0.88930920000000002"/>
    <n v="0.86305869999999996"/>
    <n v="1.1323837999999999"/>
    <n v="0.73864649999999998"/>
    <n v="0.96224670000000001"/>
    <n v="0.29631610000000003"/>
    <n v="1.0247539999999999"/>
    <n v="0.5234164"/>
    <n v="1.9042730999999999"/>
    <n v="0.59598589999999996"/>
    <n v="0.57642689999999996"/>
    <n v="1.0331216000000001"/>
    <n v="0.80405510000000002"/>
    <n v="1.0138034"/>
    <n v="9.7605600000000001E-2"/>
    <n v="0.58967650000000005"/>
    <n v="0.68676029999999999"/>
    <n v="0.46565220000000002"/>
    <n v="0.1019395"/>
  </r>
  <r>
    <x v="3"/>
    <s v="PEST CONTROL"/>
    <s v="SC JOHNSON"/>
    <x v="1"/>
    <x v="4"/>
    <x v="2"/>
    <x v="0"/>
    <x v="0"/>
    <n v="2218.6759999999999"/>
    <n v="1666.3710000000001"/>
    <n v="2079.799"/>
    <n v="1203.384"/>
    <n v="1087.9639999999999"/>
    <n v="1359.0239999999999"/>
    <n v="1585.739"/>
    <n v="1351.644"/>
    <n v="1268.2650000000001"/>
    <n v="991.45399999999995"/>
    <n v="977.40099999999995"/>
    <n v="765.44500000000005"/>
    <n v="754.64400000000001"/>
    <n v="571.42999999999995"/>
    <n v="736.48500000000001"/>
    <n v="768.21299999999997"/>
    <n v="818.94100000000003"/>
    <n v="543.69100000000003"/>
    <n v="600.59799999999996"/>
    <n v="785.053"/>
    <n v="1361.463"/>
    <n v="1770.673"/>
    <n v="1611.2929999999999"/>
    <n v="1042.223"/>
    <n v="1500.9269999999999"/>
    <n v="1292.3699999999999"/>
    <n v="2263.3609999999999"/>
    <n v="2209.8850000000002"/>
    <n v="2347.279"/>
    <n v="3582.529"/>
    <n v="1898.9369999999999"/>
    <n v="2570.1"/>
    <n v="2408.7689999999998"/>
    <n v="3210.8879999999999"/>
    <n v="2911.8939999999998"/>
    <n v="2684.5619999999999"/>
    <n v="2796.8389999999999"/>
    <n v="3581.8820000000001"/>
  </r>
  <r>
    <x v="3"/>
    <s v="PEST CONTROL"/>
    <s v="SC JOHNSON"/>
    <x v="1"/>
    <x v="4"/>
    <x v="2"/>
    <x v="0"/>
    <x v="1"/>
    <n v="0"/>
    <n v="0.30260999999999999"/>
    <n v="4.19794E-2"/>
    <n v="0.4033542"/>
    <n v="0.82676499999999997"/>
    <n v="2.21966E-2"/>
    <n v="0.1152537"/>
    <n v="0.2639358"/>
    <n v="0.76033289999999998"/>
    <n v="0.65460240000000003"/>
    <n v="7.1544399999999994E-2"/>
    <n v="0.20621700000000001"/>
    <n v="9.2369599999999996E-2"/>
    <n v="0"/>
    <n v="9.2344099999999998E-2"/>
    <n v="0"/>
    <n v="0.42145159999999998"/>
    <n v="8.8431099999999999E-2"/>
    <n v="0.48766169999999998"/>
    <n v="0.45186920000000003"/>
    <n v="0.28876459999999998"/>
    <n v="0.34917819999999999"/>
    <n v="7.9493900000000006E-2"/>
    <n v="0.69712980000000002"/>
    <n v="0.43149199999999999"/>
    <n v="0.57059780000000004"/>
    <n v="0.50021059999999995"/>
    <n v="3.3983100000000002E-2"/>
    <n v="0.29152070000000002"/>
    <n v="0.52349659999999998"/>
    <n v="0.4926624"/>
    <n v="0.53238830000000004"/>
    <n v="1.2579872999999999"/>
    <n v="1.3137334000000001"/>
    <n v="1.4595501"/>
    <n v="1.0193970000000001"/>
    <n v="0.48309790000000002"/>
    <n v="1.0064529"/>
  </r>
  <r>
    <x v="3"/>
    <s v="PEST CONTROL"/>
    <s v="SC JOHNSON"/>
    <x v="1"/>
    <x v="4"/>
    <x v="3"/>
    <x v="0"/>
    <x v="0"/>
    <n v="619.87400000000002"/>
    <n v="533.17200000000003"/>
    <n v="469.21300000000002"/>
    <n v="530.53200000000004"/>
    <n v="650.65599999999995"/>
    <n v="418.76299999999998"/>
    <n v="431.4"/>
    <n v="422.17"/>
    <n v="597.69200000000001"/>
    <n v="841.178"/>
    <n v="794.03599999999994"/>
    <n v="924.60599999999999"/>
    <n v="872.44600000000003"/>
    <n v="1541.2380000000001"/>
    <n v="2583.0189999999998"/>
    <n v="2449.645"/>
    <n v="2996.607"/>
    <n v="2916.14"/>
    <n v="2806.777"/>
    <n v="2476.5010000000002"/>
    <n v="2243.5790000000002"/>
    <n v="2342.2399999999998"/>
    <n v="2484.817"/>
    <n v="2673.8009999999999"/>
    <n v="3068.6759999999999"/>
    <n v="3559.5709999999999"/>
    <n v="3889.203"/>
    <n v="2950.8539999999998"/>
    <n v="3891.79"/>
    <n v="3317.3330000000001"/>
    <n v="4413.0469999999996"/>
    <n v="4098.4189999999999"/>
    <n v="3620.7820000000002"/>
    <n v="3685.183"/>
    <n v="3736.6889999999999"/>
    <n v="4252.6189999999997"/>
    <n v="3927.3470000000002"/>
    <n v="4379.9539999999997"/>
  </r>
  <r>
    <x v="3"/>
    <s v="PEST CONTROL"/>
    <s v="SC JOHNSON"/>
    <x v="1"/>
    <x v="4"/>
    <x v="3"/>
    <x v="0"/>
    <x v="1"/>
    <n v="0"/>
    <n v="0.75944509999999998"/>
    <n v="0.26097880000000001"/>
    <n v="0.37556499999999998"/>
    <n v="0.14000000000000001"/>
    <n v="2.6324299999999998E-2"/>
    <n v="0.73783290000000001"/>
    <n v="1.7788700000000001E-2"/>
    <n v="0.31363980000000002"/>
    <n v="0.63628050000000003"/>
    <n v="0.47585690000000003"/>
    <n v="0.38256069999999998"/>
    <n v="0.3561008"/>
    <n v="0.45307530000000001"/>
    <n v="0.55390839999999997"/>
    <n v="0.66914709999999999"/>
    <n v="0.22219159999999999"/>
    <n v="0.91437389999999996"/>
    <n v="1.6482112"/>
    <n v="2.4538745999999998"/>
    <n v="1.3687341"/>
    <n v="1.7555510999999999"/>
    <n v="1.2744838000000001"/>
    <n v="1.3821028"/>
    <n v="0.75459310000000002"/>
    <n v="0.77543010000000001"/>
    <n v="0.75404020000000005"/>
    <n v="1.4700172"/>
    <n v="0.8705174"/>
    <n v="1.5548447000000001"/>
    <n v="1.1573324"/>
    <n v="0.83049130000000004"/>
    <n v="1.7491637"/>
    <n v="1.6855538999999999"/>
    <n v="2.0529982000000002"/>
    <n v="1.0789521"/>
    <n v="1.3153736"/>
    <n v="1.5285232"/>
  </r>
  <r>
    <x v="3"/>
    <s v="PEST CONTROL"/>
    <s v="SC JOHNSON"/>
    <x v="2"/>
    <x v="0"/>
    <x v="2"/>
    <x v="0"/>
    <x v="0"/>
    <n v="17004.223999999998"/>
    <n v="18226.412"/>
    <n v="25952.678"/>
    <n v="28780.473999999998"/>
    <n v="24247.852999999999"/>
    <n v="25370.12"/>
    <n v="20203.289000000001"/>
    <n v="18979.557000000001"/>
    <n v="18351.506000000001"/>
    <n v="18892.16"/>
    <n v="17925.214"/>
    <n v="16989.810000000001"/>
    <n v="16602.812999999998"/>
    <n v="17084.995999999999"/>
    <n v="24118.911"/>
    <n v="28362.106"/>
    <n v="29192.966"/>
    <n v="20972.641"/>
    <n v="18033.88"/>
    <n v="17724.707999999999"/>
    <n v="17079.202000000001"/>
    <n v="16502.272000000001"/>
    <n v="15454.751"/>
    <n v="14697.647000000001"/>
    <n v="14245.914000000001"/>
    <n v="15067.584999999999"/>
    <n v="19718.077000000001"/>
    <n v="21228.231"/>
    <n v="23669.558000000001"/>
    <n v="23268.63"/>
    <n v="23255.482"/>
    <n v="22467.704000000002"/>
    <n v="16569.205999999998"/>
    <n v="17610.597000000002"/>
    <n v="19753.598999999998"/>
    <n v="17723.498"/>
    <n v="16675.935000000001"/>
    <n v="18644.132000000001"/>
  </r>
  <r>
    <x v="3"/>
    <s v="PEST CONTROL"/>
    <s v="SC JOHNSON"/>
    <x v="2"/>
    <x v="0"/>
    <x v="2"/>
    <x v="0"/>
    <x v="1"/>
    <n v="0"/>
    <n v="3.3980313999999998"/>
    <n v="4.2176226999999997"/>
    <n v="3.1092377999999998"/>
    <n v="2.3963000999999999"/>
    <n v="4.4834870000000002"/>
    <n v="4.1652731000000003"/>
    <n v="5.4471176000000003"/>
    <n v="5.1896372"/>
    <n v="5.3749511999999999"/>
    <n v="4.3420291999999998"/>
    <n v="3.2748135999999999"/>
    <n v="4.2057447999999997"/>
    <n v="2.3512255"/>
    <n v="2.8004549999999999"/>
    <n v="2.7764209000000002"/>
    <n v="2.1346018"/>
    <n v="4.7085736000000002"/>
    <n v="3.7336024000000001"/>
    <n v="6.4755498999999999"/>
    <n v="4.2333058000000001"/>
    <n v="4.3220000000000001"/>
    <n v="4.1186064"/>
    <n v="3.7904667999999999"/>
    <n v="3.2019088999999998"/>
    <n v="1.7547317"/>
    <n v="3.5190866999999999"/>
    <n v="1.8347327"/>
    <n v="2.4837669999999998"/>
    <n v="3.5724917"/>
    <n v="2.0215515000000002"/>
    <n v="3.6843273000000001"/>
    <n v="2.4644780000000002"/>
    <n v="3.9816630000000002"/>
    <n v="3.6821429000000001"/>
    <n v="4.7997741999999999"/>
    <n v="3.7832650000000001"/>
    <n v="1.9932268"/>
  </r>
  <r>
    <x v="3"/>
    <s v="PEST CONTROL"/>
    <s v="SC JOHNSON"/>
    <x v="2"/>
    <x v="0"/>
    <x v="0"/>
    <x v="0"/>
    <x v="0"/>
    <n v="15267.311"/>
    <n v="18751.991999999998"/>
    <n v="22808.319"/>
    <n v="29077.595000000001"/>
    <n v="25300.277999999998"/>
    <n v="23334.81"/>
    <n v="21237.06"/>
    <n v="19006.842000000001"/>
    <n v="17905.016"/>
    <n v="18054.434000000001"/>
    <n v="17147.502"/>
    <n v="18525.222000000002"/>
    <n v="18255.636999999999"/>
    <n v="17473.758000000002"/>
    <n v="23963.395"/>
    <n v="26019.237000000001"/>
    <n v="26744.355"/>
    <n v="23799.129000000001"/>
    <n v="23484.152999999998"/>
    <n v="21807.563999999998"/>
    <n v="20763.817999999999"/>
    <n v="20439"/>
    <n v="20623.510999999999"/>
    <n v="21088.154999999999"/>
    <n v="19665.864000000001"/>
    <n v="22179.603999999999"/>
    <n v="24630.967000000001"/>
    <n v="23034.253000000001"/>
    <n v="22870.456999999999"/>
    <n v="23019.582999999999"/>
    <n v="22634.149000000001"/>
    <n v="19683.704000000002"/>
    <n v="18033.719000000001"/>
    <n v="18089.411"/>
    <n v="18195.592000000001"/>
    <n v="17776.349999999999"/>
    <n v="17590.083999999999"/>
    <n v="19156.612000000001"/>
  </r>
  <r>
    <x v="3"/>
    <s v="PEST CONTROL"/>
    <s v="SC JOHNSON"/>
    <x v="2"/>
    <x v="0"/>
    <x v="0"/>
    <x v="0"/>
    <x v="1"/>
    <n v="0"/>
    <n v="2.6544523"/>
    <n v="2.7939485999999998"/>
    <n v="3.8447811999999999"/>
    <n v="3.1082371000000002"/>
    <n v="3.4245214000000002"/>
    <n v="2.8042934000000002"/>
    <n v="3.8945379"/>
    <n v="4.8444938000000004"/>
    <n v="7.9627273000000001"/>
    <n v="4.4147096000000001"/>
    <n v="2.7216532"/>
    <n v="3.0861942999999998"/>
    <n v="3.6370589999999998"/>
    <n v="3.1572762999999999"/>
    <n v="2.1758681000000002"/>
    <n v="2.8165249000000001"/>
    <n v="3.0981743000000002"/>
    <n v="3.1769162"/>
    <n v="3.3088239000000002"/>
    <n v="3.0878836999999999"/>
    <n v="5.091926"/>
    <n v="5.1368109000000004"/>
    <n v="3.1928260000000002"/>
    <n v="3.3233126"/>
    <n v="2.0878918999999998"/>
    <n v="0.86572640000000001"/>
    <n v="4.4568123999999996"/>
    <n v="2.4869439999999998"/>
    <n v="3.4017241"/>
    <n v="2.0257546999999998"/>
    <n v="3.347092"/>
    <n v="5.4366992999999999"/>
    <n v="5.7082017"/>
    <n v="5.8393436000000003"/>
    <n v="3.7755828"/>
    <n v="5.0037330000000004"/>
    <n v="2.1506405000000002"/>
  </r>
  <r>
    <x v="3"/>
    <s v="PEST CONTROL"/>
    <s v="SC JOHNSON"/>
    <x v="2"/>
    <x v="0"/>
    <x v="3"/>
    <x v="0"/>
    <x v="0"/>
    <n v="35210.76"/>
    <n v="41130.828999999998"/>
    <n v="44135.131000000001"/>
    <n v="50374.046000000002"/>
    <n v="45851.285000000003"/>
    <n v="43750.586000000003"/>
    <n v="45641.699000000001"/>
    <n v="39127.387999999999"/>
    <n v="37521.762000000002"/>
    <n v="38600.249000000003"/>
    <n v="37513.356"/>
    <n v="36976.85"/>
    <n v="41602.857000000004"/>
    <n v="45132.328000000001"/>
    <n v="51269.37"/>
    <n v="55097.718999999997"/>
    <n v="49816.612000000001"/>
    <n v="45086.46"/>
    <n v="41831.733"/>
    <n v="40111.413"/>
    <n v="36471.012999999999"/>
    <n v="35076.135000000002"/>
    <n v="36610.417999999998"/>
    <n v="35344.133000000002"/>
    <n v="36096.680999999997"/>
    <n v="44988.631999999998"/>
    <n v="53926.945"/>
    <n v="50040.542000000001"/>
    <n v="54952.398000000001"/>
    <n v="47556.381999999998"/>
    <n v="47297.862999999998"/>
    <n v="41825.464999999997"/>
    <n v="40052.036999999997"/>
    <n v="39659.368999999999"/>
    <n v="37118.196000000004"/>
    <n v="38903.173999999999"/>
    <n v="37259.069000000003"/>
    <n v="39980.841"/>
  </r>
  <r>
    <x v="3"/>
    <s v="PEST CONTROL"/>
    <s v="SC JOHNSON"/>
    <x v="2"/>
    <x v="0"/>
    <x v="3"/>
    <x v="0"/>
    <x v="1"/>
    <n v="0"/>
    <n v="3.4431870999999998"/>
    <n v="2.1630588999999998"/>
    <n v="3.4670114999999999"/>
    <n v="2.3699028000000002"/>
    <n v="3.0109474999999999"/>
    <n v="2.7506876"/>
    <n v="4.3427724000000003"/>
    <n v="4.5574135"/>
    <n v="7.1101093999999998"/>
    <n v="6.1145826999999997"/>
    <n v="3.80681"/>
    <n v="3.7091821"/>
    <n v="4.9360990999999999"/>
    <n v="2.5169264"/>
    <n v="2.2805113000000001"/>
    <n v="2.4786758999999998"/>
    <n v="4.0768038999999998"/>
    <n v="3.7023861"/>
    <n v="4.0556977999999999"/>
    <n v="4.6112982999999996"/>
    <n v="5.0346694000000003"/>
    <n v="5.2443476000000002"/>
    <n v="5.0271870999999999"/>
    <n v="5.5194777000000004"/>
    <n v="3.4018454999999999"/>
    <n v="3.0473460000000001"/>
    <n v="3.0529592000000001"/>
    <n v="2.2811582000000001"/>
    <n v="5.4775944000000001"/>
    <n v="3.5813931999999999"/>
    <n v="3.5500219"/>
    <n v="4.5597523999999998"/>
    <n v="5.8259577"/>
    <n v="6.5994697999999996"/>
    <n v="5.3372881000000003"/>
    <n v="6.2527296999999997"/>
    <n v="3.0217554999999998"/>
  </r>
  <r>
    <x v="3"/>
    <s v="PEST CONTROL"/>
    <s v="SC JOHNSON"/>
    <x v="2"/>
    <x v="0"/>
    <x v="3"/>
    <x v="6"/>
    <x v="0"/>
    <n v="433.637"/>
    <n v="380.23399999999998"/>
    <n v="281.36399999999998"/>
    <n v="703.625"/>
    <n v="978.75900000000001"/>
    <n v="1300.932"/>
    <n v="1048.7950000000001"/>
    <n v="1520.4010000000001"/>
    <n v="1375.585"/>
    <n v="1363.7570000000001"/>
    <n v="1273.865"/>
    <n v="1270.0239999999999"/>
    <n v="813.4"/>
    <n v="333.61"/>
    <n v="675.68700000000001"/>
    <n v="454.60399999999998"/>
    <n v="320.83699999999999"/>
    <n v="167.61199999999999"/>
    <n v="1330.4870000000001"/>
    <n v="1089.462"/>
    <n v="1093.508"/>
    <n v="1078.018"/>
    <n v="1123.2829999999999"/>
    <n v="1141.4960000000001"/>
    <n v="1107.8989999999999"/>
    <n v="1411.2270000000001"/>
    <n v="1390.066"/>
    <n v="1183.5329999999999"/>
    <n v="1116.0809999999999"/>
    <n v="1080.0509999999999"/>
    <n v="894.43200000000002"/>
    <n v="529.33600000000001"/>
    <n v="464.64400000000001"/>
    <n v="281.82499999999999"/>
    <n v="555.90800000000002"/>
    <n v="520.42899999999997"/>
    <n v="636.01300000000003"/>
    <n v="444.34100000000001"/>
  </r>
  <r>
    <x v="3"/>
    <s v="PEST CONTROL"/>
    <s v="SC JOHNSON"/>
    <x v="2"/>
    <x v="0"/>
    <x v="3"/>
    <x v="6"/>
    <x v="1"/>
    <n v="0"/>
    <n v="8.5692000000000008E-3"/>
    <n v="2.18935E-2"/>
    <n v="0.13458809999999999"/>
    <n v="7.2578699999999996E-2"/>
    <n v="0.37966"/>
    <n v="8.5372999999999994E-3"/>
    <n v="1.7075799999999999E-2"/>
    <n v="6.7843000000000001E-2"/>
    <n v="0.39622629999999998"/>
    <n v="0"/>
    <n v="0.62218839999999997"/>
    <n v="0.14847289999999999"/>
    <n v="0.50731879999999996"/>
    <n v="0"/>
    <n v="4.3302000000000002E-3"/>
    <n v="0.45349790000000001"/>
    <n v="0.1467609"/>
    <n v="0.1193072"/>
    <n v="0"/>
    <n v="9.9837499999999996E-2"/>
    <n v="0.159995"/>
    <n v="0"/>
    <n v="0"/>
    <n v="0"/>
    <n v="0"/>
    <n v="8.6896799999999996E-2"/>
    <n v="0"/>
    <n v="9.8399100000000003E-2"/>
    <n v="0"/>
    <n v="0"/>
    <n v="0"/>
    <n v="0.30019479999999998"/>
    <n v="0"/>
    <n v="0.1145183"/>
    <n v="0"/>
    <n v="0"/>
    <n v="0.11721810000000001"/>
  </r>
  <r>
    <x v="3"/>
    <s v="PEST CONTROL"/>
    <s v="SC JOHNSON"/>
    <x v="2"/>
    <x v="5"/>
    <x v="0"/>
    <x v="0"/>
    <x v="0"/>
    <m/>
    <m/>
    <m/>
    <m/>
    <m/>
    <m/>
    <m/>
    <m/>
    <m/>
    <m/>
    <m/>
    <m/>
    <m/>
    <m/>
    <m/>
    <m/>
    <m/>
    <m/>
    <m/>
    <m/>
    <m/>
    <m/>
    <m/>
    <m/>
    <m/>
    <n v="104.95399999999999"/>
    <m/>
    <m/>
    <m/>
    <m/>
    <m/>
    <m/>
    <m/>
    <m/>
    <m/>
    <m/>
    <m/>
    <m/>
  </r>
  <r>
    <x v="3"/>
    <s v="PEST CONTROL"/>
    <s v="SC JOHNSON"/>
    <x v="2"/>
    <x v="5"/>
    <x v="0"/>
    <x v="0"/>
    <x v="1"/>
    <m/>
    <m/>
    <m/>
    <m/>
    <m/>
    <m/>
    <m/>
    <m/>
    <m/>
    <m/>
    <m/>
    <m/>
    <m/>
    <m/>
    <m/>
    <m/>
    <m/>
    <m/>
    <m/>
    <m/>
    <m/>
    <m/>
    <m/>
    <m/>
    <m/>
    <n v="0"/>
    <n v="0"/>
    <n v="0.15610309999999999"/>
    <m/>
    <m/>
    <m/>
    <m/>
    <m/>
    <m/>
    <m/>
    <m/>
    <m/>
    <m/>
  </r>
  <r>
    <x v="3"/>
    <s v="PEST CONTROL"/>
    <s v="SC JOHNSON"/>
    <x v="2"/>
    <x v="5"/>
    <x v="3"/>
    <x v="0"/>
    <x v="0"/>
    <n v="4995.3990000000003"/>
    <n v="4089.28"/>
    <n v="4133.5450000000001"/>
    <n v="4462.7259999999997"/>
    <n v="4294.5590000000002"/>
    <n v="3875.3429999999998"/>
    <n v="3848.4250000000002"/>
    <n v="4062.652"/>
    <n v="4038.9650000000001"/>
    <n v="4358.6459999999997"/>
    <n v="4121.7969999999996"/>
    <n v="3614.6"/>
    <n v="3520.8850000000002"/>
    <n v="4155.7749999999996"/>
    <n v="4810.3410000000003"/>
    <n v="4709.1809999999996"/>
    <n v="4813.8680000000004"/>
    <n v="4105.8270000000002"/>
    <n v="4181.0810000000001"/>
    <n v="4062.11"/>
    <n v="4185.924"/>
    <n v="3996.3760000000002"/>
    <n v="3522.0889999999999"/>
    <n v="3595.8209999999999"/>
    <n v="3732.9079999999999"/>
    <n v="4067.9969999999998"/>
    <n v="4483.6310000000003"/>
    <n v="4303.9369999999999"/>
    <n v="4825.5069999999996"/>
    <n v="4369.2889999999998"/>
    <n v="4768.7049999999999"/>
    <n v="4816.3990000000003"/>
    <n v="5061.442"/>
    <n v="5371.16"/>
    <n v="5301.0050000000001"/>
    <n v="4981.6120000000001"/>
    <n v="4475.0330000000004"/>
    <n v="4918.3019999999997"/>
  </r>
  <r>
    <x v="3"/>
    <s v="PEST CONTROL"/>
    <s v="SC JOHNSON"/>
    <x v="2"/>
    <x v="5"/>
    <x v="3"/>
    <x v="0"/>
    <x v="1"/>
    <n v="0"/>
    <n v="0.77258170000000004"/>
    <n v="2.2848719000000002"/>
    <n v="2.1100940000000001"/>
    <n v="1.2053311"/>
    <n v="1.7697221000000001"/>
    <n v="2.1894874"/>
    <n v="1.6540098000000001"/>
    <n v="2.1192652000000001"/>
    <n v="2.6462327999999999"/>
    <n v="1.2446208999999999"/>
    <n v="0.92332700000000001"/>
    <n v="1.4190929999999999"/>
    <n v="1.6142462"/>
    <n v="1.4059025999999999"/>
    <n v="1.3492107"/>
    <n v="1.8378056"/>
    <n v="1.8695288999999999"/>
    <n v="1.4881846999999999"/>
    <n v="2.7866259000000002"/>
    <n v="2.7535059999999998"/>
    <n v="2.0349240000000002"/>
    <n v="1.0061263"/>
    <n v="1.7889286"/>
    <n v="1.4055046"/>
    <n v="0.70311599999999996"/>
    <n v="0.59296369999999998"/>
    <n v="1.358921"/>
    <n v="1.5378080999999999"/>
    <n v="1.7316885"/>
    <n v="1.7610783999999999"/>
    <n v="1.198569"/>
    <n v="1.9398122"/>
    <n v="1.8905726"/>
    <n v="1.1375135000000001"/>
    <n v="1.6144715000000001"/>
    <n v="1.5466333000000001"/>
    <n v="1.3234736"/>
  </r>
  <r>
    <x v="3"/>
    <s v="PEST CONTROL"/>
    <s v="SC JOHNSON"/>
    <x v="2"/>
    <x v="5"/>
    <x v="3"/>
    <x v="7"/>
    <x v="0"/>
    <n v="406.76900000000001"/>
    <n v="234.50299999999999"/>
    <n v="345.34"/>
    <n v="403.09899999999999"/>
    <n v="391.19200000000001"/>
    <n v="270.947"/>
    <n v="300.83699999999999"/>
    <n v="220.81800000000001"/>
    <n v="249.12"/>
    <n v="235.535"/>
    <n v="353.12400000000002"/>
    <n v="367.62"/>
    <n v="387.85399999999998"/>
    <n v="386.45"/>
    <n v="362.32400000000001"/>
    <n v="408.589"/>
    <n v="304.28500000000003"/>
    <n v="276.34399999999999"/>
    <n v="192.101"/>
    <n v="254.197"/>
    <n v="248.50899999999999"/>
    <n v="221.53"/>
    <n v="155.529"/>
    <n v="197.73"/>
    <n v="224.80099999999999"/>
    <n v="163.80500000000001"/>
    <n v="136.65199999999999"/>
    <n v="109.13200000000001"/>
    <n v="122.13500000000001"/>
    <n v="178.71899999999999"/>
    <n v="153.74100000000001"/>
    <n v="180.161"/>
    <n v="215.125"/>
    <n v="197.62799999999999"/>
    <n v="129.65899999999999"/>
    <n v="76.265000000000001"/>
    <n v="76.265000000000001"/>
    <n v="76.265000000000001"/>
  </r>
  <r>
    <x v="3"/>
    <s v="PEST CONTROL"/>
    <s v="SC JOHNSON"/>
    <x v="2"/>
    <x v="5"/>
    <x v="3"/>
    <x v="7"/>
    <x v="1"/>
    <n v="0"/>
    <n v="7.2311600000000004E-2"/>
    <n v="0.11658689999999999"/>
    <n v="0.51392159999999998"/>
    <n v="9.3925300000000003E-2"/>
    <n v="0.27088390000000001"/>
    <n v="0.27595579999999997"/>
    <n v="0.173985"/>
    <n v="0.23108590000000001"/>
    <n v="0.37633460000000002"/>
    <n v="0.3252235"/>
    <n v="0.10548630000000001"/>
    <n v="0.19922239999999999"/>
    <n v="6.1161E-2"/>
    <n v="9.3657199999999996E-2"/>
    <n v="0.44310310000000003"/>
    <n v="0.1453981"/>
    <n v="0.36929650000000003"/>
    <n v="0.1845514"/>
    <n v="0.1374483"/>
    <n v="0.2368411"/>
    <n v="0.7944485"/>
    <n v="0.27107219999999999"/>
    <n v="0.32004670000000002"/>
    <n v="0.15287600000000001"/>
    <n v="5.7040500000000001E-2"/>
    <n v="0.31941130000000001"/>
    <n v="0.2951532"/>
    <n v="0.53614019999999996"/>
    <n v="0.48124240000000001"/>
    <n v="0.2246108"/>
    <n v="0.42572070000000001"/>
    <n v="0.1429233"/>
    <n v="0.1682331"/>
    <n v="0.28575109999999998"/>
    <n v="0.13610349999999999"/>
    <n v="3.2392600000000001E-2"/>
    <n v="0.18199750000000001"/>
  </r>
  <r>
    <x v="3"/>
    <s v="PEST CONTROL"/>
    <s v="SC JOHNSON"/>
    <x v="3"/>
    <x v="0"/>
    <x v="0"/>
    <x v="8"/>
    <x v="0"/>
    <n v="500.95699999999999"/>
    <n v="817.79300000000001"/>
    <n v="475.80799999999999"/>
    <n v="93.114000000000004"/>
    <n v="307.96499999999997"/>
    <n v="87.518000000000001"/>
    <m/>
    <m/>
    <m/>
    <n v="74.451999999999998"/>
    <n v="74.566999999999993"/>
    <n v="74.566999999999993"/>
    <n v="74.566999999999993"/>
    <n v="61.613"/>
    <n v="64.048000000000002"/>
    <n v="63.469000000000001"/>
    <m/>
    <m/>
    <m/>
    <m/>
    <m/>
    <m/>
    <m/>
    <m/>
    <m/>
    <m/>
    <m/>
    <m/>
    <m/>
    <m/>
    <n v="26.369"/>
    <m/>
    <m/>
    <m/>
    <m/>
    <m/>
    <m/>
    <m/>
  </r>
  <r>
    <x v="3"/>
    <s v="PEST CONTROL"/>
    <s v="SC JOHNSON"/>
    <x v="3"/>
    <x v="0"/>
    <x v="0"/>
    <x v="8"/>
    <x v="1"/>
    <n v="0"/>
    <n v="0"/>
    <n v="0"/>
    <n v="0"/>
    <n v="0.10886800000000001"/>
    <n v="0.40815709999999999"/>
    <n v="0.13437730000000001"/>
    <n v="0.191748"/>
    <n v="0"/>
    <n v="0"/>
    <n v="0"/>
    <n v="0"/>
    <n v="0"/>
    <n v="0"/>
    <n v="0"/>
    <n v="0"/>
    <n v="0"/>
    <n v="0.29132449999999999"/>
    <n v="0"/>
    <m/>
    <m/>
    <m/>
    <m/>
    <m/>
    <m/>
    <m/>
    <m/>
    <m/>
    <m/>
    <m/>
    <n v="0"/>
    <n v="0"/>
    <n v="0"/>
    <n v="0.1163787"/>
    <m/>
    <m/>
    <m/>
    <m/>
  </r>
  <r>
    <x v="3"/>
    <s v="PEST CONTROL"/>
    <s v="SC JOHNSON"/>
    <x v="3"/>
    <x v="0"/>
    <x v="0"/>
    <x v="9"/>
    <x v="0"/>
    <n v="726.54499999999996"/>
    <n v="821.54399999999998"/>
    <n v="1013.77"/>
    <n v="771.91499999999996"/>
    <n v="776.86800000000005"/>
    <n v="662.92200000000003"/>
    <n v="622.774"/>
    <n v="813.67499999999995"/>
    <n v="687.99"/>
    <n v="383.81700000000001"/>
    <n v="568.57500000000005"/>
    <n v="600.14499999999998"/>
    <n v="527.68200000000002"/>
    <n v="626.64099999999996"/>
    <n v="633.89800000000002"/>
    <n v="710.38099999999997"/>
    <n v="896.38199999999995"/>
    <n v="831.42399999999998"/>
    <n v="941.01099999999997"/>
    <n v="838.50199999999995"/>
    <n v="838.50199999999995"/>
    <n v="689.66499999999996"/>
    <n v="700.322"/>
    <n v="828.57299999999998"/>
    <n v="1010.396"/>
    <n v="1060.357"/>
    <n v="1037.587"/>
    <n v="1051.579"/>
    <n v="1190.585"/>
    <n v="1052.482"/>
    <n v="1172.81"/>
    <n v="1258.6679999999999"/>
    <n v="1041.2059999999999"/>
    <n v="1195.998"/>
    <n v="1355.9780000000001"/>
    <n v="1262.2860000000001"/>
    <n v="1212.6210000000001"/>
    <n v="1330.6369999999999"/>
  </r>
  <r>
    <x v="3"/>
    <s v="PEST CONTROL"/>
    <s v="SC JOHNSON"/>
    <x v="3"/>
    <x v="0"/>
    <x v="0"/>
    <x v="9"/>
    <x v="1"/>
    <n v="0"/>
    <n v="4.76064E-2"/>
    <n v="0.1081611"/>
    <n v="0.1580791"/>
    <n v="0.55871919999999997"/>
    <n v="0.69200039999999996"/>
    <n v="0.58895500000000001"/>
    <n v="0.34412789999999999"/>
    <n v="0.4085106"/>
    <n v="0.34355019999999997"/>
    <n v="0.53176559999999995"/>
    <n v="0.25730199999999998"/>
    <n v="0.10452060000000001"/>
    <n v="0.17204920000000001"/>
    <n v="6.9340399999999996E-2"/>
    <n v="0.32886860000000001"/>
    <n v="0.3651412"/>
    <n v="0.74063469999999998"/>
    <n v="0.44213259999999999"/>
    <n v="0.42613820000000002"/>
    <n v="0.67825780000000002"/>
    <n v="0.38821699999999998"/>
    <n v="0.53779120000000002"/>
    <n v="0.48492400000000002"/>
    <n v="0.39841779999999999"/>
    <n v="7.8979099999999997E-2"/>
    <n v="0.129163"/>
    <n v="0.29481109999999999"/>
    <n v="0.21866459999999999"/>
    <n v="0.37597150000000001"/>
    <n v="0.3030138"/>
    <n v="0.37527850000000001"/>
    <n v="1.1235253000000001"/>
    <n v="0.97938259999999999"/>
    <n v="0.52508549999999998"/>
    <n v="1.2944131000000001"/>
    <n v="0.47966890000000001"/>
    <n v="5.16707E-2"/>
  </r>
  <r>
    <x v="3"/>
    <s v="PEST CONTROL"/>
    <s v="SC JOHNSON"/>
    <x v="3"/>
    <x v="0"/>
    <x v="0"/>
    <x v="10"/>
    <x v="0"/>
    <n v="7978.6239999999998"/>
    <n v="9763.2350000000006"/>
    <n v="13307.612999999999"/>
    <n v="15392.223"/>
    <n v="17145.013999999999"/>
    <n v="14675.523999999999"/>
    <n v="16792.203000000001"/>
    <n v="14039.262000000001"/>
    <n v="14636.012000000001"/>
    <n v="13654.790999999999"/>
    <n v="12961.54"/>
    <n v="13534.271000000001"/>
    <n v="12934.821"/>
    <n v="14184.618"/>
    <n v="13479.455"/>
    <n v="11927.811"/>
    <n v="12866.925999999999"/>
    <n v="10209.438"/>
    <n v="9993.4459999999999"/>
    <n v="10270.534"/>
    <n v="11515.924000000001"/>
    <n v="10948.057000000001"/>
    <n v="9429.0319999999992"/>
    <n v="9542.6749999999993"/>
    <n v="9760.2289999999994"/>
    <n v="10276.973"/>
    <n v="10007.14"/>
    <n v="11265.596"/>
    <n v="13715.413"/>
    <n v="14283.217000000001"/>
    <n v="12780.964"/>
    <n v="11822.630999999999"/>
    <n v="12250.942999999999"/>
    <n v="11625.78"/>
    <n v="11341.432000000001"/>
    <n v="12099.550999999999"/>
    <n v="10366.455"/>
    <n v="12719.588"/>
  </r>
  <r>
    <x v="3"/>
    <s v="PEST CONTROL"/>
    <s v="SC JOHNSON"/>
    <x v="3"/>
    <x v="0"/>
    <x v="0"/>
    <x v="10"/>
    <x v="1"/>
    <n v="0"/>
    <n v="1.0392566999999999"/>
    <n v="2.2141752000000001"/>
    <n v="0.95285830000000005"/>
    <n v="2.5109957999999999"/>
    <n v="2.1559216000000001"/>
    <n v="1.9891380999999999"/>
    <n v="3.5603395"/>
    <n v="3.7116728999999999"/>
    <n v="4.4757847000000002"/>
    <n v="2.9341396"/>
    <n v="1.7146022000000001"/>
    <n v="2.6671885999999998"/>
    <n v="2.1354736999999999"/>
    <n v="1.4848292999999999"/>
    <n v="1.3564940000000001"/>
    <n v="1.5507514"/>
    <n v="2.789898"/>
    <n v="3.0267515999999999"/>
    <n v="3.6125311"/>
    <n v="2.9867183000000002"/>
    <n v="2.7815987999999998"/>
    <n v="3.8921508999999999"/>
    <n v="2.2469888999999998"/>
    <n v="2.1164068999999999"/>
    <n v="1.777482"/>
    <n v="0.9979865"/>
    <n v="1.7317179"/>
    <n v="1.6160059"/>
    <n v="3.1152660000000001"/>
    <n v="3.2245746999999998"/>
    <n v="1.6237991000000001"/>
    <n v="3.9084826000000001"/>
    <n v="2.1712777000000001"/>
    <n v="3.4902918999999999"/>
    <n v="3.4705463000000001"/>
    <n v="3.2900976000000002"/>
    <n v="1.1772019"/>
  </r>
  <r>
    <x v="3"/>
    <s v="PEST CONTROL"/>
    <s v="SC JOHNSON"/>
    <x v="3"/>
    <x v="0"/>
    <x v="3"/>
    <x v="11"/>
    <x v="0"/>
    <n v="807.71400000000006"/>
    <n v="850.06100000000004"/>
    <n v="930.01099999999997"/>
    <n v="821.44299999999998"/>
    <n v="738.99699999999996"/>
    <n v="661.64700000000005"/>
    <n v="628.55399999999997"/>
    <n v="588.04700000000003"/>
    <n v="513.49800000000005"/>
    <n v="507.608"/>
    <n v="479.37400000000002"/>
    <n v="481.358"/>
    <n v="483.10300000000001"/>
    <n v="463.86200000000002"/>
    <n v="451.36700000000002"/>
    <n v="445.37299999999999"/>
    <n v="446.149"/>
    <n v="546.33699999999999"/>
    <n v="382.04399999999998"/>
    <n v="495.82"/>
    <n v="468.78100000000001"/>
    <n v="420.75900000000001"/>
    <n v="429.20400000000001"/>
    <n v="404.73099999999999"/>
    <n v="444.62299999999999"/>
    <n v="522.52200000000005"/>
    <n v="426.77600000000001"/>
    <n v="459.74900000000002"/>
    <n v="425.16699999999997"/>
    <n v="451.72500000000002"/>
    <n v="452.19799999999998"/>
    <n v="447.26"/>
    <n v="457.95299999999997"/>
    <n v="464.91399999999999"/>
    <n v="425.96699999999998"/>
    <n v="372.45100000000002"/>
    <n v="323.29300000000001"/>
    <n v="354.05599999999998"/>
  </r>
  <r>
    <x v="3"/>
    <s v="PEST CONTROL"/>
    <s v="SC JOHNSON"/>
    <x v="3"/>
    <x v="0"/>
    <x v="3"/>
    <x v="11"/>
    <x v="1"/>
    <n v="0"/>
    <n v="0.1849886"/>
    <n v="0.25987359999999998"/>
    <n v="0.33092440000000001"/>
    <n v="0.24651989999999999"/>
    <n v="0.34975440000000002"/>
    <n v="0.31466820000000001"/>
    <n v="0.1344716"/>
    <n v="0.25365100000000002"/>
    <n v="0.26024940000000002"/>
    <n v="8.6719999999999992E-3"/>
    <n v="1.7340499999999998E-2"/>
    <n v="9.7896700000000003E-2"/>
    <n v="0"/>
    <n v="0"/>
    <n v="0.1668548"/>
    <n v="0.1041808"/>
    <n v="0"/>
    <n v="0.21158070000000001"/>
    <n v="0.1875868"/>
    <n v="0.2178494"/>
    <n v="0.33937519999999999"/>
    <n v="0.16657459999999999"/>
    <n v="0"/>
    <n v="0"/>
    <n v="7.3652400000000007E-2"/>
    <n v="0.1004343"/>
    <n v="0"/>
    <n v="4.6743399999999997E-2"/>
    <n v="0.28642659999999998"/>
    <n v="9.5854800000000004E-2"/>
    <n v="0"/>
    <n v="0.11326840000000001"/>
    <n v="0.1643444"/>
    <n v="0"/>
    <n v="0"/>
    <n v="0.1317313"/>
    <n v="0"/>
  </r>
  <r>
    <x v="3"/>
    <s v="PEST CONTROL"/>
    <s v="SC JOHNSON"/>
    <x v="3"/>
    <x v="0"/>
    <x v="3"/>
    <x v="8"/>
    <x v="0"/>
    <n v="11518.549000000001"/>
    <n v="9496.4040000000005"/>
    <n v="11186.322"/>
    <n v="14236.786"/>
    <n v="13447.804"/>
    <n v="11449.637000000001"/>
    <n v="10929.007"/>
    <n v="12277.116"/>
    <n v="9957.0679999999993"/>
    <n v="10553.527"/>
    <n v="10259.784"/>
    <n v="10016.333000000001"/>
    <n v="10291.628000000001"/>
    <n v="9446.1020000000008"/>
    <n v="12100.901"/>
    <n v="12678.078"/>
    <n v="14553.672"/>
    <n v="13140.353999999999"/>
    <n v="14904.114"/>
    <n v="12996.476000000001"/>
    <n v="12609.146000000001"/>
    <n v="12490.348"/>
    <n v="12127.046"/>
    <n v="12757.183999999999"/>
    <n v="12939.65"/>
    <n v="15847.52"/>
    <n v="17186.313999999998"/>
    <n v="14025.245000000001"/>
    <n v="15490.915000000001"/>
    <n v="16109.379000000001"/>
    <n v="15382.365"/>
    <n v="12184.795"/>
    <n v="10787.007"/>
    <n v="10561.075000000001"/>
    <n v="9917.8719999999994"/>
    <n v="9349.1880000000001"/>
    <n v="10851.514999999999"/>
    <n v="13465.529"/>
  </r>
  <r>
    <x v="3"/>
    <s v="PEST CONTROL"/>
    <s v="SC JOHNSON"/>
    <x v="3"/>
    <x v="0"/>
    <x v="3"/>
    <x v="8"/>
    <x v="1"/>
    <n v="0"/>
    <n v="1.7479032999999999"/>
    <n v="3.6279026999999999"/>
    <n v="2.1951751000000002"/>
    <n v="2.2601638999999998"/>
    <n v="3.0919650999999999"/>
    <n v="2.2782369999999998"/>
    <n v="3.7503885000000001"/>
    <n v="5.6598626999999997"/>
    <n v="3.9237331000000002"/>
    <n v="3.2086228999999999"/>
    <n v="1.1468670999999999"/>
    <n v="2.3772264999999999"/>
    <n v="1.4512860000000001"/>
    <n v="1.5594135"/>
    <n v="2.2131596"/>
    <n v="3.4010286000000001"/>
    <n v="2.3330225000000002"/>
    <n v="3.1063776999999999"/>
    <n v="5.2859375000000002"/>
    <n v="4.4989827"/>
    <n v="4.5071098000000003"/>
    <n v="2.2889360000000001"/>
    <n v="3.0820227"/>
    <n v="1.1003318"/>
    <n v="1.3581907"/>
    <n v="2.6075145000000002"/>
    <n v="1.5546899999999999"/>
    <n v="1.7865861999999999"/>
    <n v="2.5163438"/>
    <n v="1.1860168"/>
    <n v="2.5193819999999998"/>
    <n v="4.3835240000000004"/>
    <n v="3.9690020000000001"/>
    <n v="4.4671989999999999"/>
    <n v="1.9940572000000001"/>
    <n v="3.2684316"/>
    <n v="1.0542693000000001"/>
  </r>
  <r>
    <x v="3"/>
    <s v="PEST CONTROL"/>
    <s v="SC JOHNSON"/>
    <x v="3"/>
    <x v="0"/>
    <x v="3"/>
    <x v="9"/>
    <x v="0"/>
    <n v="5288.643"/>
    <n v="4595.1289999999999"/>
    <n v="4303.3019999999997"/>
    <n v="4386.1899999999996"/>
    <n v="4881.4049999999997"/>
    <n v="5067.0730000000003"/>
    <n v="4870.7439999999997"/>
    <n v="4453.7939999999999"/>
    <n v="4375.2449999999999"/>
    <n v="4304.1409999999996"/>
    <n v="4313.9880000000003"/>
    <n v="4329.3980000000001"/>
    <n v="4794.7120000000004"/>
    <n v="5423.9650000000001"/>
    <n v="6698.7169999999996"/>
    <n v="6409.5050000000001"/>
    <n v="6656.7879999999996"/>
    <n v="6697.5479999999998"/>
    <n v="6017.4769999999999"/>
    <n v="5893.759"/>
    <n v="5751.5889999999999"/>
    <n v="5614.991"/>
    <n v="5563.5550000000003"/>
    <n v="5444.491"/>
    <n v="6089.6890000000003"/>
    <n v="6474.6559999999999"/>
    <n v="7217.07"/>
    <n v="6761.1980000000003"/>
    <n v="7847.4620000000004"/>
    <n v="6916.2219999999998"/>
    <n v="6823.7089999999998"/>
    <n v="7928.6149999999998"/>
    <n v="7118.9210000000003"/>
    <n v="7026.0910000000003"/>
    <n v="7158.509"/>
    <n v="6822.5"/>
    <n v="6465.4989999999998"/>
    <n v="6513.6610000000001"/>
  </r>
  <r>
    <x v="3"/>
    <s v="PEST CONTROL"/>
    <s v="SC JOHNSON"/>
    <x v="3"/>
    <x v="0"/>
    <x v="3"/>
    <x v="9"/>
    <x v="1"/>
    <n v="0"/>
    <n v="0.95074919999999996"/>
    <n v="0.66317519999999996"/>
    <n v="1.2144079000000001"/>
    <n v="0.7563936"/>
    <n v="0.97397829999999996"/>
    <n v="1.6978365"/>
    <n v="1.8895742"/>
    <n v="1.4168392000000001"/>
    <n v="1.2727516999999999"/>
    <n v="1.8282236999999999"/>
    <n v="0.4612387"/>
    <n v="0.45111050000000003"/>
    <n v="1.0418655000000001"/>
    <n v="1.056765"/>
    <n v="1.0642024999999999"/>
    <n v="1.2739062999999999"/>
    <n v="0.97587000000000002"/>
    <n v="1.3240578999999999"/>
    <n v="2.0815557"/>
    <n v="1.9093351999999999"/>
    <n v="1.6885911"/>
    <n v="1.7039559"/>
    <n v="1.5589569999999999"/>
    <n v="0.71364970000000005"/>
    <n v="1.0829352999999999"/>
    <n v="1.2214687"/>
    <n v="0.78385660000000001"/>
    <n v="1.7544044000000001"/>
    <n v="1.9387646999999999"/>
    <n v="2.3540912999999999"/>
    <n v="1.5252325"/>
    <n v="2.5962217000000001"/>
    <n v="3.9152258"/>
    <n v="2.6478370999999998"/>
    <n v="2.8282867999999999"/>
    <n v="2.0064964999999999"/>
    <n v="1.1678504999999999"/>
  </r>
  <r>
    <x v="3"/>
    <s v="PEST CONTROL"/>
    <s v="SC JOHNSON"/>
    <x v="3"/>
    <x v="0"/>
    <x v="3"/>
    <x v="10"/>
    <x v="0"/>
    <n v="24620.107"/>
    <n v="24321.559000000001"/>
    <n v="26808.365000000002"/>
    <n v="26374.065999999999"/>
    <n v="28956.531999999999"/>
    <n v="26503.449000000001"/>
    <n v="28667.179"/>
    <n v="24332.044000000002"/>
    <n v="22741.971000000001"/>
    <n v="25081.488000000001"/>
    <n v="24015.257000000001"/>
    <n v="24533.236000000001"/>
    <n v="24110.921999999999"/>
    <n v="25025.721000000001"/>
    <n v="27985.202000000001"/>
    <n v="31877.346000000001"/>
    <n v="32450.828000000001"/>
    <n v="28889.514999999999"/>
    <n v="28357.241000000002"/>
    <n v="27470.569"/>
    <n v="28631.679"/>
    <n v="25919.965"/>
    <n v="26638.028999999999"/>
    <n v="25071.921999999999"/>
    <n v="26770.288"/>
    <n v="24053.907999999999"/>
    <n v="27093.887999999999"/>
    <n v="30026.652999999998"/>
    <n v="32577.868999999999"/>
    <n v="30847.83"/>
    <n v="32183.625"/>
    <n v="31581.769"/>
    <n v="29409.960999999999"/>
    <n v="29875.732"/>
    <n v="28934.325000000001"/>
    <n v="28871.572"/>
    <n v="29493.644"/>
    <n v="31071.918000000001"/>
  </r>
  <r>
    <x v="3"/>
    <s v="PEST CONTROL"/>
    <s v="SC JOHNSON"/>
    <x v="3"/>
    <x v="0"/>
    <x v="3"/>
    <x v="10"/>
    <x v="1"/>
    <n v="0"/>
    <n v="3.3750657999999998"/>
    <n v="3.4110965000000002"/>
    <n v="3.3088598"/>
    <n v="3.1140135"/>
    <n v="4.8273209000000001"/>
    <n v="4.8130671999999999"/>
    <n v="4.4261831999999997"/>
    <n v="6.6600637999999996"/>
    <n v="7.712504"/>
    <n v="3.6925579000000002"/>
    <n v="4.932925"/>
    <n v="4.1895147000000001"/>
    <n v="2.2052773000000001"/>
    <n v="3.8648041000000002"/>
    <n v="2.6662438000000002"/>
    <n v="4.6650717999999998"/>
    <n v="3.6647582000000001"/>
    <n v="5.4517550999999997"/>
    <n v="5.6597182999999998"/>
    <n v="6.9466181000000002"/>
    <n v="4.8428656999999999"/>
    <n v="4.8714276999999999"/>
    <n v="5.1589951000000003"/>
    <n v="4.0762687"/>
    <n v="2.7455335000000001"/>
    <n v="2.9729646000000001"/>
    <n v="3.3111036999999999"/>
    <n v="1.6540115"/>
    <n v="5.4630926000000004"/>
    <n v="3.5682659999999999"/>
    <n v="4.7064611999999997"/>
    <n v="6.7486587"/>
    <n v="7.2011503000000001"/>
    <n v="7.0447471999999998"/>
    <n v="6.2667393000000002"/>
    <n v="4.3912037000000002"/>
    <n v="4.0323311999999998"/>
  </r>
  <r>
    <x v="3"/>
    <s v="PEST CONTROL"/>
    <s v="SC JOHNSON"/>
    <x v="4"/>
    <x v="6"/>
    <x v="3"/>
    <x v="0"/>
    <x v="0"/>
    <n v="4609.3540000000003"/>
    <n v="3940.0419999999999"/>
    <n v="5316.0739999999996"/>
    <n v="5795.3429999999998"/>
    <n v="4913.1899999999996"/>
    <n v="6104.692"/>
    <n v="5176.2259999999997"/>
    <n v="4689.4129999999996"/>
    <n v="4370.9530000000004"/>
    <n v="3991.8339999999998"/>
    <n v="3813.692"/>
    <n v="3440.8339999999998"/>
    <n v="4403.9260000000004"/>
    <n v="4708.585"/>
    <n v="5445.6310000000003"/>
    <n v="4669.53"/>
    <n v="5418.4769999999999"/>
    <n v="4096.1559999999999"/>
    <n v="3139.2739999999999"/>
    <n v="2933.6219999999998"/>
    <n v="2746.982"/>
    <n v="2529.3879999999999"/>
    <n v="2267.7930000000001"/>
    <n v="2363.721"/>
    <n v="2201.4409999999998"/>
    <n v="2586.0569999999998"/>
    <n v="2790.06"/>
    <n v="2625.7139999999999"/>
    <n v="3756.8739999999998"/>
    <n v="3022.8969999999999"/>
    <n v="3199.4160000000002"/>
    <n v="2990.703"/>
    <n v="3091.8180000000002"/>
    <n v="3427.973"/>
    <n v="3388.49"/>
    <n v="3598.7829999999999"/>
    <n v="3586.123"/>
    <n v="3353.1219999999998"/>
  </r>
  <r>
    <x v="3"/>
    <s v="PEST CONTROL"/>
    <s v="SC JOHNSON"/>
    <x v="4"/>
    <x v="6"/>
    <x v="3"/>
    <x v="0"/>
    <x v="1"/>
    <n v="0"/>
    <n v="0.78208500000000003"/>
    <n v="1.7974231000000001"/>
    <n v="1.099961"/>
    <n v="0.8222737"/>
    <n v="2.0195449000000001"/>
    <n v="0.91979290000000002"/>
    <n v="1.5070429000000001"/>
    <n v="1.7932781"/>
    <n v="3.3152889000000001"/>
    <n v="1.8430181999999999"/>
    <n v="1.215557"/>
    <n v="2.3277211000000002"/>
    <n v="1.117178"/>
    <n v="1.2072163"/>
    <n v="1.2706915000000001"/>
    <n v="0.94678110000000004"/>
    <n v="1.5817038000000001"/>
    <n v="1.8461540000000001"/>
    <n v="2.0653489999999999"/>
    <n v="1.8452754"/>
    <n v="1.4046000000000001"/>
    <n v="0.93492370000000002"/>
    <n v="0.96408990000000006"/>
    <n v="0.52689200000000003"/>
    <n v="0.81566119999999998"/>
    <n v="0.46916560000000002"/>
    <n v="0.93801270000000003"/>
    <n v="0.88989479999999999"/>
    <n v="1.8029644"/>
    <n v="1.1174694000000001"/>
    <n v="1.2133487999999999"/>
    <n v="2.1691079000000002"/>
    <n v="2.2869047999999998"/>
    <n v="1.4256321000000001"/>
    <n v="0.87407959999999996"/>
    <n v="1.8626134000000001"/>
    <n v="0.62097440000000004"/>
  </r>
  <r>
    <x v="4"/>
    <s v="PEST CONTROL"/>
    <s v="SC JOHNSON"/>
    <x v="0"/>
    <x v="0"/>
    <x v="0"/>
    <x v="0"/>
    <x v="0"/>
    <n v="802.279"/>
    <n v="649.154"/>
    <n v="627.245"/>
    <n v="557.53700000000003"/>
    <n v="481.57600000000002"/>
    <n v="574.05499999999995"/>
    <n v="629.846"/>
    <n v="637.49800000000005"/>
    <n v="562.42899999999997"/>
    <n v="542.51700000000005"/>
    <n v="489.49900000000002"/>
    <n v="489.49900000000002"/>
    <n v="479.08699999999999"/>
    <n v="545.01400000000001"/>
    <n v="524.17899999999997"/>
    <n v="559.29499999999996"/>
    <n v="545.20299999999997"/>
    <n v="587.88300000000004"/>
    <n v="682.37800000000004"/>
    <n v="774.38400000000001"/>
    <n v="759.68499999999995"/>
    <n v="756.80200000000002"/>
    <n v="593.12099999999998"/>
    <n v="552.22199999999998"/>
    <n v="608.23900000000003"/>
    <n v="609.67200000000003"/>
    <n v="524.28700000000003"/>
    <n v="584.25900000000001"/>
    <n v="757.67200000000003"/>
    <n v="987.625"/>
    <n v="1165.806"/>
    <n v="1070.9870000000001"/>
    <n v="1040.3030000000001"/>
    <n v="1371.356"/>
    <n v="1150.915"/>
    <n v="1002.138"/>
    <n v="962.34299999999996"/>
    <n v="942.04600000000005"/>
  </r>
  <r>
    <x v="4"/>
    <s v="PEST CONTROL"/>
    <s v="SC JOHNSON"/>
    <x v="0"/>
    <x v="0"/>
    <x v="0"/>
    <x v="0"/>
    <x v="1"/>
    <n v="0"/>
    <n v="0.11909119999999999"/>
    <n v="2.8693841999999998"/>
    <n v="3.3459541000000002"/>
    <n v="4.3792793000000003"/>
    <n v="3.2366017999999999"/>
    <n v="5.5177581"/>
    <n v="6.8781448000000003"/>
    <n v="7.8886199000000001"/>
    <n v="4.4158923000000003"/>
    <n v="1.5764096999999999"/>
    <n v="1.8824784999999999"/>
    <n v="0.56203210000000003"/>
    <n v="1.2942404000000001"/>
    <n v="2.9555397000000001"/>
    <n v="1.3382385000000001"/>
    <n v="2.0280478999999998"/>
    <n v="7.5874303000000003"/>
    <n v="2.1495587"/>
    <n v="5.5555731000000002"/>
    <n v="7.1860113999999999"/>
    <n v="10.6836088"/>
    <n v="0.78830579999999995"/>
    <n v="2.9087676"/>
    <n v="1.9238256"/>
    <n v="1.9094781999999999"/>
    <n v="2.0621684"/>
    <n v="2.1443063000000002"/>
    <n v="6.0391545000000004"/>
    <n v="6.3980259999999998"/>
    <n v="2.2119702000000001"/>
    <n v="5.2049709000000002"/>
    <n v="11.6121456"/>
    <n v="6.3177342000000003"/>
    <n v="10.269164399999999"/>
    <n v="3.9450563000000001"/>
    <n v="4.3008308"/>
    <n v="1.1671471"/>
  </r>
  <r>
    <x v="4"/>
    <s v="PEST CONTROL"/>
    <s v="SC JOHNSON"/>
    <x v="0"/>
    <x v="0"/>
    <x v="0"/>
    <x v="1"/>
    <x v="0"/>
    <n v="74.673000000000002"/>
    <n v="62.926000000000002"/>
    <n v="50.314999999999998"/>
    <n v="30.8"/>
    <n v="27.504999999999999"/>
    <n v="15.8"/>
    <n v="15.8"/>
    <n v="15.8"/>
    <n v="10.412000000000001"/>
    <n v="10.412000000000001"/>
    <n v="10.412000000000001"/>
    <n v="10.412000000000001"/>
    <n v="10.412000000000001"/>
    <n v="10.412000000000001"/>
    <n v="10.412000000000001"/>
    <n v="10.145"/>
    <n v="10.145"/>
    <n v="10.145"/>
    <m/>
    <m/>
    <m/>
    <m/>
    <m/>
    <m/>
    <m/>
    <m/>
    <m/>
    <m/>
    <m/>
    <m/>
    <m/>
    <m/>
    <m/>
    <m/>
    <m/>
    <m/>
    <m/>
    <m/>
  </r>
  <r>
    <x v="4"/>
    <s v="PEST CONTROL"/>
    <s v="SC JOHNSON"/>
    <x v="0"/>
    <x v="0"/>
    <x v="0"/>
    <x v="1"/>
    <x v="1"/>
    <n v="0"/>
    <n v="0"/>
    <n v="5.9407500000000002E-2"/>
    <n v="0"/>
    <n v="0.86203739999999995"/>
    <n v="0"/>
    <n v="2.1735828000000001"/>
    <n v="0"/>
    <n v="0"/>
    <n v="0.91706750000000004"/>
    <n v="0"/>
    <n v="0"/>
    <n v="0"/>
    <n v="0"/>
    <n v="0.18705949999999999"/>
    <n v="0"/>
    <n v="0"/>
    <n v="0"/>
    <n v="0"/>
    <n v="0.6001244"/>
    <n v="0"/>
    <m/>
    <m/>
    <m/>
    <m/>
    <m/>
    <m/>
    <m/>
    <m/>
    <m/>
    <m/>
    <m/>
    <m/>
    <m/>
    <m/>
    <m/>
    <m/>
    <m/>
  </r>
  <r>
    <x v="4"/>
    <s v="PEST CONTROL"/>
    <s v="SC JOHNSON"/>
    <x v="0"/>
    <x v="0"/>
    <x v="1"/>
    <x v="0"/>
    <x v="0"/>
    <n v="4855.2569999999996"/>
    <n v="4963.8689999999997"/>
    <n v="5807.3770000000004"/>
    <n v="6466.1310000000003"/>
    <n v="7447.4470000000001"/>
    <n v="8048.2520000000004"/>
    <n v="7714.0690000000004"/>
    <n v="6573.1890000000003"/>
    <n v="6572.2269999999999"/>
    <n v="6149.8810000000003"/>
    <n v="6081.8689999999997"/>
    <n v="6427.8860000000004"/>
    <n v="5929.3190000000004"/>
    <n v="6469.0330000000004"/>
    <n v="7441.0159999999996"/>
    <n v="7825.5680000000002"/>
    <n v="7866.0259999999998"/>
    <n v="7551.7780000000002"/>
    <n v="6608.84"/>
    <n v="6605.9350000000004"/>
    <n v="6174.326"/>
    <n v="5970.5079999999998"/>
    <n v="5768.8159999999998"/>
    <n v="5270.2520000000004"/>
    <n v="5736.4930000000004"/>
    <n v="6489.4989999999998"/>
    <n v="6697.7330000000002"/>
    <n v="6323.3360000000002"/>
    <n v="6747.2479999999996"/>
    <n v="7544.5810000000001"/>
    <n v="6741.1909999999998"/>
    <n v="6778.5609999999997"/>
    <n v="7038.1959999999999"/>
    <n v="6969.1559999999999"/>
    <n v="6281.1239999999998"/>
    <n v="6557.0929999999998"/>
    <n v="7187.1909999999998"/>
    <n v="6687.1760000000004"/>
  </r>
  <r>
    <x v="4"/>
    <s v="PEST CONTROL"/>
    <s v="SC JOHNSON"/>
    <x v="0"/>
    <x v="0"/>
    <x v="1"/>
    <x v="0"/>
    <x v="1"/>
    <n v="0"/>
    <n v="4.5594666999999998"/>
    <n v="1.7652357000000001"/>
    <n v="10.942044900000001"/>
    <n v="0.61089740000000003"/>
    <n v="6.3484936000000003"/>
    <n v="5.4543657000000003"/>
    <n v="17.643347800000001"/>
    <n v="16.444576099999999"/>
    <n v="23.517620099999998"/>
    <n v="11.222226300000001"/>
    <n v="9.1199145999999995"/>
    <n v="9.4796706999999998"/>
    <n v="10.5277569"/>
    <n v="4.3811200000000001"/>
    <n v="3.0986593999999998"/>
    <n v="2.0914244000000002"/>
    <n v="7.1762432"/>
    <n v="9.3407809000000004"/>
    <n v="13.7230141"/>
    <n v="11.144658"/>
    <n v="22.704412600000001"/>
    <n v="17.227887899999999"/>
    <n v="15.9957627"/>
    <n v="5.5494769000000002"/>
    <n v="5.7946214999999999"/>
    <n v="7.6389300999999996"/>
    <n v="2.4065889"/>
    <n v="4.2456135000000002"/>
    <n v="4.2238803999999996"/>
    <n v="4.2880114000000003"/>
    <n v="1.9318272000000001"/>
    <n v="6.2914224000000001"/>
    <n v="15.523967300000001"/>
    <n v="23.208110999999999"/>
    <n v="16.1849715"/>
    <n v="22.127742600000001"/>
    <n v="3.8538511999999998"/>
  </r>
  <r>
    <x v="4"/>
    <s v="PEST CONTROL"/>
    <s v="SC JOHNSON"/>
    <x v="0"/>
    <x v="0"/>
    <x v="1"/>
    <x v="12"/>
    <x v="0"/>
    <n v="724.774"/>
    <n v="694.654"/>
    <n v="707.79"/>
    <n v="777.75099999999998"/>
    <n v="807.53099999999995"/>
    <n v="815.25800000000004"/>
    <n v="1079.3989999999999"/>
    <n v="995.80200000000002"/>
    <n v="1014.412"/>
    <n v="857.09799999999996"/>
    <n v="887.6"/>
    <n v="987.83"/>
    <n v="801.10299999999995"/>
    <n v="740.92"/>
    <n v="889.61900000000003"/>
    <n v="1185.077"/>
    <n v="1345.8309999999999"/>
    <n v="1195.98"/>
    <n v="1051.672"/>
    <n v="898.42600000000004"/>
    <n v="935.12400000000002"/>
    <n v="952.06600000000003"/>
    <n v="857.16399999999999"/>
    <n v="826.56399999999996"/>
    <n v="959.19100000000003"/>
    <n v="1008.501"/>
    <n v="1015.552"/>
    <n v="1158.607"/>
    <n v="1569.7239999999999"/>
    <n v="1617.13"/>
    <n v="1442.194"/>
    <n v="1395.2460000000001"/>
    <n v="1143.0550000000001"/>
    <n v="1080.8230000000001"/>
    <n v="902.31"/>
    <n v="992.37800000000004"/>
    <n v="1035.905"/>
    <n v="860.07500000000005"/>
  </r>
  <r>
    <x v="4"/>
    <s v="PEST CONTROL"/>
    <s v="SC JOHNSON"/>
    <x v="0"/>
    <x v="0"/>
    <x v="1"/>
    <x v="12"/>
    <x v="1"/>
    <n v="0"/>
    <n v="3.9220904999999999"/>
    <n v="1.1492983000000001"/>
    <n v="8.4206766000000002"/>
    <n v="4.0783512999999996"/>
    <n v="6.9089562000000004"/>
    <n v="6.4790155"/>
    <n v="12.6943026"/>
    <n v="10.6730597"/>
    <n v="5.8531129000000002"/>
    <n v="2.6082869"/>
    <n v="2.4194469000000001"/>
    <n v="2.1440899999999998"/>
    <n v="3.0164222000000001"/>
    <n v="2.2239501000000002"/>
    <n v="1.1789244000000001"/>
    <n v="1.4365551000000001"/>
    <n v="7.9384744999999999"/>
    <n v="11.600978700000001"/>
    <n v="12.4693858"/>
    <n v="8.4869099000000006"/>
    <n v="7.9926798999999997"/>
    <n v="1.7216598999999999"/>
    <n v="4.9412164000000001"/>
    <n v="1.1639953000000001"/>
    <n v="4.2244080999999998"/>
    <n v="2.233209"/>
    <n v="4.2477901999999998"/>
    <n v="3.4199419"/>
    <n v="8.2419919000000004"/>
    <n v="7.8706369"/>
    <n v="4.3805686000000001"/>
    <n v="17.6561454"/>
    <n v="20.515077600000001"/>
    <n v="9.2529450000000004"/>
    <n v="6.8328889000000004"/>
    <n v="5.2864564999999999"/>
    <n v="5.8174045999999997"/>
  </r>
  <r>
    <x v="4"/>
    <s v="PEST CONTROL"/>
    <s v="SC JOHNSON"/>
    <x v="0"/>
    <x v="0"/>
    <x v="1"/>
    <x v="2"/>
    <x v="0"/>
    <n v="2212.9699999999998"/>
    <n v="2165.5790000000002"/>
    <n v="2139.0920000000001"/>
    <n v="2076.2730000000001"/>
    <n v="2164.549"/>
    <n v="1817.117"/>
    <n v="1800.1289999999999"/>
    <n v="1623.8"/>
    <n v="1483.335"/>
    <n v="1503.789"/>
    <n v="1580.1679999999999"/>
    <n v="1536.633"/>
    <n v="1575.1869999999999"/>
    <n v="1676.2360000000001"/>
    <n v="1658.2760000000001"/>
    <n v="1729.626"/>
    <n v="1919.28"/>
    <n v="2066.2750000000001"/>
    <n v="1922.1849999999999"/>
    <n v="1769.2470000000001"/>
    <n v="1803.7260000000001"/>
    <n v="1757.827"/>
    <n v="1636.3689999999999"/>
    <n v="1691.62"/>
    <n v="1838.422"/>
    <n v="1963.8589999999999"/>
    <n v="1787.4839999999999"/>
    <n v="1719.0419999999999"/>
    <n v="1603.742"/>
    <n v="1494.921"/>
    <n v="1504.7049999999999"/>
    <n v="1461.2339999999999"/>
    <n v="1098.683"/>
    <n v="1100.038"/>
    <n v="1137.615"/>
    <n v="987.55100000000004"/>
    <n v="1116.5229999999999"/>
    <n v="1116.7380000000001"/>
  </r>
  <r>
    <x v="4"/>
    <s v="PEST CONTROL"/>
    <s v="SC JOHNSON"/>
    <x v="0"/>
    <x v="0"/>
    <x v="1"/>
    <x v="2"/>
    <x v="1"/>
    <n v="0"/>
    <n v="2.6051202999999998"/>
    <n v="2.3671528999999998"/>
    <n v="8.6075672000000001"/>
    <n v="2.7191044999999998"/>
    <n v="10.970693799999999"/>
    <n v="14.931064599999999"/>
    <n v="17.471291999999998"/>
    <n v="17.517185900000001"/>
    <n v="8.8283456999999999"/>
    <n v="2.9759492999999999"/>
    <n v="5.4602921000000002"/>
    <n v="2.484057"/>
    <n v="3.3894129"/>
    <n v="3.5957195999999998"/>
    <n v="4.7246829000000004"/>
    <n v="4.0420261999999996"/>
    <n v="10.3452009"/>
    <n v="12.3026199"/>
    <n v="15.227241899999999"/>
    <n v="10.165195199999999"/>
    <n v="12.248435600000001"/>
    <n v="4.8743157000000004"/>
    <n v="6.4863898999999998"/>
    <n v="2.5090564999999998"/>
    <n v="5.5204459999999997"/>
    <n v="3.9737566000000002"/>
    <n v="2.6763523"/>
    <n v="1.8578256"/>
    <n v="10.3585783"/>
    <n v="5.5181912999999998"/>
    <n v="10.545838099999999"/>
    <n v="9.6884682000000009"/>
    <n v="15.066909799999999"/>
    <n v="13.460427599999999"/>
    <n v="4.5881112999999996"/>
    <n v="5.4066546999999998"/>
    <n v="4.3172772999999998"/>
  </r>
  <r>
    <x v="4"/>
    <s v="PEST CONTROL"/>
    <s v="SC JOHNSON"/>
    <x v="0"/>
    <x v="0"/>
    <x v="1"/>
    <x v="3"/>
    <x v="0"/>
    <n v="9063.33"/>
    <n v="8987.8060000000005"/>
    <n v="10301.526"/>
    <n v="9972.5020000000004"/>
    <n v="9761.6779999999999"/>
    <n v="10616.623"/>
    <n v="9755.4549999999999"/>
    <n v="9783.8729999999996"/>
    <n v="9482.9660000000003"/>
    <n v="8351.9940000000006"/>
    <n v="8854.3050000000003"/>
    <n v="9584.9169999999995"/>
    <n v="9006.2379999999994"/>
    <n v="9269.9609999999993"/>
    <n v="9937.3649999999998"/>
    <n v="10343.116"/>
    <n v="10281.146000000001"/>
    <n v="11266.749"/>
    <n v="10425.897000000001"/>
    <n v="9204.4989999999998"/>
    <n v="9281.2530000000006"/>
    <n v="9312.7849999999999"/>
    <n v="9285.3220000000001"/>
    <n v="8991.27"/>
    <n v="9502.35"/>
    <n v="9822.8490000000002"/>
    <n v="9060.93"/>
    <n v="9780.1029999999992"/>
    <n v="10034.929"/>
    <n v="9295.4339999999993"/>
    <n v="8146.6970000000001"/>
    <n v="9171.6190000000006"/>
    <n v="8554.2620000000006"/>
    <n v="7789.4080000000004"/>
    <n v="7035.1940000000004"/>
    <n v="6240.4520000000002"/>
    <n v="6553.3620000000001"/>
    <n v="6455.41"/>
  </r>
  <r>
    <x v="4"/>
    <s v="PEST CONTROL"/>
    <s v="SC JOHNSON"/>
    <x v="0"/>
    <x v="0"/>
    <x v="1"/>
    <x v="3"/>
    <x v="1"/>
    <n v="0"/>
    <n v="3.7960324999999999"/>
    <n v="0.85808249999999997"/>
    <n v="5.649794"/>
    <n v="1.8428943"/>
    <n v="7.6284179999999999"/>
    <n v="8.1215425000000003"/>
    <n v="18.129680100000002"/>
    <n v="20.856246899999999"/>
    <n v="18.7387023"/>
    <n v="16.369125799999999"/>
    <n v="15.335956299999999"/>
    <n v="6.8567916999999996"/>
    <n v="14.5777003"/>
    <n v="4.0685435999999999"/>
    <n v="0.68683499999999997"/>
    <n v="2.4043774999999998"/>
    <n v="6.4005904999999998"/>
    <n v="7.1037857999999998"/>
    <n v="8.9327576000000004"/>
    <n v="14.240227900000001"/>
    <n v="28.760391299999998"/>
    <n v="18.528340199999999"/>
    <n v="11.809078700000001"/>
    <n v="10.073473999999999"/>
    <n v="7.8234298999999998"/>
    <n v="6.2768663"/>
    <n v="6.1073069000000002"/>
    <n v="0.41425010000000001"/>
    <n v="4.4923561999999997"/>
    <n v="3.3820416999999998"/>
    <n v="2.7060955"/>
    <n v="6.0439997999999999"/>
    <n v="15.7179474"/>
    <n v="24.2522096"/>
    <n v="14.783455500000001"/>
    <n v="12.1308197"/>
    <n v="6.0920275000000004"/>
  </r>
  <r>
    <x v="4"/>
    <s v="PEST CONTROL"/>
    <s v="SC JOHNSON"/>
    <x v="1"/>
    <x v="1"/>
    <x v="2"/>
    <x v="4"/>
    <x v="0"/>
    <n v="67.73"/>
    <n v="65.483999999999995"/>
    <n v="90.536000000000001"/>
    <n v="83.308000000000007"/>
    <n v="63.621000000000002"/>
    <n v="63.621000000000002"/>
    <n v="63.621000000000002"/>
    <n v="51.055"/>
    <n v="53.823"/>
    <n v="34.606999999999999"/>
    <n v="69.241"/>
    <n v="69.241"/>
    <n v="69.241"/>
    <n v="69.241"/>
    <n v="69.016000000000005"/>
    <n v="63.905999999999999"/>
    <n v="62.438000000000002"/>
    <n v="97.716999999999999"/>
    <n v="66.013999999999996"/>
    <n v="63.485999999999997"/>
    <n v="63.485999999999997"/>
    <n v="64.207999999999998"/>
    <n v="50.093000000000004"/>
    <n v="44.655999999999999"/>
    <n v="48.500999999999998"/>
    <n v="45.341000000000001"/>
    <n v="41.436999999999998"/>
    <n v="36.229999999999997"/>
    <n v="4.9669999999999996"/>
    <n v="5.54"/>
    <n v="5.54"/>
    <n v="4.4320000000000004"/>
    <n v="4.4320000000000004"/>
    <n v="4.4320000000000004"/>
    <n v="4.4320000000000004"/>
    <n v="5.0430000000000001"/>
    <n v="5.0430000000000001"/>
    <n v="5.0430000000000001"/>
  </r>
  <r>
    <x v="4"/>
    <s v="PEST CONTROL"/>
    <s v="SC JOHNSON"/>
    <x v="1"/>
    <x v="1"/>
    <x v="2"/>
    <x v="4"/>
    <x v="1"/>
    <n v="0"/>
    <n v="0"/>
    <n v="0"/>
    <n v="0"/>
    <n v="0"/>
    <n v="1.0691866000000001"/>
    <n v="0.61012849999999996"/>
    <n v="0"/>
    <n v="0"/>
    <n v="0"/>
    <n v="1.4775796999999999"/>
    <n v="0"/>
    <n v="0"/>
    <n v="0"/>
    <n v="0"/>
    <n v="0"/>
    <n v="0"/>
    <n v="0"/>
    <n v="0"/>
    <n v="1.1821820000000001"/>
    <n v="0"/>
    <n v="0"/>
    <n v="0"/>
    <n v="0"/>
    <n v="1.7330597000000001"/>
    <n v="0"/>
    <n v="0"/>
    <n v="0"/>
    <n v="0.33428000000000002"/>
    <n v="1.7291818000000001"/>
    <n v="0"/>
    <n v="0"/>
    <n v="0"/>
    <n v="0"/>
    <n v="0"/>
    <n v="0"/>
    <n v="0"/>
    <n v="0"/>
  </r>
  <r>
    <x v="4"/>
    <s v="PEST CONTROL"/>
    <s v="SC JOHNSON"/>
    <x v="1"/>
    <x v="1"/>
    <x v="2"/>
    <x v="5"/>
    <x v="0"/>
    <n v="19.347999999999999"/>
    <n v="25.597999999999999"/>
    <n v="25.597999999999999"/>
    <n v="25.597999999999999"/>
    <n v="23.984999999999999"/>
    <n v="23.984999999999999"/>
    <n v="23.984999999999999"/>
    <n v="17.018999999999998"/>
    <n v="16.779"/>
    <n v="16.779"/>
    <n v="16.779"/>
    <n v="16.779"/>
    <n v="16.779"/>
    <n v="16.779"/>
    <n v="16.779"/>
    <m/>
    <m/>
    <m/>
    <m/>
    <m/>
    <m/>
    <m/>
    <m/>
    <m/>
    <m/>
    <m/>
    <m/>
    <m/>
    <m/>
    <m/>
    <m/>
    <m/>
    <m/>
    <m/>
    <m/>
    <m/>
    <m/>
    <m/>
  </r>
  <r>
    <x v="4"/>
    <s v="PEST CONTROL"/>
    <s v="SC JOHNSON"/>
    <x v="1"/>
    <x v="1"/>
    <x v="2"/>
    <x v="5"/>
    <x v="1"/>
    <n v="0"/>
    <n v="0"/>
    <n v="0"/>
    <n v="0"/>
    <n v="0"/>
    <n v="0"/>
    <n v="0"/>
    <n v="0"/>
    <n v="0"/>
    <n v="0"/>
    <n v="0"/>
    <n v="0"/>
    <n v="0"/>
    <n v="0"/>
    <n v="0"/>
    <n v="0"/>
    <n v="0.7077253"/>
    <n v="0"/>
    <m/>
    <m/>
    <m/>
    <m/>
    <m/>
    <m/>
    <m/>
    <m/>
    <m/>
    <m/>
    <m/>
    <m/>
    <m/>
    <m/>
    <m/>
    <m/>
    <m/>
    <m/>
    <m/>
    <m/>
  </r>
  <r>
    <x v="4"/>
    <s v="PEST CONTROL"/>
    <s v="SC JOHNSON"/>
    <x v="1"/>
    <x v="1"/>
    <x v="3"/>
    <x v="0"/>
    <x v="0"/>
    <n v="1054.5329999999999"/>
    <n v="900.36800000000005"/>
    <n v="1155.0920000000001"/>
    <n v="948.77"/>
    <n v="808.99699999999996"/>
    <n v="984.68600000000004"/>
    <n v="962.20299999999997"/>
    <n v="953.06899999999996"/>
    <n v="862.95699999999999"/>
    <n v="826.03700000000003"/>
    <n v="882.721"/>
    <n v="832.23"/>
    <n v="827.07600000000002"/>
    <n v="852.65599999999995"/>
    <n v="895.77599999999995"/>
    <n v="807.73699999999997"/>
    <n v="994.33299999999997"/>
    <n v="897.45799999999997"/>
    <n v="916.53499999999997"/>
    <n v="842.92899999999997"/>
    <n v="914.75599999999997"/>
    <n v="861.76099999999997"/>
    <n v="981.83799999999997"/>
    <n v="756.68499999999995"/>
    <n v="1005.705"/>
    <n v="1005.915"/>
    <n v="835.13099999999997"/>
    <n v="738.34199999999998"/>
    <n v="806.15300000000002"/>
    <n v="800.09400000000005"/>
    <n v="948.78200000000004"/>
    <n v="841.90099999999995"/>
    <n v="833.03300000000002"/>
    <n v="839.62599999999998"/>
    <n v="920.73299999999995"/>
    <n v="821.125"/>
    <n v="734.86300000000006"/>
    <n v="688.88499999999999"/>
  </r>
  <r>
    <x v="4"/>
    <s v="PEST CONTROL"/>
    <s v="SC JOHNSON"/>
    <x v="1"/>
    <x v="1"/>
    <x v="3"/>
    <x v="0"/>
    <x v="1"/>
    <n v="0"/>
    <n v="8.0146005999999996"/>
    <n v="1.6394105000000001"/>
    <n v="4.3512415000000004"/>
    <n v="4.4857588000000002"/>
    <n v="4.0283026"/>
    <n v="5.6872518000000003"/>
    <n v="7.3135314999999999"/>
    <n v="2.7344067999999999"/>
    <n v="11.551724200000001"/>
    <n v="5.2963619"/>
    <n v="2.8458391999999999"/>
    <n v="3.0352855999999999"/>
    <n v="1.3722067"/>
    <n v="3.455425"/>
    <n v="2.7614233000000001"/>
    <n v="6.2991168000000002"/>
    <n v="4.2255723999999999"/>
    <n v="4.9709177000000002"/>
    <n v="7.9394568999999997"/>
    <n v="6.7725657000000004"/>
    <n v="5.4622169999999999"/>
    <n v="5.8520041000000003"/>
    <n v="2.3910781000000001"/>
    <n v="3.7284709"/>
    <n v="7.378266"/>
    <n v="2.8551511999999999"/>
    <n v="1.9390333"/>
    <n v="0.9642693"/>
    <n v="2.4757128000000002"/>
    <n v="3.2126822000000002"/>
    <n v="4.0173984999999997"/>
    <n v="5.5803833000000003"/>
    <n v="5.0100401000000003"/>
    <n v="7.2806771000000001"/>
    <n v="1.5245561000000001"/>
    <n v="7.4179491999999998"/>
    <n v="7.6058859999999999"/>
  </r>
  <r>
    <x v="4"/>
    <s v="PEST CONTROL"/>
    <s v="SC JOHNSON"/>
    <x v="1"/>
    <x v="1"/>
    <x v="3"/>
    <x v="4"/>
    <x v="0"/>
    <n v="35.398000000000003"/>
    <n v="69.037000000000006"/>
    <n v="120.02800000000001"/>
    <n v="120.221"/>
    <n v="161.53299999999999"/>
    <n v="125.983"/>
    <n v="119.879"/>
    <n v="118.73099999999999"/>
    <n v="122.578"/>
    <n v="122.578"/>
    <n v="134.541"/>
    <n v="108.73099999999999"/>
    <n v="121.459"/>
    <n v="106.73099999999999"/>
    <n v="87.632000000000005"/>
    <n v="89.602999999999994"/>
    <n v="85.602999999999994"/>
    <n v="91.852000000000004"/>
    <n v="81.944000000000003"/>
    <n v="121.20699999999999"/>
    <n v="129.20699999999999"/>
    <n v="174.04499999999999"/>
    <n v="172.286"/>
    <n v="185.245"/>
    <n v="146.309"/>
    <n v="127.39700000000001"/>
    <n v="171.93299999999999"/>
    <n v="185.40700000000001"/>
    <n v="224.101"/>
    <n v="271.66000000000003"/>
    <n v="224.29300000000001"/>
    <n v="229.05699999999999"/>
    <n v="247.70500000000001"/>
    <n v="238.952"/>
    <n v="226.863"/>
    <n v="134.98099999999999"/>
    <n v="82.572000000000003"/>
    <n v="80.572000000000003"/>
  </r>
  <r>
    <x v="4"/>
    <s v="PEST CONTROL"/>
    <s v="SC JOHNSON"/>
    <x v="1"/>
    <x v="1"/>
    <x v="3"/>
    <x v="4"/>
    <x v="1"/>
    <n v="0"/>
    <n v="0"/>
    <n v="0.17822260000000001"/>
    <n v="0.87011349999999998"/>
    <n v="0"/>
    <n v="0"/>
    <n v="0.72196510000000003"/>
    <n v="0"/>
    <n v="2.0686985999999998"/>
    <n v="0.12505179999999999"/>
    <n v="0"/>
    <n v="0.98283010000000004"/>
    <n v="0.12489599999999999"/>
    <n v="0"/>
    <n v="1.1317098000000001"/>
    <n v="1.3276600999999999"/>
    <n v="0"/>
    <n v="0"/>
    <n v="0"/>
    <n v="0.60460959999999997"/>
    <n v="0"/>
    <n v="1.3782268"/>
    <n v="0"/>
    <n v="0"/>
    <n v="0"/>
    <n v="0"/>
    <n v="1.4888275"/>
    <n v="3.5706408999999999"/>
    <n v="0.12856919999999999"/>
    <n v="0"/>
    <n v="0.26744489999999999"/>
    <n v="1.2254735999999999"/>
    <n v="4.4636379000000002"/>
    <n v="0.78929870000000002"/>
    <n v="0.84239240000000004"/>
    <n v="0.46148650000000002"/>
    <n v="4.6522218000000004"/>
    <n v="0.54924569999999995"/>
  </r>
  <r>
    <x v="4"/>
    <s v="PEST CONTROL"/>
    <s v="SC JOHNSON"/>
    <x v="1"/>
    <x v="1"/>
    <x v="3"/>
    <x v="5"/>
    <x v="0"/>
    <n v="32.4"/>
    <n v="29.4"/>
    <n v="74.596000000000004"/>
    <n v="77.796000000000006"/>
    <n v="96.838999999999999"/>
    <n v="26.6"/>
    <n v="26.6"/>
    <n v="43.234999999999999"/>
    <n v="64.676000000000002"/>
    <n v="46.847999999999999"/>
    <n v="109.88500000000001"/>
    <n v="105.88500000000001"/>
    <n v="103.88500000000001"/>
    <n v="112.24"/>
    <n v="133.18199999999999"/>
    <n v="95.918999999999997"/>
    <n v="110.816"/>
    <n v="114.97199999999999"/>
    <n v="152.66499999999999"/>
    <n v="190.79400000000001"/>
    <n v="172.73599999999999"/>
    <n v="158.25299999999999"/>
    <n v="147.30500000000001"/>
    <n v="108.16500000000001"/>
    <n v="112.961"/>
    <n v="96.248000000000005"/>
    <n v="104.754"/>
    <n v="46.04"/>
    <n v="124.307"/>
    <n v="242.47300000000001"/>
    <n v="194.83500000000001"/>
    <n v="205.31700000000001"/>
    <n v="289.21100000000001"/>
    <n v="280.45800000000003"/>
    <n v="284.06200000000001"/>
    <n v="135.61799999999999"/>
    <n v="131.86000000000001"/>
    <n v="86.924000000000007"/>
  </r>
  <r>
    <x v="4"/>
    <s v="PEST CONTROL"/>
    <s v="SC JOHNSON"/>
    <x v="1"/>
    <x v="1"/>
    <x v="3"/>
    <x v="5"/>
    <x v="1"/>
    <n v="0"/>
    <n v="0"/>
    <n v="0"/>
    <n v="0.87011349999999998"/>
    <n v="0"/>
    <n v="0"/>
    <n v="2.0235522000000001"/>
    <n v="0"/>
    <n v="0"/>
    <n v="0"/>
    <n v="0"/>
    <n v="1.1921885000000001"/>
    <n v="0"/>
    <n v="1.1916367999999999"/>
    <n v="0"/>
    <n v="0"/>
    <n v="1.0583875"/>
    <n v="0.1899247"/>
    <n v="1.1731533000000001"/>
    <n v="1.172201"/>
    <n v="0.98672519999999997"/>
    <n v="0.61023760000000005"/>
    <n v="3.1435745000000002"/>
    <n v="0"/>
    <n v="1.4595853999999999"/>
    <n v="0"/>
    <n v="0.12908720000000001"/>
    <n v="6.4490400000000003E-2"/>
    <n v="0.78427239999999998"/>
    <n v="0.65514499999999998"/>
    <n v="0.90262659999999995"/>
    <n v="2.3562943999999999"/>
    <n v="0.66870980000000002"/>
    <n v="2.6454884999999999"/>
    <n v="1.0429619999999999"/>
    <n v="0.85412829999999995"/>
    <n v="1.9094351000000001"/>
    <n v="1.0161046"/>
  </r>
  <r>
    <x v="4"/>
    <s v="PEST CONTROL"/>
    <s v="SC JOHNSON"/>
    <x v="1"/>
    <x v="2"/>
    <x v="3"/>
    <x v="0"/>
    <x v="0"/>
    <n v="292.89699999999999"/>
    <n v="266.25799999999998"/>
    <n v="294.48200000000003"/>
    <n v="270.50200000000001"/>
    <n v="240.089"/>
    <n v="171.279"/>
    <n v="146.61500000000001"/>
    <n v="147.09200000000001"/>
    <n v="143.37700000000001"/>
    <n v="143.37700000000001"/>
    <n v="156.79499999999999"/>
    <n v="143.63300000000001"/>
    <n v="145.63300000000001"/>
    <n v="147.69800000000001"/>
    <n v="133.25700000000001"/>
    <n v="278.81200000000001"/>
    <n v="290.01299999999998"/>
    <n v="253.98599999999999"/>
    <n v="283.72800000000001"/>
    <n v="231.64500000000001"/>
    <n v="253.096"/>
    <n v="216.71199999999999"/>
    <n v="298.79599999999999"/>
    <n v="253.65299999999999"/>
    <n v="268.38799999999998"/>
    <n v="238.381"/>
    <n v="226.393"/>
    <n v="132.75"/>
    <n v="291.69299999999998"/>
    <n v="223.244"/>
    <n v="181.05099999999999"/>
    <n v="186.25"/>
    <n v="174.988"/>
    <n v="153.71299999999999"/>
    <n v="120.72199999999999"/>
    <n v="81.760000000000005"/>
    <n v="115.922"/>
    <n v="101.148"/>
  </r>
  <r>
    <x v="4"/>
    <s v="PEST CONTROL"/>
    <s v="SC JOHNSON"/>
    <x v="1"/>
    <x v="2"/>
    <x v="3"/>
    <x v="0"/>
    <x v="1"/>
    <n v="0"/>
    <n v="0.69769590000000004"/>
    <n v="2.3612120999999999"/>
    <n v="3.1298349999999999"/>
    <n v="1.0079807999999999"/>
    <n v="2.7165295"/>
    <n v="3.1014662"/>
    <n v="2.6235461"/>
    <n v="3.3546532"/>
    <n v="4.7519691000000002"/>
    <n v="0.56188859999999996"/>
    <n v="0.43681340000000002"/>
    <n v="0.66194889999999995"/>
    <n v="1.6341734000000001"/>
    <n v="2.1075368000000001"/>
    <n v="1.6377489999999999"/>
    <n v="2.1357879"/>
    <n v="2.1208263000000001"/>
    <n v="0.88511240000000002"/>
    <n v="2.4672063999999998"/>
    <n v="2.0523883000000001"/>
    <n v="1.9919994000000001"/>
    <n v="2.837901"/>
    <n v="0.84124540000000003"/>
    <n v="0.5819976"/>
    <n v="1.4076839999999999"/>
    <n v="2.6624240000000001"/>
    <n v="3.1955000999999998"/>
    <n v="2.8810438999999999"/>
    <n v="2.8300260000000002"/>
    <n v="0.90262659999999995"/>
    <n v="2.4131128999999998"/>
    <n v="1.2839228"/>
    <n v="0.13377939999999999"/>
    <n v="0"/>
    <n v="0.60522819999999999"/>
    <n v="1.195114"/>
    <n v="0"/>
  </r>
  <r>
    <x v="4"/>
    <s v="PEST CONTROL"/>
    <s v="SC JOHNSON"/>
    <x v="1"/>
    <x v="3"/>
    <x v="2"/>
    <x v="0"/>
    <x v="0"/>
    <n v="0"/>
    <n v="6"/>
    <n v="196.15"/>
    <n v="195.73400000000001"/>
    <n v="192.05500000000001"/>
    <n v="117.44199999999999"/>
    <n v="117.44199999999999"/>
    <n v="105.36799999999999"/>
    <n v="77.311999999999998"/>
    <n v="73.311999999999998"/>
    <n v="4"/>
    <n v="8"/>
    <n v="6"/>
    <n v="4"/>
    <n v="8.5269999999999992"/>
    <n v="12.936999999999999"/>
    <n v="6.9370000000000003"/>
    <n v="10.936999999999999"/>
    <n v="12.936999999999999"/>
    <n v="8.9369999999999994"/>
    <n v="10.936999999999999"/>
    <n v="10.936999999999999"/>
    <n v="10.936999999999999"/>
    <n v="10.936999999999999"/>
    <n v="10.936999999999999"/>
    <n v="12.936999999999999"/>
    <n v="74.247"/>
    <n v="72.247"/>
    <n v="54.584000000000003"/>
    <n v="64.347999999999999"/>
    <n v="62.347999999999999"/>
    <n v="10.237"/>
    <n v="10.237"/>
    <n v="6.8239999999999998"/>
    <n v="6.8239999999999998"/>
    <n v="7.4180000000000001"/>
    <n v="7.4180000000000001"/>
    <n v="7.4180000000000001"/>
  </r>
  <r>
    <x v="4"/>
    <s v="PEST CONTROL"/>
    <s v="SC JOHNSON"/>
    <x v="1"/>
    <x v="3"/>
    <x v="2"/>
    <x v="0"/>
    <x v="1"/>
    <n v="0"/>
    <n v="0"/>
    <n v="0"/>
    <n v="0"/>
    <n v="0"/>
    <n v="0"/>
    <n v="0.72196510000000003"/>
    <n v="0"/>
    <n v="1.0824411"/>
    <n v="1.1567293000000001"/>
    <n v="0"/>
    <n v="0"/>
    <n v="0"/>
    <n v="0"/>
    <n v="0"/>
    <n v="0"/>
    <n v="0"/>
    <n v="0"/>
    <n v="0"/>
    <n v="0"/>
    <n v="0"/>
    <n v="0"/>
    <n v="0"/>
    <n v="0"/>
    <n v="0"/>
    <n v="0"/>
    <n v="0"/>
    <n v="0.35469729999999999"/>
    <n v="0"/>
    <n v="0"/>
    <n v="1.3728617000000001"/>
    <n v="0"/>
    <n v="1.6049035"/>
    <n v="0"/>
    <n v="0"/>
    <n v="0"/>
    <n v="0.85855890000000001"/>
    <n v="0"/>
  </r>
  <r>
    <x v="4"/>
    <s v="PEST CONTROL"/>
    <s v="SC JOHNSON"/>
    <x v="1"/>
    <x v="4"/>
    <x v="2"/>
    <x v="0"/>
    <x v="0"/>
    <n v="59.956000000000003"/>
    <n v="59.956000000000003"/>
    <n v="39.563000000000002"/>
    <n v="54.220999999999997"/>
    <n v="72.293999999999997"/>
    <n v="54.220999999999997"/>
    <n v="198.39699999999999"/>
    <n v="201.721"/>
    <n v="238.90899999999999"/>
    <n v="71.311999999999998"/>
    <n v="71.427999999999997"/>
    <n v="119.047"/>
    <n v="71.427999999999997"/>
    <n v="71.427999999999997"/>
    <n v="93.954999999999998"/>
    <n v="65.152000000000001"/>
    <n v="65.152000000000001"/>
    <n v="43.814999999999998"/>
    <n v="66.174999999999997"/>
    <n v="66.174999999999997"/>
    <n v="66.174999999999997"/>
    <n v="44.116"/>
    <n v="72.8"/>
    <n v="81.430999999999997"/>
    <n v="95.82"/>
    <n v="37.698"/>
    <n v="31.074000000000002"/>
    <n v="31.074000000000002"/>
    <n v="118.21899999999999"/>
    <n v="103.79600000000001"/>
    <n v="190.34"/>
    <n v="151.143"/>
    <n v="201.51499999999999"/>
    <n v="194.423"/>
    <n v="167.148"/>
    <n v="114.127"/>
    <n v="130.90100000000001"/>
    <n v="116.127"/>
  </r>
  <r>
    <x v="4"/>
    <s v="PEST CONTROL"/>
    <s v="SC JOHNSON"/>
    <x v="1"/>
    <x v="4"/>
    <x v="2"/>
    <x v="0"/>
    <x v="1"/>
    <n v="0"/>
    <n v="1.1700712"/>
    <n v="0"/>
    <n v="0"/>
    <n v="0"/>
    <n v="0"/>
    <n v="0"/>
    <n v="0"/>
    <n v="0"/>
    <n v="0"/>
    <n v="1.0301290999999999"/>
    <n v="1.1921885000000001"/>
    <n v="0"/>
    <n v="0"/>
    <n v="0"/>
    <n v="0"/>
    <n v="1.0583875"/>
    <n v="0"/>
    <n v="1.1731533000000001"/>
    <n v="0"/>
    <n v="0"/>
    <n v="0"/>
    <n v="0"/>
    <n v="0"/>
    <n v="2.1191827999999999"/>
    <n v="0"/>
    <n v="1.3597402999999999"/>
    <n v="0"/>
    <n v="0"/>
    <n v="0"/>
    <n v="0"/>
    <n v="0.60160709999999995"/>
    <n v="0"/>
    <n v="0"/>
    <n v="0.60170889999999999"/>
    <n v="0.34387970000000001"/>
    <n v="0.1373694"/>
    <n v="0"/>
  </r>
  <r>
    <x v="4"/>
    <s v="PEST CONTROL"/>
    <s v="SC JOHNSON"/>
    <x v="1"/>
    <x v="4"/>
    <x v="3"/>
    <x v="0"/>
    <x v="0"/>
    <n v="41.247"/>
    <n v="41.247"/>
    <n v="41.247"/>
    <n v="40.045000000000002"/>
    <n v="40.045000000000002"/>
    <n v="82.227000000000004"/>
    <n v="67.477000000000004"/>
    <n v="61.136000000000003"/>
    <n v="20.824000000000002"/>
    <n v="10.412000000000001"/>
    <n v="10.412000000000001"/>
    <n v="10.412000000000001"/>
    <m/>
    <n v="230.595"/>
    <n v="595.91099999999994"/>
    <n v="425.25599999999997"/>
    <n v="459.08800000000002"/>
    <n v="355.02100000000002"/>
    <n v="387.21499999999997"/>
    <n v="370.971"/>
    <n v="331.98"/>
    <n v="267.89699999999999"/>
    <n v="356.16"/>
    <n v="336.50200000000001"/>
    <n v="489.714"/>
    <n v="291.11599999999999"/>
    <n v="334.05700000000002"/>
    <n v="295.40800000000002"/>
    <n v="405.03399999999999"/>
    <n v="358.08199999999999"/>
    <n v="344.62599999999998"/>
    <n v="430.32900000000001"/>
    <n v="299.94200000000001"/>
    <n v="286.09899999999999"/>
    <n v="210.542"/>
    <n v="296.029"/>
    <n v="266.67399999999998"/>
    <n v="179.18299999999999"/>
  </r>
  <r>
    <x v="4"/>
    <s v="PEST CONTROL"/>
    <s v="SC JOHNSON"/>
    <x v="1"/>
    <x v="4"/>
    <x v="3"/>
    <x v="0"/>
    <x v="1"/>
    <n v="0"/>
    <n v="0"/>
    <n v="0"/>
    <n v="0"/>
    <n v="0"/>
    <n v="0"/>
    <n v="0"/>
    <n v="0"/>
    <n v="0"/>
    <n v="1.0316775"/>
    <n v="1.4827615999999999"/>
    <n v="0.74882289999999996"/>
    <n v="0.49958409999999998"/>
    <n v="1.1227145999999999"/>
    <n v="1.5432406999999999"/>
    <n v="3.2839735999999999"/>
    <n v="0.63376500000000002"/>
    <n v="4.9905258999999997"/>
    <n v="4.1551602000000001"/>
    <n v="8.1728106"/>
    <n v="7.7273999"/>
    <n v="4.1031804999999997"/>
    <n v="5.6109717000000003"/>
    <n v="3.8470797000000001"/>
    <n v="2.5589143000000001"/>
    <n v="2.1179833000000001"/>
    <n v="3.5498987"/>
    <n v="2.7774087000000001"/>
    <n v="5.0174146999999998"/>
    <n v="7.1130031999999996"/>
    <n v="5.5494823000000002"/>
    <n v="3.0581694000000001"/>
    <n v="4.2931169000000002"/>
    <n v="3.3645529999999999"/>
    <n v="4.2086190999999999"/>
    <n v="0.1375519"/>
    <n v="2.1154891999999998"/>
    <n v="2.2381763000000001"/>
  </r>
  <r>
    <x v="4"/>
    <s v="PEST CONTROL"/>
    <s v="SC JOHNSON"/>
    <x v="2"/>
    <x v="0"/>
    <x v="2"/>
    <x v="0"/>
    <x v="0"/>
    <n v="996.17499999999995"/>
    <n v="1162.9090000000001"/>
    <n v="1269.2909999999999"/>
    <n v="1143.547"/>
    <n v="750.51599999999996"/>
    <n v="726.50699999999995"/>
    <n v="953.30399999999997"/>
    <n v="907.91499999999996"/>
    <n v="854.22500000000002"/>
    <n v="567.79399999999998"/>
    <n v="512.19299999999998"/>
    <n v="473.363"/>
    <n v="406.52800000000002"/>
    <n v="650.90200000000004"/>
    <n v="827.63"/>
    <n v="876.42499999999995"/>
    <n v="1159.777"/>
    <n v="1029.4359999999999"/>
    <n v="876.03499999999997"/>
    <n v="977.54700000000003"/>
    <n v="872.404"/>
    <n v="486.113"/>
    <n v="484.36"/>
    <n v="406.16399999999999"/>
    <n v="631.29600000000005"/>
    <n v="758.596"/>
    <n v="758.6"/>
    <n v="561.90700000000004"/>
    <n v="814.18299999999999"/>
    <n v="855.55100000000004"/>
    <n v="665.16700000000003"/>
    <n v="783.93399999999997"/>
    <n v="504.67899999999997"/>
    <n v="472.50799999999998"/>
    <n v="557.66300000000001"/>
    <n v="350.49599999999998"/>
    <n v="558.69600000000003"/>
    <n v="628.02499999999998"/>
  </r>
  <r>
    <x v="4"/>
    <s v="PEST CONTROL"/>
    <s v="SC JOHNSON"/>
    <x v="2"/>
    <x v="0"/>
    <x v="2"/>
    <x v="0"/>
    <x v="1"/>
    <n v="0"/>
    <n v="0.95272970000000001"/>
    <n v="4.1146257000000004"/>
    <n v="0.4902048"/>
    <n v="1.2828846"/>
    <n v="4.5766847000000004"/>
    <n v="4.0780379"/>
    <n v="1.8507593"/>
    <n v="2.1648822000000001"/>
    <n v="3.2826727999999998"/>
    <n v="2.5923042000000001"/>
    <n v="2.7106767000000001"/>
    <n v="1.2801842000000001"/>
    <n v="1.5035019000000001"/>
    <n v="1.8498311000000001"/>
    <n v="1.3807434999999999"/>
    <n v="1.121764"/>
    <n v="2.6850293999999999"/>
    <n v="3.2911640000000002"/>
    <n v="2.1441498999999999"/>
    <n v="3.0112009999999998"/>
    <n v="5.1665986000000004"/>
    <n v="1.7868686"/>
    <n v="2.1969446000000001"/>
    <n v="2.5459809999999998"/>
    <n v="0"/>
    <n v="2.9701034000000002"/>
    <n v="2.3861454000000002"/>
    <n v="2.7281108000000001"/>
    <n v="1.3726624999999999"/>
    <n v="2.9340714999999999"/>
    <n v="0.32085710000000001"/>
    <n v="3.5575361000000001"/>
    <n v="1.7591996999999999"/>
    <n v="1.5878428"/>
    <n v="0.34387970000000001"/>
    <n v="3.6173492"/>
    <n v="0"/>
  </r>
  <r>
    <x v="4"/>
    <s v="PEST CONTROL"/>
    <s v="SC JOHNSON"/>
    <x v="2"/>
    <x v="0"/>
    <x v="0"/>
    <x v="0"/>
    <x v="0"/>
    <n v="845.67100000000005"/>
    <n v="1049.2339999999999"/>
    <n v="1394.75"/>
    <n v="1262.0840000000001"/>
    <n v="1593.2929999999999"/>
    <n v="1788.213"/>
    <n v="1443.5930000000001"/>
    <n v="1921.557"/>
    <n v="1597.296"/>
    <n v="1363.778"/>
    <n v="1144.1990000000001"/>
    <n v="1336.0619999999999"/>
    <n v="1273.779"/>
    <n v="1129.3910000000001"/>
    <n v="1656.1220000000001"/>
    <n v="1611.19"/>
    <n v="1623.4280000000001"/>
    <n v="1708.7249999999999"/>
    <n v="1621.06"/>
    <n v="1901.105"/>
    <n v="1852.1959999999999"/>
    <n v="1681.587"/>
    <n v="1509.5229999999999"/>
    <n v="1261.165"/>
    <n v="1380.347"/>
    <n v="1417.9269999999999"/>
    <n v="1322.9110000000001"/>
    <n v="1194.3889999999999"/>
    <n v="1540.377"/>
    <n v="1812.1990000000001"/>
    <n v="1415.384"/>
    <n v="1368.52"/>
    <n v="1332.847"/>
    <n v="1313.9480000000001"/>
    <n v="1227.001"/>
    <n v="1058.7829999999999"/>
    <n v="990.83699999999999"/>
    <n v="968.99400000000003"/>
  </r>
  <r>
    <x v="4"/>
    <s v="PEST CONTROL"/>
    <s v="SC JOHNSON"/>
    <x v="2"/>
    <x v="0"/>
    <x v="0"/>
    <x v="0"/>
    <x v="1"/>
    <n v="0"/>
    <n v="2.2250407000000001"/>
    <n v="3.3527239999999998"/>
    <n v="6.5371872"/>
    <n v="4.4101296999999997"/>
    <n v="2.5334913999999999"/>
    <n v="5.7148906000000004"/>
    <n v="4.5353180999999996"/>
    <n v="6.6178192999999998"/>
    <n v="13.177397900000001"/>
    <n v="4.4340501999999997"/>
    <n v="0.74882289999999996"/>
    <n v="3.3878046999999998"/>
    <n v="1.4033932"/>
    <n v="4.0243352000000003"/>
    <n v="4.6647170999999998"/>
    <n v="5.0170735999999998"/>
    <n v="7.7054368000000002"/>
    <n v="3.3402878"/>
    <n v="6.9085063"/>
    <n v="11.5858899"/>
    <n v="7.9031042999999999"/>
    <n v="8.4684226999999996"/>
    <n v="6.2284512000000003"/>
    <n v="4.7152802999999999"/>
    <n v="4.0274615000000002"/>
    <n v="3.2497709000000001"/>
    <n v="3.5985651999999999"/>
    <n v="4.3756613"/>
    <n v="7.0361238999999998"/>
    <n v="1.0697797"/>
    <n v="2.8943986000000002"/>
    <n v="6.7071592999999998"/>
    <n v="14.4113905"/>
    <n v="14.756307899999999"/>
    <n v="3.6554408"/>
    <n v="5.1124093999999998"/>
    <n v="2.6146156"/>
  </r>
  <r>
    <x v="4"/>
    <s v="PEST CONTROL"/>
    <s v="SC JOHNSON"/>
    <x v="2"/>
    <x v="0"/>
    <x v="3"/>
    <x v="0"/>
    <x v="0"/>
    <n v="2584.9070000000002"/>
    <n v="2333.3020000000001"/>
    <n v="2909.3150000000001"/>
    <n v="3348.511"/>
    <n v="3443.761"/>
    <n v="3551.8510000000001"/>
    <n v="3681.1089999999999"/>
    <n v="2964.607"/>
    <n v="3044.9259999999999"/>
    <n v="2973.78"/>
    <n v="2749.971"/>
    <n v="2763.962"/>
    <n v="2569.9949999999999"/>
    <n v="3224.855"/>
    <n v="4242.9880000000003"/>
    <n v="4236.8459999999995"/>
    <n v="4463.2510000000002"/>
    <n v="5043.1419999999998"/>
    <n v="4035.915"/>
    <n v="4134.701"/>
    <n v="3963.6010000000001"/>
    <n v="4049.1930000000002"/>
    <n v="3712.9630000000002"/>
    <n v="3087.5639999999999"/>
    <n v="3575.8710000000001"/>
    <n v="3805.3440000000001"/>
    <n v="4133.13"/>
    <n v="4115.3999999999996"/>
    <n v="4610.0569999999998"/>
    <n v="3748.7449999999999"/>
    <n v="3377.915"/>
    <n v="3447.4690000000001"/>
    <n v="3582.2890000000002"/>
    <n v="3384.723"/>
    <n v="2720.1190000000001"/>
    <n v="2647.0529999999999"/>
    <n v="2797.7109999999998"/>
    <n v="2293.1579999999999"/>
  </r>
  <r>
    <x v="4"/>
    <s v="PEST CONTROL"/>
    <s v="SC JOHNSON"/>
    <x v="2"/>
    <x v="0"/>
    <x v="3"/>
    <x v="0"/>
    <x v="1"/>
    <n v="0"/>
    <n v="5.0668547999999998"/>
    <n v="3.5404518"/>
    <n v="5.4544474000000003"/>
    <n v="3.6392381999999999"/>
    <n v="7.9708823000000004"/>
    <n v="6.2069592"/>
    <n v="7.1308594000000003"/>
    <n v="8.3993447000000003"/>
    <n v="14.589420499999999"/>
    <n v="14.324350799999999"/>
    <n v="11.0789603"/>
    <n v="5.8727359000000003"/>
    <n v="7.0911276000000001"/>
    <n v="3.7557178000000002"/>
    <n v="8.3165151000000002"/>
    <n v="2.3576057000000001"/>
    <n v="7.6175649999999999"/>
    <n v="4.7290292000000003"/>
    <n v="7.1335845000000004"/>
    <n v="9.4901172999999996"/>
    <n v="15.3452006"/>
    <n v="11.00929"/>
    <n v="7.4752415000000001"/>
    <n v="6.7955338999999997"/>
    <n v="9.8846539"/>
    <n v="4.4235610000000003"/>
    <n v="4.7239230000000001"/>
    <n v="3.1499465"/>
    <n v="4.7965974999999998"/>
    <n v="4.5554563999999997"/>
    <n v="5.7542381999999996"/>
    <n v="4.9484525000000001"/>
    <n v="16.2374799"/>
    <n v="12.7328279"/>
    <n v="14.2250637"/>
    <n v="14.314924899999999"/>
    <n v="3.9648675"/>
  </r>
  <r>
    <x v="4"/>
    <s v="PEST CONTROL"/>
    <s v="SC JOHNSON"/>
    <x v="2"/>
    <x v="0"/>
    <x v="3"/>
    <x v="6"/>
    <x v="0"/>
    <m/>
    <m/>
    <m/>
    <n v="32.539000000000001"/>
    <n v="32.539000000000001"/>
    <m/>
    <m/>
    <n v="232.5"/>
    <m/>
    <m/>
    <n v="28.309000000000001"/>
    <n v="28.309000000000001"/>
    <n v="28.309000000000001"/>
    <n v="28.309000000000001"/>
    <n v="28.594999999999999"/>
    <n v="25.204000000000001"/>
    <n v="20.798999999999999"/>
    <n v="11.968999999999999"/>
    <n v="161.58099999999999"/>
    <n v="119.69"/>
    <n v="89.766999999999996"/>
    <n v="77.798000000000002"/>
    <n v="71.813999999999993"/>
    <n v="57.052999999999997"/>
    <n v="51.866"/>
    <m/>
    <m/>
    <m/>
    <m/>
    <m/>
    <m/>
    <m/>
    <m/>
    <m/>
    <m/>
    <m/>
    <m/>
    <m/>
  </r>
  <r>
    <x v="4"/>
    <s v="PEST CONTROL"/>
    <s v="SC JOHNSON"/>
    <x v="2"/>
    <x v="0"/>
    <x v="3"/>
    <x v="6"/>
    <x v="1"/>
    <n v="0"/>
    <n v="0"/>
    <n v="0"/>
    <n v="0"/>
    <n v="0.97743590000000002"/>
    <n v="0"/>
    <n v="0"/>
    <n v="0"/>
    <n v="0"/>
    <n v="0.90662569999999998"/>
    <n v="0"/>
    <n v="0"/>
    <n v="1.5143643"/>
    <n v="0"/>
    <n v="0"/>
    <n v="0"/>
    <n v="0"/>
    <n v="0"/>
    <n v="0"/>
    <n v="0"/>
    <n v="0"/>
    <n v="0"/>
    <n v="0"/>
    <n v="0"/>
    <n v="0"/>
    <n v="0"/>
    <n v="0.3356268"/>
    <m/>
    <m/>
    <m/>
    <m/>
    <m/>
    <m/>
    <m/>
    <m/>
    <m/>
    <m/>
    <m/>
  </r>
  <r>
    <x v="4"/>
    <s v="PEST CONTROL"/>
    <s v="SC JOHNSON"/>
    <x v="2"/>
    <x v="5"/>
    <x v="3"/>
    <x v="0"/>
    <x v="0"/>
    <n v="619.82299999999998"/>
    <n v="639.03099999999995"/>
    <n v="652.79899999999998"/>
    <n v="627.649"/>
    <n v="622.36900000000003"/>
    <n v="709.73400000000004"/>
    <n v="902.42600000000004"/>
    <n v="717.12099999999998"/>
    <n v="705.16399999999999"/>
    <n v="711.72500000000002"/>
    <n v="711.952"/>
    <n v="696.65800000000002"/>
    <n v="692.29"/>
    <n v="702.91"/>
    <n v="955.01199999999994"/>
    <n v="975.053"/>
    <n v="823.37400000000002"/>
    <n v="611.83100000000002"/>
    <n v="716.50400000000002"/>
    <n v="628.69899999999996"/>
    <n v="560.17499999999995"/>
    <n v="603.28899999999999"/>
    <n v="443.5"/>
    <n v="516.72"/>
    <n v="535.04499999999996"/>
    <n v="516.02"/>
    <n v="526.88900000000001"/>
    <n v="395.16300000000001"/>
    <n v="546.62300000000005"/>
    <n v="586.09900000000005"/>
    <n v="675.553"/>
    <n v="777.529"/>
    <n v="662.64200000000005"/>
    <n v="678.98900000000003"/>
    <n v="599.03"/>
    <n v="523.92999999999995"/>
    <n v="469.35"/>
    <n v="367.22899999999998"/>
  </r>
  <r>
    <x v="4"/>
    <s v="PEST CONTROL"/>
    <s v="SC JOHNSON"/>
    <x v="2"/>
    <x v="5"/>
    <x v="3"/>
    <x v="0"/>
    <x v="1"/>
    <n v="0"/>
    <n v="0.91331050000000003"/>
    <n v="2.3337064000000001"/>
    <n v="4.8854422"/>
    <n v="3.371604"/>
    <n v="7.8982162000000002"/>
    <n v="3.5489343999999998"/>
    <n v="3.5630807"/>
    <n v="4.1980130000000004"/>
    <n v="6.5496515000000004"/>
    <n v="4.2623620000000004"/>
    <n v="2.225689"/>
    <n v="3.0027501999999999"/>
    <n v="3.6210664000000001"/>
    <n v="6.4733802000000003"/>
    <n v="5.7523226000000003"/>
    <n v="5.9098582999999998"/>
    <n v="2.6639477999999999"/>
    <n v="4.0287156"/>
    <n v="5.0410453999999998"/>
    <n v="7.0872441999999998"/>
    <n v="3.7072550999999998"/>
    <n v="1.3874183"/>
    <n v="2.0698517999999999"/>
    <n v="1.8462259000000001"/>
    <n v="3.5754527999999999"/>
    <n v="3.1133256999999999"/>
    <n v="2.9988043000000002"/>
    <n v="4.0827806000000004"/>
    <n v="5.7295106999999996"/>
    <n v="4.5019673999999998"/>
    <n v="1.4705950999999999"/>
    <n v="2.8085811999999999"/>
    <n v="5.1170637000000001"/>
    <n v="3.6436814000000002"/>
    <n v="2.8947790000000002"/>
    <n v="3.9333676"/>
    <n v="1.3731142999999999"/>
  </r>
  <r>
    <x v="4"/>
    <s v="PEST CONTROL"/>
    <s v="SC JOHNSON"/>
    <x v="2"/>
    <x v="5"/>
    <x v="3"/>
    <x v="7"/>
    <x v="0"/>
    <n v="89.956000000000003"/>
    <n v="80.956000000000003"/>
    <n v="94.126000000000005"/>
    <n v="96.293999999999997"/>
    <n v="96.293999999999997"/>
    <n v="123.294"/>
    <n v="117.294"/>
    <n v="108.294"/>
    <n v="53.655999999999999"/>
    <n v="53.655999999999999"/>
    <n v="59.619"/>
    <n v="57.619"/>
    <n v="73.619"/>
    <n v="73.619"/>
    <n v="41.488999999999997"/>
    <n v="111.152"/>
    <n v="81.435000000000002"/>
    <n v="73.906999999999996"/>
    <n v="66.058000000000007"/>
    <n v="56.058"/>
    <n v="60.116"/>
    <n v="60.116"/>
    <n v="60.128"/>
    <n v="40.265000000000001"/>
    <n v="45.061"/>
    <n v="29.061"/>
    <n v="22.437000000000001"/>
    <n v="22.437000000000001"/>
    <n v="32.369999999999997"/>
    <n v="35.134999999999998"/>
    <n v="35.134999999999998"/>
    <n v="32.918999999999997"/>
    <n v="8.8629999999999995"/>
    <n v="8.8629999999999995"/>
    <n v="8.8629999999999995"/>
    <n v="10.086"/>
    <n v="10.086"/>
    <n v="10.086"/>
  </r>
  <r>
    <x v="4"/>
    <s v="PEST CONTROL"/>
    <s v="SC JOHNSON"/>
    <x v="2"/>
    <x v="5"/>
    <x v="3"/>
    <x v="7"/>
    <x v="1"/>
    <n v="0"/>
    <n v="0.76641150000000002"/>
    <n v="0.97333309999999995"/>
    <n v="0.54964210000000002"/>
    <n v="1.0385256"/>
    <n v="1.9843770999999999"/>
    <n v="0.73215419999999998"/>
    <n v="1.2202539999999999"/>
    <n v="0.7514343"/>
    <n v="2.5635623000000001"/>
    <n v="0.49945650000000003"/>
    <n v="0.62401910000000005"/>
    <n v="0.49958409999999998"/>
    <n v="0.49898429999999999"/>
    <n v="1.0288271"/>
    <n v="1.3828465000000001"/>
    <n v="1.7428537"/>
    <n v="0.91796960000000005"/>
    <n v="1.9950433999999999"/>
    <n v="1.2002489000000001"/>
    <n v="0.91568090000000002"/>
    <n v="1.5150205000000001"/>
    <n v="1.0090315000000001"/>
    <n v="2.2163580000000001"/>
    <n v="0.38799840000000002"/>
    <n v="0.387436"/>
    <n v="1.0972413999999999"/>
    <n v="1.2575631"/>
    <n v="2.0249655999999998"/>
    <n v="1.1030503"/>
    <n v="1.8408903000000001"/>
    <n v="0.46791660000000002"/>
    <n v="0.33435490000000001"/>
    <n v="1.4715739000000001"/>
    <n v="6.6856499999999999E-2"/>
    <n v="0"/>
    <n v="6.8684700000000001E-2"/>
    <n v="0"/>
  </r>
  <r>
    <x v="4"/>
    <s v="PEST CONTROL"/>
    <s v="SC JOHNSON"/>
    <x v="3"/>
    <x v="0"/>
    <x v="0"/>
    <x v="8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PEST CONTROL"/>
    <s v="SC JOHNSON"/>
    <x v="3"/>
    <x v="0"/>
    <x v="0"/>
    <x v="8"/>
    <x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PEST CONTROL"/>
    <s v="SC JOHNSON"/>
    <x v="3"/>
    <x v="0"/>
    <x v="0"/>
    <x v="9"/>
    <x v="0"/>
    <n v="485.053"/>
    <n v="562.16399999999999"/>
    <n v="556.00800000000004"/>
    <n v="552.35900000000004"/>
    <n v="590.21199999999999"/>
    <n v="539.01199999999994"/>
    <n v="469.34500000000003"/>
    <n v="533.71199999999999"/>
    <n v="455.14299999999997"/>
    <n v="274.93200000000002"/>
    <n v="338.20100000000002"/>
    <n v="369.04399999999998"/>
    <n v="365.75099999999998"/>
    <n v="362.31400000000002"/>
    <n v="417.697"/>
    <n v="436.07299999999998"/>
    <n v="462.93799999999999"/>
    <n v="374.71"/>
    <n v="374.06400000000002"/>
    <n v="373.44"/>
    <n v="373.44"/>
    <n v="395.49900000000002"/>
    <n v="363.55700000000002"/>
    <n v="376.529"/>
    <n v="413.97699999999998"/>
    <n v="413.53800000000001"/>
    <n v="398.04599999999999"/>
    <n v="432.48700000000002"/>
    <n v="410.18599999999998"/>
    <n v="426.74599999999998"/>
    <n v="385.84699999999998"/>
    <n v="377.166"/>
    <n v="356.71300000000002"/>
    <n v="363.80399999999997"/>
    <n v="396.81599999999997"/>
    <n v="406.96699999999998"/>
    <n v="399.57900000000001"/>
    <n v="392.19200000000001"/>
  </r>
  <r>
    <x v="4"/>
    <s v="PEST CONTROL"/>
    <s v="SC JOHNSON"/>
    <x v="3"/>
    <x v="0"/>
    <x v="0"/>
    <x v="9"/>
    <x v="1"/>
    <n v="0"/>
    <n v="0.29772799999999999"/>
    <n v="0.29703770000000002"/>
    <n v="1.7709874000000001"/>
    <n v="1.2828846"/>
    <n v="4.6907174999999999"/>
    <n v="3.660771"/>
    <n v="3.1320260000000002"/>
    <n v="4.0047065000000002"/>
    <n v="2.2509326999999999"/>
    <n v="3.7424902000000002"/>
    <n v="0.97765080000000004"/>
    <n v="0.37468810000000002"/>
    <n v="1.0395713"/>
    <n v="0.74823790000000001"/>
    <n v="1.8990241999999999"/>
    <n v="3.7455509999999999"/>
    <n v="2.3107511000000001"/>
    <n v="3.9066333000000002"/>
    <n v="4.8656195000000002"/>
    <n v="2.2734147999999998"/>
    <n v="2.2725306999999999"/>
    <n v="3.7393445000000001"/>
    <n v="1.5660106"/>
    <n v="3.9376668000000001"/>
    <n v="0.83944459999999999"/>
    <n v="1.2263286"/>
    <n v="0.85127350000000002"/>
    <n v="1.6392578"/>
    <n v="4.5146845999999998"/>
    <n v="2.0726982"/>
    <n v="3.5650567999999998"/>
    <n v="6.071885"/>
    <n v="4.5351230999999999"/>
    <n v="3.9445358000000001"/>
    <n v="1.1802638000000001"/>
    <n v="1.8636223999999999"/>
    <n v="0.41193429999999998"/>
  </r>
  <r>
    <x v="4"/>
    <s v="PEST CONTROL"/>
    <s v="SC JOHNSON"/>
    <x v="3"/>
    <x v="0"/>
    <x v="0"/>
    <x v="10"/>
    <x v="0"/>
    <n v="721.13199999999995"/>
    <n v="1033.49"/>
    <n v="1218.511"/>
    <n v="1415.4090000000001"/>
    <n v="1523.1110000000001"/>
    <n v="1580.26"/>
    <n v="1974.53"/>
    <n v="1828.0060000000001"/>
    <n v="1994.9290000000001"/>
    <n v="1708.0319999999999"/>
    <n v="1658.45"/>
    <n v="1938.3330000000001"/>
    <n v="1958.297"/>
    <n v="1820.867"/>
    <n v="1520.655"/>
    <n v="1781.0070000000001"/>
    <n v="2200.672"/>
    <n v="1915.683"/>
    <n v="1585.6110000000001"/>
    <n v="1832.009"/>
    <n v="1751.2460000000001"/>
    <n v="1640.722"/>
    <n v="1377.1949999999999"/>
    <n v="1374.4359999999999"/>
    <n v="1507.7159999999999"/>
    <n v="1388.816"/>
    <n v="1482.133"/>
    <n v="1460.021"/>
    <n v="1537.4459999999999"/>
    <n v="1571.8119999999999"/>
    <n v="1702.87"/>
    <n v="1705.41"/>
    <n v="1580.894"/>
    <n v="1529.027"/>
    <n v="1405.29"/>
    <n v="1657.7670000000001"/>
    <n v="1668.8620000000001"/>
    <n v="1442.0250000000001"/>
  </r>
  <r>
    <x v="4"/>
    <s v="PEST CONTROL"/>
    <s v="SC JOHNSON"/>
    <x v="3"/>
    <x v="0"/>
    <x v="0"/>
    <x v="10"/>
    <x v="1"/>
    <n v="0"/>
    <n v="0.23818239999999999"/>
    <n v="5.3530353000000002"/>
    <n v="1.1872147"/>
    <n v="4.6254099000000002"/>
    <n v="2.2879763"/>
    <n v="7.1261787999999999"/>
    <n v="4.7415409999999998"/>
    <n v="9.5751515999999999"/>
    <n v="10.8473699"/>
    <n v="3.4390079"/>
    <n v="2.7119247"/>
    <n v="3.1796654000000002"/>
    <n v="3.8256499000000002"/>
    <n v="1.6263574000000001"/>
    <n v="2.2219220000000002"/>
    <n v="1.7156651000000001"/>
    <n v="6.4255339999999999"/>
    <n v="8.7516122000000003"/>
    <n v="4.5563342999999996"/>
    <n v="10.4518349"/>
    <n v="7.8719833000000001"/>
    <n v="12.768410299999999"/>
    <n v="3.0284833"/>
    <n v="4.6430479"/>
    <n v="2.7230937000000002"/>
    <n v="5.2710831999999996"/>
    <n v="3.9081191999999998"/>
    <n v="0.51427699999999998"/>
    <n v="4.3386645000000001"/>
    <n v="4.9911909999999997"/>
    <n v="2.5066961999999999"/>
    <n v="7.8506530000000003"/>
    <n v="10.7736599"/>
    <n v="6.2377151"/>
    <n v="7.7628082999999997"/>
    <n v="8.0967602999999997"/>
    <n v="2.7416285999999999"/>
  </r>
  <r>
    <x v="4"/>
    <s v="PEST CONTROL"/>
    <s v="SC JOHNSON"/>
    <x v="3"/>
    <x v="0"/>
    <x v="3"/>
    <x v="11"/>
    <x v="0"/>
    <n v="309.25900000000001"/>
    <n v="284.14699999999999"/>
    <n v="253.108"/>
    <n v="287.74099999999999"/>
    <n v="287.74099999999999"/>
    <n v="287.74099999999999"/>
    <n v="247.72399999999999"/>
    <n v="231.762"/>
    <n v="224.83099999999999"/>
    <n v="224.83099999999999"/>
    <n v="237.02600000000001"/>
    <n v="237.02600000000001"/>
    <n v="237.02600000000001"/>
    <n v="217.81"/>
    <n v="234.46100000000001"/>
    <n v="216.744"/>
    <n v="216.744"/>
    <n v="199.01599999999999"/>
    <n v="215.29300000000001"/>
    <n v="227.97"/>
    <n v="227.97"/>
    <n v="190.72"/>
    <n v="192.57"/>
    <n v="204.136"/>
    <n v="241.55500000000001"/>
    <n v="232.488"/>
    <n v="179.494"/>
    <n v="179.494"/>
    <n v="179.494"/>
    <n v="192.44399999999999"/>
    <n v="192.44399999999999"/>
    <n v="192.44399999999999"/>
    <n v="198.28700000000001"/>
    <n v="210.96799999999999"/>
    <n v="209.06100000000001"/>
    <n v="184.87799999999999"/>
    <n v="194.58500000000001"/>
    <n v="204.291"/>
  </r>
  <r>
    <x v="4"/>
    <s v="PEST CONTROL"/>
    <s v="SC JOHNSON"/>
    <x v="3"/>
    <x v="0"/>
    <x v="3"/>
    <x v="11"/>
    <x v="1"/>
    <n v="0"/>
    <n v="1.1313664999999999"/>
    <n v="0.65348289999999998"/>
    <n v="1.5143651"/>
    <n v="1.6930411000000001"/>
    <n v="2.5044493999999999"/>
    <n v="1.1302019999999999"/>
    <n v="0.12202540000000001"/>
    <n v="2.1160389999999998"/>
    <n v="0.72948979999999997"/>
    <n v="0"/>
    <n v="0"/>
    <n v="0"/>
    <n v="0"/>
    <n v="0"/>
    <n v="2.4555402000000002"/>
    <n v="0"/>
    <n v="0"/>
    <n v="1.4435551"/>
    <n v="0.77908790000000006"/>
    <n v="1.7862093000000001"/>
    <n v="0"/>
    <n v="2.4300630999999999"/>
    <n v="0"/>
    <n v="0"/>
    <n v="0"/>
    <n v="0.53480839999999996"/>
    <n v="0"/>
    <n v="0"/>
    <n v="0"/>
    <n v="0"/>
    <n v="0"/>
    <n v="0"/>
    <n v="0"/>
    <n v="0"/>
    <n v="0"/>
    <n v="1.4973268"/>
    <n v="0"/>
  </r>
  <r>
    <x v="4"/>
    <s v="PEST CONTROL"/>
    <s v="SC JOHNSON"/>
    <x v="3"/>
    <x v="0"/>
    <x v="3"/>
    <x v="8"/>
    <x v="0"/>
    <n v="1157.8489999999999"/>
    <n v="1088.6279999999999"/>
    <n v="1331.5"/>
    <n v="1272.421"/>
    <n v="1556.075"/>
    <n v="1483.58"/>
    <n v="1428.886"/>
    <n v="1363.4380000000001"/>
    <n v="1213.502"/>
    <n v="1122.921"/>
    <n v="1249.5630000000001"/>
    <n v="1237.5630000000001"/>
    <n v="1284.3340000000001"/>
    <n v="1433.6410000000001"/>
    <n v="1459.8040000000001"/>
    <n v="1495.88"/>
    <n v="1599.1890000000001"/>
    <n v="1378.1780000000001"/>
    <n v="1327.818"/>
    <n v="1084.364"/>
    <n v="1088.825"/>
    <n v="1135.953"/>
    <n v="1121.4449999999999"/>
    <n v="1133.2429999999999"/>
    <n v="1441.7719999999999"/>
    <n v="1439.23"/>
    <n v="1268.183"/>
    <n v="1191.79"/>
    <n v="1629.421"/>
    <n v="1613.8979999999999"/>
    <n v="1556.69"/>
    <n v="1264.99"/>
    <n v="1067.354"/>
    <n v="1137.914"/>
    <n v="1064.5419999999999"/>
    <n v="1102.0309999999999"/>
    <n v="1690.877"/>
    <n v="1589.1759999999999"/>
  </r>
  <r>
    <x v="4"/>
    <s v="PEST CONTROL"/>
    <s v="SC JOHNSON"/>
    <x v="3"/>
    <x v="0"/>
    <x v="3"/>
    <x v="8"/>
    <x v="1"/>
    <n v="0"/>
    <n v="2.3848015999999999"/>
    <n v="2.5135329999999998"/>
    <n v="2.5690407"/>
    <n v="0.54980770000000001"/>
    <n v="3.9062771999999999"/>
    <n v="4.1503380999999999"/>
    <n v="7.9672824999999996"/>
    <n v="4.8965338000000003"/>
    <n v="8.7640691000000004"/>
    <n v="1.8885700000000001"/>
    <n v="1.0712535999999999"/>
    <n v="3.7846617999999999"/>
    <n v="1.0447483"/>
    <n v="1.5681818999999999"/>
    <n v="3.5574840000000001"/>
    <n v="4.6669185000000004"/>
    <n v="2.9121793999999999"/>
    <n v="7.2003262000000001"/>
    <n v="7.1643488"/>
    <n v="7.3479291"/>
    <n v="5.5869536999999996"/>
    <n v="2.5633813999999999"/>
    <n v="1.7795574999999999"/>
    <n v="1.8462259000000001"/>
    <n v="1.3850836"/>
    <n v="4.9485587000000004"/>
    <n v="3.4986050999999998"/>
    <n v="1.9349670999999999"/>
    <n v="3.2924380000000002"/>
    <n v="1.5511805999999999"/>
    <n v="2.9433961000000002"/>
    <n v="9.2081339"/>
    <n v="7.8684386000000002"/>
    <n v="6.1998075000000004"/>
    <n v="3.9477384999999998"/>
    <n v="6.4608964000000002"/>
    <n v="2.0653698999999999"/>
  </r>
  <r>
    <x v="4"/>
    <s v="PEST CONTROL"/>
    <s v="SC JOHNSON"/>
    <x v="3"/>
    <x v="0"/>
    <x v="3"/>
    <x v="9"/>
    <x v="0"/>
    <n v="1956.8420000000001"/>
    <n v="1930.9069999999999"/>
    <n v="1882.444"/>
    <n v="1739.567"/>
    <n v="1769.643"/>
    <n v="1921.1130000000001"/>
    <n v="1649.4269999999999"/>
    <n v="1722.7850000000001"/>
    <n v="1785.163"/>
    <n v="1683.386"/>
    <n v="1748.2139999999999"/>
    <n v="1778.9449999999999"/>
    <n v="1649.259"/>
    <n v="1828.923"/>
    <n v="1981.202"/>
    <n v="1904.2529999999999"/>
    <n v="2127.1860000000001"/>
    <n v="2350.5680000000002"/>
    <n v="2315.7379999999998"/>
    <n v="2353.4940000000001"/>
    <n v="2427.319"/>
    <n v="2269.0920000000001"/>
    <n v="2252.8829999999998"/>
    <n v="2099.1210000000001"/>
    <n v="2328.895"/>
    <n v="2495.2190000000001"/>
    <n v="2239.761"/>
    <n v="1913.848"/>
    <n v="2107.7800000000002"/>
    <n v="2227.835"/>
    <n v="1943.854"/>
    <n v="2108.8359999999998"/>
    <n v="1929.675"/>
    <n v="1906.9280000000001"/>
    <n v="1616.9459999999999"/>
    <n v="1684.998"/>
    <n v="1667.0150000000001"/>
    <n v="1562.1569999999999"/>
  </r>
  <r>
    <x v="4"/>
    <s v="PEST CONTROL"/>
    <s v="SC JOHNSON"/>
    <x v="3"/>
    <x v="0"/>
    <x v="3"/>
    <x v="9"/>
    <x v="1"/>
    <n v="0"/>
    <n v="4.0024771000000001"/>
    <n v="4.2611841000000004"/>
    <n v="6.7950350000000004"/>
    <n v="4.6219888999999998"/>
    <n v="9.6345156000000003"/>
    <n v="5.7903634999999998"/>
    <n v="14.0856362"/>
    <n v="6.0644505000000004"/>
    <n v="5.1896504999999999"/>
    <n v="7.4859169000000003"/>
    <n v="1.1856363000000001"/>
    <n v="2.9907602"/>
    <n v="2.9072694000000001"/>
    <n v="4.4764578999999998"/>
    <n v="5.5350818999999998"/>
    <n v="5.6492541999999997"/>
    <n v="3.2759486"/>
    <n v="7.7961964999999998"/>
    <n v="11.4437415"/>
    <n v="8.4862783999999998"/>
    <n v="8.5322797000000001"/>
    <n v="11.073111300000001"/>
    <n v="5.8240062999999997"/>
    <n v="3.5289104"/>
    <n v="3.4966096000000002"/>
    <n v="4.9967727999999996"/>
    <n v="2.6634541999999999"/>
    <n v="3.5838676"/>
    <n v="4.0935199000000004"/>
    <n v="7.2065042999999998"/>
    <n v="3.6163270999999999"/>
    <n v="12.655332899999999"/>
    <n v="25.073612099999998"/>
    <n v="7.8110499999999998"/>
    <n v="8.3151478000000001"/>
    <n v="8.1734811000000001"/>
    <n v="4.7601066000000003"/>
  </r>
  <r>
    <x v="4"/>
    <s v="PEST CONTROL"/>
    <s v="SC JOHNSON"/>
    <x v="3"/>
    <x v="0"/>
    <x v="3"/>
    <x v="10"/>
    <x v="0"/>
    <n v="3403.8629999999998"/>
    <n v="3234.54"/>
    <n v="3995.3240000000001"/>
    <n v="3656.6219999999998"/>
    <n v="3067.723"/>
    <n v="3160.7269999999999"/>
    <n v="3246.8290000000002"/>
    <n v="3017.4050000000002"/>
    <n v="3358.0279999999998"/>
    <n v="3286.9409999999998"/>
    <n v="3265.6210000000001"/>
    <n v="3198.5059999999999"/>
    <n v="3419.9360000000001"/>
    <n v="3574.404"/>
    <n v="4569.9740000000002"/>
    <n v="3881.0520000000001"/>
    <n v="3819.8739999999998"/>
    <n v="3679.4679999999998"/>
    <n v="3435.107"/>
    <n v="3346.0650000000001"/>
    <n v="3634.6309999999999"/>
    <n v="3603.9989999999998"/>
    <n v="3133.44"/>
    <n v="3056.7919999999999"/>
    <n v="3536.5360000000001"/>
    <n v="3654.799"/>
    <n v="3245.8760000000002"/>
    <n v="3373.393"/>
    <n v="3891.5720000000001"/>
    <n v="3808.8449999999998"/>
    <n v="3857.5210000000002"/>
    <n v="3826.72"/>
    <n v="4598.8050000000003"/>
    <n v="4031.4409999999998"/>
    <n v="3216.2919999999999"/>
    <n v="2567.8649999999998"/>
    <n v="2832.9059999999999"/>
    <n v="2734.7359999999999"/>
  </r>
  <r>
    <x v="4"/>
    <s v="PEST CONTROL"/>
    <s v="SC JOHNSON"/>
    <x v="3"/>
    <x v="0"/>
    <x v="3"/>
    <x v="10"/>
    <x v="1"/>
    <n v="0"/>
    <n v="2.7817921000000001"/>
    <n v="8.2656086999999996"/>
    <n v="2.4892599"/>
    <n v="3.6508452"/>
    <n v="6.0627711"/>
    <n v="5.9734021000000004"/>
    <n v="11.1406752"/>
    <n v="8.7304767999999999"/>
    <n v="12.7996163"/>
    <n v="7.1186290000000003"/>
    <n v="5.4576712000000001"/>
    <n v="6.7458216000000002"/>
    <n v="7.5564304"/>
    <n v="4.2192512000000004"/>
    <n v="4.4305253000000002"/>
    <n v="5.7794295"/>
    <n v="7.4244747999999996"/>
    <n v="7.9221354000000002"/>
    <n v="8.2412878999999997"/>
    <n v="14.491377099999999"/>
    <n v="8.8388188999999997"/>
    <n v="8.1143157000000006"/>
    <n v="11.529396999999999"/>
    <n v="7.6213239000000002"/>
    <n v="2.7992249"/>
    <n v="5.7885293000000004"/>
    <n v="5.8331581000000003"/>
    <n v="4.0885018999999998"/>
    <n v="5.9453073999999999"/>
    <n v="5.3755762999999996"/>
    <n v="6.9986958000000001"/>
    <n v="11.4850908"/>
    <n v="13.705704000000001"/>
    <n v="14.848837400000001"/>
    <n v="15.0912966"/>
    <n v="10.474350400000001"/>
    <n v="2.5402613999999999"/>
  </r>
  <r>
    <x v="4"/>
    <s v="PEST CONTROL"/>
    <s v="SC JOHNSON"/>
    <x v="4"/>
    <x v="6"/>
    <x v="3"/>
    <x v="0"/>
    <x v="0"/>
    <n v="414.21600000000001"/>
    <n v="378.32799999999997"/>
    <n v="545.16"/>
    <n v="444.97500000000002"/>
    <n v="410.51499999999999"/>
    <n v="519.16600000000005"/>
    <n v="602.34900000000005"/>
    <n v="621.68100000000004"/>
    <n v="548.89400000000001"/>
    <n v="510.959"/>
    <n v="392.76299999999998"/>
    <n v="391.29300000000001"/>
    <n v="414.68200000000002"/>
    <n v="351.18700000000001"/>
    <n v="509.50799999999998"/>
    <n v="513.16499999999996"/>
    <n v="687.05200000000002"/>
    <n v="667.46199999999999"/>
    <n v="467.87400000000002"/>
    <n v="559.03399999999999"/>
    <n v="609.31200000000001"/>
    <n v="476.65100000000001"/>
    <n v="453.73899999999998"/>
    <n v="463.87599999999998"/>
    <n v="440.173"/>
    <n v="414.30900000000003"/>
    <n v="484.178"/>
    <n v="453.18599999999998"/>
    <n v="649.77200000000005"/>
    <n v="518.14"/>
    <n v="517.03599999999994"/>
    <n v="467.39699999999999"/>
    <n v="500.66"/>
    <n v="493.57"/>
    <n v="509.10899999999998"/>
    <n v="445.33699999999999"/>
    <n v="389.096"/>
    <n v="322.392"/>
  </r>
  <r>
    <x v="4"/>
    <s v="PEST CONTROL"/>
    <s v="SC JOHNSON"/>
    <x v="4"/>
    <x v="6"/>
    <x v="3"/>
    <x v="0"/>
    <x v="1"/>
    <n v="0"/>
    <n v="1.8608001999999999"/>
    <n v="0.70374170000000003"/>
    <n v="4.5044918000000003"/>
    <n v="2.7024881000000001"/>
    <n v="8.7608136999999999"/>
    <n v="4.5367325000000003"/>
    <n v="4.0497180000000004"/>
    <n v="2.6357810000000002"/>
    <n v="6.3880846"/>
    <n v="4.1687139000000002"/>
    <n v="3.3048052999999999"/>
    <n v="4.3428845000000003"/>
    <n v="1.8212925"/>
    <n v="4.0934847999999997"/>
    <n v="4.3397163000000001"/>
    <n v="4.6006267000000003"/>
    <n v="4.75312"/>
    <n v="4.9068103000000001"/>
    <n v="2.3508453999999999"/>
    <n v="5.1222560000000001"/>
    <n v="0.72594729999999996"/>
    <n v="2.3615751"/>
    <n v="0.12942239999999999"/>
    <n v="1.5889181999999999"/>
    <n v="2.4131448999999998"/>
    <n v="2.0881794999999999"/>
    <n v="1.083439"/>
    <n v="0"/>
    <n v="1.3726624999999999"/>
    <n v="3.3619834000000002"/>
    <n v="4.6078424"/>
    <n v="3.4605731999999998"/>
    <n v="0.60200750000000003"/>
    <n v="4.0782489000000002"/>
    <n v="1.2242116000000001"/>
    <n v="2.5962822000000001"/>
    <n v="2.5265303000000001"/>
  </r>
  <r>
    <x v="5"/>
    <s v="PEST CONTROL"/>
    <s v="SC JOHNSON"/>
    <x v="0"/>
    <x v="0"/>
    <x v="0"/>
    <x v="0"/>
    <x v="0"/>
    <n v="1439.414"/>
    <n v="1367.82"/>
    <n v="1633.25"/>
    <n v="1357.2249999999999"/>
    <n v="1864.7650000000001"/>
    <n v="1395.4090000000001"/>
    <n v="1687.2270000000001"/>
    <n v="1384.17"/>
    <n v="1327.4939999999999"/>
    <n v="953.31399999999996"/>
    <n v="1133.461"/>
    <n v="1227.44"/>
    <n v="1153.923"/>
    <n v="890.66800000000001"/>
    <n v="2354.8739999999998"/>
    <n v="1880.3140000000001"/>
    <n v="1649.8330000000001"/>
    <n v="1660.136"/>
    <n v="1332.866"/>
    <n v="1032.0150000000001"/>
    <n v="851.71199999999999"/>
    <n v="989.55"/>
    <n v="1017.143"/>
    <n v="851.48500000000001"/>
    <n v="1153.8320000000001"/>
    <n v="1206.6769999999999"/>
    <n v="1136.001"/>
    <n v="1308.6010000000001"/>
    <n v="1009.196"/>
    <n v="1330.4459999999999"/>
    <n v="2489.0680000000002"/>
    <n v="1979.12"/>
    <n v="1363.06"/>
    <n v="1346"/>
    <n v="951.45100000000002"/>
    <n v="939.39099999999996"/>
    <n v="987.84199999999998"/>
    <n v="1770.1"/>
  </r>
  <r>
    <x v="5"/>
    <s v="PEST CONTROL"/>
    <s v="SC JOHNSON"/>
    <x v="0"/>
    <x v="0"/>
    <x v="0"/>
    <x v="0"/>
    <x v="1"/>
    <n v="0"/>
    <n v="0"/>
    <n v="3.3732191999999999"/>
    <n v="4.1398871000000002"/>
    <n v="2.1240325000000002"/>
    <n v="3.4619835000000001"/>
    <n v="4.1510255000000003"/>
    <n v="5.6542233"/>
    <n v="4.5999761000000001"/>
    <n v="4.2653889999999999"/>
    <n v="0.99444840000000001"/>
    <n v="1.914593"/>
    <n v="3.3267118"/>
    <n v="2.1757179"/>
    <n v="2.9443728999999998"/>
    <n v="3.6341481999999998"/>
    <n v="0.66384319999999997"/>
    <n v="2.187646"/>
    <n v="3.6456623000000001"/>
    <n v="4.8499091999999999"/>
    <n v="6.5130403000000001"/>
    <n v="3.9492802999999999"/>
    <n v="0.26765070000000002"/>
    <n v="0.42710670000000001"/>
    <n v="3.5627265000000001"/>
    <n v="1.4861955"/>
    <n v="0.1177496"/>
    <n v="4.3201972"/>
    <n v="2.6632516000000002"/>
    <n v="3.6778529"/>
    <n v="3.3228835999999999"/>
    <n v="3.2660360000000002"/>
    <n v="9.4451827000000002"/>
    <n v="8.0518120999999994"/>
    <n v="8.9640158999999997"/>
    <n v="2.2118158000000001"/>
    <n v="0.24556230000000001"/>
    <n v="2.7152636000000001"/>
  </r>
  <r>
    <x v="5"/>
    <s v="PEST CONTROL"/>
    <s v="SC JOHNSON"/>
    <x v="0"/>
    <x v="0"/>
    <x v="0"/>
    <x v="1"/>
    <x v="0"/>
    <n v="240.39099999999999"/>
    <n v="183.55500000000001"/>
    <n v="219.31899999999999"/>
    <n v="343.45499999999998"/>
    <n v="239.98699999999999"/>
    <n v="150.66300000000001"/>
    <n v="151.21299999999999"/>
    <n v="305.12299999999999"/>
    <n v="358.827"/>
    <n v="358.827"/>
    <n v="358.827"/>
    <n v="344.34699999999998"/>
    <n v="331.63099999999997"/>
    <n v="107.633"/>
    <n v="39.731000000000002"/>
    <n v="18.271999999999998"/>
    <n v="18.271999999999998"/>
    <n v="18.271999999999998"/>
    <m/>
    <m/>
    <m/>
    <m/>
    <m/>
    <m/>
    <m/>
    <m/>
    <m/>
    <m/>
    <m/>
    <m/>
    <m/>
    <m/>
    <m/>
    <m/>
    <m/>
    <m/>
    <m/>
    <m/>
  </r>
  <r>
    <x v="5"/>
    <s v="PEST CONTROL"/>
    <s v="SC JOHNSON"/>
    <x v="0"/>
    <x v="0"/>
    <x v="0"/>
    <x v="1"/>
    <x v="1"/>
    <n v="0"/>
    <n v="1.2244227000000001"/>
    <n v="1.0359525999999999"/>
    <n v="1.1437039"/>
    <n v="0.15016399999999999"/>
    <n v="1.0589853"/>
    <n v="1.5710184"/>
    <n v="0.112613"/>
    <n v="1.0196679"/>
    <n v="3.79841E-2"/>
    <n v="0"/>
    <n v="0"/>
    <n v="0"/>
    <n v="1.0182049"/>
    <n v="0.56546300000000005"/>
    <n v="0.84762139999999997"/>
    <n v="0.94568839999999998"/>
    <n v="0"/>
    <n v="0"/>
    <n v="0"/>
    <n v="1.1177447"/>
    <m/>
    <m/>
    <m/>
    <m/>
    <m/>
    <m/>
    <m/>
    <m/>
    <m/>
    <m/>
    <m/>
    <m/>
    <m/>
    <m/>
    <m/>
    <m/>
    <m/>
  </r>
  <r>
    <x v="5"/>
    <s v="PEST CONTROL"/>
    <s v="SC JOHNSON"/>
    <x v="0"/>
    <x v="0"/>
    <x v="1"/>
    <x v="0"/>
    <x v="0"/>
    <n v="6080.8220000000001"/>
    <n v="4352.7470000000003"/>
    <n v="5746.7309999999998"/>
    <n v="6014.143"/>
    <n v="4906.99"/>
    <n v="4535.2449999999999"/>
    <n v="3474.81"/>
    <n v="3372.03"/>
    <n v="3249.6469999999999"/>
    <n v="3797.308"/>
    <n v="3786.48"/>
    <n v="4019.223"/>
    <n v="4267.8140000000003"/>
    <n v="4974.3720000000003"/>
    <n v="8346.1740000000009"/>
    <n v="8352.5669999999991"/>
    <n v="7062.9120000000003"/>
    <n v="5951.4440000000004"/>
    <n v="4601.6210000000001"/>
    <n v="4272.12"/>
    <n v="4276.826"/>
    <n v="3819.098"/>
    <n v="3802.239"/>
    <n v="3797.6759999999999"/>
    <n v="3729.732"/>
    <n v="4208.866"/>
    <n v="4414.4650000000001"/>
    <n v="5226.3220000000001"/>
    <n v="4794.6229999999996"/>
    <n v="5998.0630000000001"/>
    <n v="4886.4129999999996"/>
    <n v="3793.9609999999998"/>
    <n v="3614.9839999999999"/>
    <n v="3519.808"/>
    <n v="3180.549"/>
    <n v="3507.377"/>
    <n v="3568.6060000000002"/>
    <n v="4873.6809999999996"/>
  </r>
  <r>
    <x v="5"/>
    <s v="PEST CONTROL"/>
    <s v="SC JOHNSON"/>
    <x v="0"/>
    <x v="0"/>
    <x v="1"/>
    <x v="0"/>
    <x v="1"/>
    <n v="0"/>
    <n v="3.3138298000000002"/>
    <n v="5.2550464000000003"/>
    <n v="8.5370764999999995"/>
    <n v="5.7873212000000001"/>
    <n v="8.1032148999999993"/>
    <n v="9.6141418000000005"/>
    <n v="9.1050982999999999"/>
    <n v="9.9135603000000003"/>
    <n v="11.179258799999999"/>
    <n v="5.1525220999999997"/>
    <n v="5.8096500999999998"/>
    <n v="2.9276764000000002"/>
    <n v="10.4448113"/>
    <n v="5.0472799000000004"/>
    <n v="4.3605328999999999"/>
    <n v="4.8889931000000004"/>
    <n v="9.1915296000000009"/>
    <n v="10.8452994"/>
    <n v="13.521944700000001"/>
    <n v="17.344462"/>
    <n v="11.5810783"/>
    <n v="8.6829712000000008"/>
    <n v="3.7168142"/>
    <n v="4.7772290999999996"/>
    <n v="3.2228937000000002"/>
    <n v="2.8904144000000001"/>
    <n v="4.3404841000000003"/>
    <n v="1.9834548000000001"/>
    <n v="5.8907544999999999"/>
    <n v="7.2887642000000001"/>
    <n v="5.9890578999999997"/>
    <n v="17.722520299999999"/>
    <n v="13.198640599999999"/>
    <n v="13.9464801"/>
    <n v="6.9613196999999998"/>
    <n v="6.9307660000000002"/>
    <n v="1.0980498000000001"/>
  </r>
  <r>
    <x v="5"/>
    <s v="PEST CONTROL"/>
    <s v="SC JOHNSON"/>
    <x v="0"/>
    <x v="0"/>
    <x v="1"/>
    <x v="12"/>
    <x v="0"/>
    <n v="65.683999999999997"/>
    <n v="65.683999999999997"/>
    <n v="65.683999999999997"/>
    <n v="63.145000000000003"/>
    <n v="63.145000000000003"/>
    <n v="84.192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PEST CONTROL"/>
    <s v="SC JOHNSON"/>
    <x v="0"/>
    <x v="0"/>
    <x v="1"/>
    <x v="12"/>
    <x v="1"/>
    <n v="0"/>
    <n v="0"/>
    <n v="0"/>
    <n v="0"/>
    <n v="0"/>
    <n v="3.7523399999999998E-2"/>
    <n v="0"/>
    <n v="2.1540613"/>
    <n v="0"/>
    <m/>
    <m/>
    <m/>
    <m/>
    <m/>
    <n v="0"/>
    <n v="3.8353900000000003E-2"/>
    <n v="0"/>
    <n v="0"/>
    <n v="0"/>
    <n v="3.8314399999999998E-2"/>
    <n v="0"/>
    <n v="3.8267500000000003E-2"/>
    <m/>
    <m/>
    <n v="0"/>
    <n v="0"/>
    <n v="0"/>
    <n v="0"/>
    <n v="0"/>
    <n v="3.82095E-2"/>
    <m/>
    <n v="0"/>
    <n v="0"/>
    <n v="0"/>
    <n v="0"/>
    <n v="0.93006710000000004"/>
    <n v="0"/>
    <n v="0"/>
  </r>
  <r>
    <x v="5"/>
    <s v="PEST CONTROL"/>
    <s v="SC JOHNSON"/>
    <x v="0"/>
    <x v="0"/>
    <x v="1"/>
    <x v="2"/>
    <x v="0"/>
    <n v="19.57"/>
    <n v="19.57"/>
    <n v="26.094000000000001"/>
    <n v="19.446999999999999"/>
    <n v="72.638999999999996"/>
    <n v="20.212"/>
    <n v="20.212"/>
    <n v="20.212"/>
    <n v="22.898"/>
    <n v="22.898"/>
    <n v="22.898"/>
    <n v="21.792999999999999"/>
    <n v="22.559000000000001"/>
    <n v="150.79300000000001"/>
    <n v="161.542"/>
    <n v="108.803"/>
    <n v="62.67"/>
    <n v="56.442"/>
    <n v="90.531000000000006"/>
    <n v="17.417999999999999"/>
    <n v="17.417999999999999"/>
    <n v="17.417999999999999"/>
    <n v="17.417999999999999"/>
    <n v="17.920000000000002"/>
    <n v="17.920000000000002"/>
    <m/>
    <n v="130.15899999999999"/>
    <n v="139.71799999999999"/>
    <n v="131.81299999999999"/>
    <n v="100.75"/>
    <n v="100.75"/>
    <n v="182.12799999999999"/>
    <n v="117.776"/>
    <n v="89.215999999999994"/>
    <n v="91.18"/>
    <n v="90.781999999999996"/>
    <n v="105.91200000000001"/>
    <n v="75.650999999999996"/>
  </r>
  <r>
    <x v="5"/>
    <s v="PEST CONTROL"/>
    <s v="SC JOHNSON"/>
    <x v="0"/>
    <x v="0"/>
    <x v="1"/>
    <x v="2"/>
    <x v="1"/>
    <n v="0"/>
    <n v="0"/>
    <n v="3.7380099999999999E-2"/>
    <n v="0.53269069999999996"/>
    <n v="0"/>
    <n v="0.56911730000000005"/>
    <n v="1.5638124"/>
    <n v="0.22522600000000001"/>
    <n v="7.5964199999999996E-2"/>
    <n v="3.79841E-2"/>
    <n v="3.7993699999999998E-2"/>
    <n v="0"/>
    <n v="0"/>
    <n v="7.5855199999999998E-2"/>
    <n v="0.56546300000000005"/>
    <n v="3.8353900000000003E-2"/>
    <n v="0.1914969"/>
    <n v="0.15319920000000001"/>
    <n v="2.7439211999999999"/>
    <n v="0.84291609999999995"/>
    <n v="1.7959677000000001"/>
    <n v="0.19133739999999999"/>
    <n v="0"/>
    <n v="0"/>
    <n v="0"/>
    <n v="0"/>
    <n v="0.76693849999999997"/>
    <n v="1.7740472"/>
    <n v="0"/>
    <n v="0.19104740000000001"/>
    <n v="0.91035500000000003"/>
    <n v="3.8226999999999997E-2"/>
    <n v="0.57346640000000004"/>
    <n v="2.0109454000000002"/>
    <n v="0.90559670000000003"/>
    <n v="0"/>
    <n v="0"/>
    <n v="0.9301237"/>
  </r>
  <r>
    <x v="5"/>
    <s v="PEST CONTROL"/>
    <s v="SC JOHNSON"/>
    <x v="0"/>
    <x v="0"/>
    <x v="1"/>
    <x v="3"/>
    <x v="0"/>
    <n v="7754.9539999999997"/>
    <n v="6788.0770000000002"/>
    <n v="6374.165"/>
    <n v="6746.9120000000003"/>
    <n v="7365.0429999999997"/>
    <n v="6923.6540000000005"/>
    <n v="8657.9680000000008"/>
    <n v="6908.6130000000003"/>
    <n v="6931.0330000000004"/>
    <n v="7766.7669999999998"/>
    <n v="7567.06"/>
    <n v="7934.9750000000004"/>
    <n v="7863.1989999999996"/>
    <n v="7646.5889999999999"/>
    <n v="11825.648999999999"/>
    <n v="12565.567999999999"/>
    <n v="10647.862999999999"/>
    <n v="7971.1040000000003"/>
    <n v="8817.1659999999993"/>
    <n v="8498.9339999999993"/>
    <n v="7389.7520000000004"/>
    <n v="7688.5"/>
    <n v="7981.308"/>
    <n v="7777.19"/>
    <n v="7971.7330000000002"/>
    <n v="8880.3989999999994"/>
    <n v="9629.7819999999992"/>
    <n v="9930.625"/>
    <n v="9520.3880000000008"/>
    <n v="11161.08"/>
    <n v="10138.468000000001"/>
    <n v="7159.1469999999999"/>
    <n v="5680.6750000000002"/>
    <n v="6581.567"/>
    <n v="5907.8789999999999"/>
    <n v="5715.2089999999998"/>
    <n v="5765.1970000000001"/>
    <n v="7253.6090000000004"/>
  </r>
  <r>
    <x v="5"/>
    <s v="PEST CONTROL"/>
    <s v="SC JOHNSON"/>
    <x v="0"/>
    <x v="0"/>
    <x v="1"/>
    <x v="3"/>
    <x v="1"/>
    <n v="0"/>
    <n v="6.8548974999999999"/>
    <n v="6.4724047000000002"/>
    <n v="10.004937"/>
    <n v="7.4570699999999999"/>
    <n v="2.9922656999999999"/>
    <n v="6.8926420000000004"/>
    <n v="11.291404500000001"/>
    <n v="8.9151623999999998"/>
    <n v="14.2709764"/>
    <n v="4.4662030000000001"/>
    <n v="3.4191899000000001"/>
    <n v="3.0469620000000002"/>
    <n v="6.9496674000000001"/>
    <n v="2.9920224000000002"/>
    <n v="7.4616001000000001"/>
    <n v="3.7659402000000002"/>
    <n v="7.2160644999999999"/>
    <n v="10.375941900000001"/>
    <n v="13.039911699999999"/>
    <n v="9.1153531000000001"/>
    <n v="12.713757299999999"/>
    <n v="3.0837566999999999"/>
    <n v="6.3382320999999999"/>
    <n v="6.4633485999999998"/>
    <n v="6.0758723999999997"/>
    <n v="1.2976045"/>
    <n v="1.4414955"/>
    <n v="3.5736233999999998"/>
    <n v="5.2936550999999996"/>
    <n v="5.0294265999999999"/>
    <n v="5.9993791999999999"/>
    <n v="12.5837261"/>
    <n v="16.804659600000001"/>
    <n v="17.784732900000002"/>
    <n v="7.4111234000000001"/>
    <n v="7.8101837999999999"/>
    <n v="4.8198233999999998"/>
  </r>
  <r>
    <x v="5"/>
    <s v="PEST CONTROL"/>
    <s v="SC JOHNSON"/>
    <x v="1"/>
    <x v="1"/>
    <x v="2"/>
    <x v="4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PEST CONTROL"/>
    <s v="SC JOHNSON"/>
    <x v="1"/>
    <x v="1"/>
    <x v="2"/>
    <x v="4"/>
    <x v="1"/>
    <n v="0"/>
    <n v="0"/>
    <n v="0"/>
    <n v="0"/>
    <n v="0.2002437"/>
    <n v="3.7523399999999998E-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PEST CONTROL"/>
    <s v="SC JOHNSON"/>
    <x v="1"/>
    <x v="1"/>
    <x v="3"/>
    <x v="0"/>
    <x v="0"/>
    <n v="5750.3729999999996"/>
    <n v="6230.5709999999999"/>
    <n v="6997.49"/>
    <n v="8901.7009999999991"/>
    <n v="6283.0010000000002"/>
    <n v="7191.326"/>
    <n v="6392.4120000000003"/>
    <n v="5631.6610000000001"/>
    <n v="5274.4309999999996"/>
    <n v="4689.1940000000004"/>
    <n v="4373.857"/>
    <n v="5399.2780000000002"/>
    <n v="5697.1450000000004"/>
    <n v="6088.1490000000003"/>
    <n v="8143.1679999999997"/>
    <n v="5951.442"/>
    <n v="4641.0069999999996"/>
    <n v="4657.54"/>
    <n v="5084.2139999999999"/>
    <n v="4561.16"/>
    <n v="4729.1689999999999"/>
    <n v="4743.5510000000004"/>
    <n v="4642.5420000000004"/>
    <n v="4673.5240000000003"/>
    <n v="4729.9319999999998"/>
    <n v="5841.4309999999996"/>
    <n v="6611.2870000000003"/>
    <n v="5550.1840000000002"/>
    <n v="6477.049"/>
    <n v="4811.8789999999999"/>
    <n v="5615.5829999999996"/>
    <n v="5461.46"/>
    <n v="5314.8320000000003"/>
    <n v="6815.1139999999996"/>
    <n v="6000.1819999999998"/>
    <n v="6043.5590000000002"/>
    <n v="5704.1629999999996"/>
    <n v="6126.2610000000004"/>
  </r>
  <r>
    <x v="5"/>
    <s v="PEST CONTROL"/>
    <s v="SC JOHNSON"/>
    <x v="1"/>
    <x v="1"/>
    <x v="3"/>
    <x v="0"/>
    <x v="1"/>
    <n v="0"/>
    <n v="5.0280962999999996"/>
    <n v="3.7691119999999998"/>
    <n v="3.2597271999999999"/>
    <n v="5.9784800000000002"/>
    <n v="1.2358705999999999"/>
    <n v="5.4157517999999998"/>
    <n v="7.7417679000000001"/>
    <n v="10.484811300000001"/>
    <n v="5.0330861000000002"/>
    <n v="13.618365000000001"/>
    <n v="8.7052873000000002"/>
    <n v="6.3854392000000004"/>
    <n v="3.2533173999999998"/>
    <n v="1.9874413"/>
    <n v="4.0220212999999996"/>
    <n v="3.8970772999999999"/>
    <n v="5.8598686999999998"/>
    <n v="8.5329954000000008"/>
    <n v="3.2610123999999998"/>
    <n v="7.0133096999999998"/>
    <n v="4.7850419999999998"/>
    <n v="5.3709084000000002"/>
    <n v="8.0526526"/>
    <n v="4.5414979000000004"/>
    <n v="5.5006595000000003"/>
    <n v="2.8610253000000001"/>
    <n v="6.3057698000000002"/>
    <n v="1.7646151000000001"/>
    <n v="5.0940488000000004"/>
    <n v="3.1949187000000001"/>
    <n v="6.6262632999999997"/>
    <n v="8.0939046999999995"/>
    <n v="8.8195399999999999"/>
    <n v="3.6709816000000002"/>
    <n v="9.5276072999999997"/>
    <n v="8.9565289000000003"/>
    <n v="2.1456403000000002"/>
  </r>
  <r>
    <x v="5"/>
    <s v="PEST CONTROL"/>
    <s v="SC JOHNSON"/>
    <x v="1"/>
    <x v="1"/>
    <x v="3"/>
    <x v="4"/>
    <x v="0"/>
    <n v="209.57"/>
    <n v="407.52699999999999"/>
    <n v="262.55099999999999"/>
    <n v="472.30599999999998"/>
    <n v="595.19299999999998"/>
    <n v="540.39499999999998"/>
    <n v="472.98899999999998"/>
    <n v="555.88900000000001"/>
    <n v="388.62599999999998"/>
    <n v="406.04599999999999"/>
    <n v="416.73200000000003"/>
    <n v="448.89600000000002"/>
    <n v="554.64700000000005"/>
    <n v="449.15"/>
    <n v="709.63199999999995"/>
    <n v="679.30399999999997"/>
    <n v="476.99599999999998"/>
    <n v="445.923"/>
    <n v="403.38799999999998"/>
    <n v="525.99699999999996"/>
    <n v="452.375"/>
    <n v="482.98700000000002"/>
    <n v="606.30499999999995"/>
    <n v="565.58299999999997"/>
    <n v="450.887"/>
    <n v="966.16700000000003"/>
    <n v="739.26900000000001"/>
    <n v="654.73099999999999"/>
    <n v="422.59899999999999"/>
    <n v="372.36200000000002"/>
    <n v="577.774"/>
    <n v="589.49300000000005"/>
    <n v="606.01199999999994"/>
    <n v="557.93100000000004"/>
    <n v="538.30200000000002"/>
    <n v="561.86"/>
    <n v="508.39"/>
    <n v="454.512"/>
  </r>
  <r>
    <x v="5"/>
    <s v="PEST CONTROL"/>
    <s v="SC JOHNSON"/>
    <x v="1"/>
    <x v="1"/>
    <x v="3"/>
    <x v="4"/>
    <x v="1"/>
    <n v="0"/>
    <n v="1.1790349"/>
    <n v="1.1581482000000001"/>
    <n v="1.3241878"/>
    <n v="2.1060503000000002"/>
    <n v="4.2539148000000004"/>
    <n v="0.1501248"/>
    <n v="3.5767012999999999"/>
    <n v="1.7603572000000001"/>
    <n v="6.9566020000000002"/>
    <n v="0.72480670000000003"/>
    <n v="1.1546253"/>
    <n v="0"/>
    <n v="3.9752317000000001"/>
    <n v="1.7396035000000001"/>
    <n v="2.2107578000000001"/>
    <n v="0.26809569999999999"/>
    <n v="3.4469816"/>
    <n v="3.3393730000000001"/>
    <n v="4.7238933000000003"/>
    <n v="2.4870603999999998"/>
    <n v="0.9311625"/>
    <n v="3.6346200999999998"/>
    <n v="2.6562594000000002"/>
    <n v="2.3366615999999998"/>
    <n v="0.76512020000000003"/>
    <n v="2.0232823"/>
    <n v="5.1418001000000002"/>
    <n v="1.7847272000000001"/>
    <n v="2.0017179"/>
    <n v="1.6365215"/>
    <n v="2.3305837999999999"/>
    <n v="4.7098795000000004"/>
    <n v="2.5981754000000001"/>
    <n v="4.5943186000000003"/>
    <n v="1.5992504000000001"/>
    <n v="4.2251604"/>
    <n v="0.94423060000000003"/>
  </r>
  <r>
    <x v="5"/>
    <s v="PEST CONTROL"/>
    <s v="SC JOHNSON"/>
    <x v="1"/>
    <x v="1"/>
    <x v="3"/>
    <x v="5"/>
    <x v="0"/>
    <n v="547.86300000000006"/>
    <n v="728.12400000000002"/>
    <n v="433.822"/>
    <n v="1731.597"/>
    <n v="749.52200000000005"/>
    <n v="589.06100000000004"/>
    <n v="785.85199999999998"/>
    <n v="766.30399999999997"/>
    <n v="874.48500000000001"/>
    <n v="826.87900000000002"/>
    <n v="607.33600000000001"/>
    <n v="642.78599999999994"/>
    <n v="710.10199999999998"/>
    <n v="547.11500000000001"/>
    <n v="1256.05"/>
    <n v="1270.528"/>
    <n v="637.49"/>
    <n v="1044.451"/>
    <n v="797.61"/>
    <n v="609.65800000000002"/>
    <n v="862.43700000000001"/>
    <n v="772.81399999999996"/>
    <n v="1059.3579999999999"/>
    <n v="980.86300000000006"/>
    <n v="1078.777"/>
    <n v="1891.297"/>
    <n v="1892.991"/>
    <n v="1663.258"/>
    <n v="1098.6469999999999"/>
    <n v="1044.008"/>
    <n v="1039.3240000000001"/>
    <n v="631.80399999999997"/>
    <n v="748.65899999999999"/>
    <n v="767.89200000000005"/>
    <n v="781.44600000000003"/>
    <n v="826.04700000000003"/>
    <n v="903.25900000000001"/>
    <n v="1012.15"/>
  </r>
  <r>
    <x v="5"/>
    <s v="PEST CONTROL"/>
    <s v="SC JOHNSON"/>
    <x v="1"/>
    <x v="1"/>
    <x v="3"/>
    <x v="5"/>
    <x v="1"/>
    <n v="0"/>
    <n v="1.7996957"/>
    <n v="2.2650481999999998"/>
    <n v="4.9743618999999999"/>
    <n v="0.90346179999999998"/>
    <n v="4.6746647000000001"/>
    <n v="4.3302744999999998"/>
    <n v="1.855712"/>
    <n v="5.0124998999999999"/>
    <n v="3.6628088999999999"/>
    <n v="6.9541095999999998"/>
    <n v="2.4951707000000001"/>
    <n v="2.9759144000000002"/>
    <n v="3.0093670000000001"/>
    <n v="5.1707818000000003"/>
    <n v="3.6998101000000001"/>
    <n v="0.26403599999999999"/>
    <n v="2.9300492999999999"/>
    <n v="2.5461398000000002"/>
    <n v="3.4101702"/>
    <n v="5.6921020000000002"/>
    <n v="1.6793682999999999"/>
    <n v="3.6142786"/>
    <n v="2.5504590999999999"/>
    <n v="3.7191458000000002"/>
    <n v="1.8935816000000001"/>
    <n v="3.9807098999999999"/>
    <n v="1.6862528999999999"/>
    <n v="2.8630601000000002"/>
    <n v="5.0178209000000003"/>
    <n v="3.2527092999999998"/>
    <n v="2.7556295"/>
    <n v="4.2680427999999999"/>
    <n v="6.8596463999999999"/>
    <n v="2.6665896999999998"/>
    <n v="1.6287411999999999"/>
    <n v="3.5702501"/>
    <n v="1.7475086"/>
  </r>
  <r>
    <x v="5"/>
    <s v="PEST CONTROL"/>
    <s v="SC JOHNSON"/>
    <x v="1"/>
    <x v="2"/>
    <x v="3"/>
    <x v="0"/>
    <x v="0"/>
    <n v="1646.5309999999999"/>
    <n v="1408.3489999999999"/>
    <n v="2000.5150000000001"/>
    <n v="2301.8890000000001"/>
    <n v="2042.3150000000001"/>
    <n v="1837.221"/>
    <n v="1649.683"/>
    <n v="1618.624"/>
    <n v="1723.133"/>
    <n v="1752.9870000000001"/>
    <n v="1563.557"/>
    <n v="1667.472"/>
    <n v="1436.2670000000001"/>
    <n v="1632.76"/>
    <n v="2100.7429999999999"/>
    <n v="1606.1320000000001"/>
    <n v="1438.778"/>
    <n v="1409.703"/>
    <n v="1305.193"/>
    <n v="1300.386"/>
    <n v="1273.5039999999999"/>
    <n v="1227.4749999999999"/>
    <n v="1314.2719999999999"/>
    <n v="1365.3989999999999"/>
    <n v="1449.0730000000001"/>
    <n v="1693.6569999999999"/>
    <n v="1285.8409999999999"/>
    <n v="1335.116"/>
    <n v="1128.5940000000001"/>
    <n v="1322.5160000000001"/>
    <n v="1029.116"/>
    <n v="817.87099999999998"/>
    <n v="1025.3209999999999"/>
    <n v="1025.1079999999999"/>
    <n v="1047.2239999999999"/>
    <n v="850.24599999999998"/>
    <n v="892.38499999999999"/>
    <n v="810.73299999999995"/>
  </r>
  <r>
    <x v="5"/>
    <s v="PEST CONTROL"/>
    <s v="SC JOHNSON"/>
    <x v="1"/>
    <x v="2"/>
    <x v="3"/>
    <x v="0"/>
    <x v="1"/>
    <n v="0"/>
    <n v="1.9448318"/>
    <n v="6.6649123000000001"/>
    <n v="2.4951523"/>
    <n v="4.6072948"/>
    <n v="3.8468235000000002"/>
    <n v="3.1319785000000002"/>
    <n v="4.5262539999999998"/>
    <n v="3.8302306000000002"/>
    <n v="6.207935"/>
    <n v="0.62431329999999996"/>
    <n v="1.6360356"/>
    <n v="7.4158188999999997"/>
    <n v="8.6009980000000006"/>
    <n v="2.6886125000000001"/>
    <n v="4.3323428000000002"/>
    <n v="3.2807635999999998"/>
    <n v="0.99579470000000003"/>
    <n v="4.1309588000000002"/>
    <n v="3.6736580999999999"/>
    <n v="4.7903453000000003"/>
    <n v="2.8270865000000001"/>
    <n v="4.0838909000000001"/>
    <n v="5.7932603"/>
    <n v="3.9044515999999998"/>
    <n v="3.7636132"/>
    <n v="1.5092057000000001"/>
    <n v="3.9243887000000002"/>
    <n v="4.9187795000000003"/>
    <n v="1.2499083"/>
    <n v="3.0130235000000001"/>
    <n v="3.8783173999999998"/>
    <n v="6.1380401999999998"/>
    <n v="1.9746163000000001"/>
    <n v="2.9681749000000002"/>
    <n v="3.1416116000000001"/>
    <n v="1.6444491999999999"/>
    <n v="0"/>
  </r>
  <r>
    <x v="5"/>
    <s v="PEST CONTROL"/>
    <s v="SC JOHNSON"/>
    <x v="1"/>
    <x v="3"/>
    <x v="2"/>
    <x v="0"/>
    <x v="0"/>
    <n v="672.27300000000002"/>
    <n v="745.16"/>
    <n v="1124.806"/>
    <n v="902.07500000000005"/>
    <n v="501.76299999999998"/>
    <n v="876.31"/>
    <n v="626.31600000000003"/>
    <n v="892.90899999999999"/>
    <n v="884.71199999999999"/>
    <n v="926.71400000000006"/>
    <n v="846.06899999999996"/>
    <n v="1019.381"/>
    <n v="1251.7529999999999"/>
    <n v="2067.8670000000002"/>
    <n v="1854.442"/>
    <n v="1488.3009999999999"/>
    <n v="1228.0740000000001"/>
    <n v="1197.085"/>
    <n v="1019.885"/>
    <n v="868.81200000000001"/>
    <n v="774.77"/>
    <n v="1107.521"/>
    <n v="962.29"/>
    <n v="763.90700000000004"/>
    <n v="794.44600000000003"/>
    <n v="733.14499999999998"/>
    <n v="776.37199999999996"/>
    <n v="818.29399999999998"/>
    <n v="590.53300000000002"/>
    <n v="579.55200000000002"/>
    <n v="513.005"/>
    <n v="481.03899999999999"/>
    <n v="303.887"/>
    <n v="248.678"/>
    <n v="299.75900000000001"/>
    <n v="319.24900000000002"/>
    <n v="267.017"/>
    <n v="194.27500000000001"/>
  </r>
  <r>
    <x v="5"/>
    <s v="PEST CONTROL"/>
    <s v="SC JOHNSON"/>
    <x v="1"/>
    <x v="3"/>
    <x v="2"/>
    <x v="0"/>
    <x v="1"/>
    <n v="0"/>
    <n v="1.4919636999999999"/>
    <n v="1.4253039000000001"/>
    <n v="3.1993402999999998"/>
    <n v="2.3867444"/>
    <n v="4.0785305000000003"/>
    <n v="1.1894387"/>
    <n v="1.7804114"/>
    <n v="2.1231243000000002"/>
    <n v="3.9487912999999999"/>
    <n v="3.0398038000000001"/>
    <n v="2.3836642000000001"/>
    <n v="2.7952971999999998"/>
    <n v="5.5420976"/>
    <n v="1.0894554999999999"/>
    <n v="3.4665032"/>
    <n v="7.3142250000000004"/>
    <n v="5.3720825000000003"/>
    <n v="6.0513779999999997"/>
    <n v="2.2907011000000002"/>
    <n v="3.8096087999999999"/>
    <n v="1.3010942999999999"/>
    <n v="1.1529628000000001"/>
    <n v="2.0311252"/>
    <n v="2.4948210999999998"/>
    <n v="0.79659740000000001"/>
    <n v="3.1210024999999999"/>
    <n v="4.7118323000000002"/>
    <n v="0.82610170000000005"/>
    <n v="2.1987258999999999"/>
    <n v="0"/>
    <n v="3.0971109999999999"/>
    <n v="0.89170199999999999"/>
    <n v="0.82929600000000003"/>
    <n v="0.54482620000000004"/>
    <n v="3.2788740000000001"/>
    <n v="0"/>
    <n v="0.85381479999999998"/>
  </r>
  <r>
    <x v="5"/>
    <s v="PEST CONTROL"/>
    <s v="SC JOHNSON"/>
    <x v="1"/>
    <x v="4"/>
    <x v="2"/>
    <x v="0"/>
    <x v="0"/>
    <n v="1098.643"/>
    <n v="732.16200000000003"/>
    <n v="997.43"/>
    <n v="770.36900000000003"/>
    <n v="612.26"/>
    <n v="1009.079"/>
    <n v="993.03499999999997"/>
    <n v="861.39599999999996"/>
    <n v="789.65800000000002"/>
    <n v="680.44399999999996"/>
    <n v="666.27499999999998"/>
    <n v="423.41500000000002"/>
    <n v="460.23200000000003"/>
    <n v="492.45400000000001"/>
    <n v="422.51499999999999"/>
    <n v="434.46600000000001"/>
    <n v="454.995"/>
    <n v="357.65300000000002"/>
    <n v="475.48500000000001"/>
    <n v="445.96499999999997"/>
    <n v="498.69900000000001"/>
    <n v="918.88"/>
    <n v="845.72299999999996"/>
    <n v="757.74099999999999"/>
    <n v="746.39099999999996"/>
    <n v="678.59699999999998"/>
    <n v="1110.3"/>
    <n v="1276.6569999999999"/>
    <n v="953.06200000000001"/>
    <n v="718.02099999999996"/>
    <n v="432.25700000000001"/>
    <n v="1056.2860000000001"/>
    <n v="1120.97"/>
    <n v="1476.693"/>
    <n v="1817.655"/>
    <n v="1587.67"/>
    <n v="1592.3409999999999"/>
    <n v="2244.98"/>
  </r>
  <r>
    <x v="5"/>
    <s v="PEST CONTROL"/>
    <s v="SC JOHNSON"/>
    <x v="1"/>
    <x v="4"/>
    <x v="2"/>
    <x v="0"/>
    <x v="1"/>
    <n v="0"/>
    <n v="0.57149689999999997"/>
    <n v="0"/>
    <n v="3.3992638999999998"/>
    <n v="1.6890073000000001"/>
    <n v="0"/>
    <n v="0"/>
    <n v="1.8985425"/>
    <n v="2.9112532999999998"/>
    <n v="0.87678750000000005"/>
    <n v="0"/>
    <n v="1.0806674000000001"/>
    <n v="0.80869760000000002"/>
    <n v="0"/>
    <n v="0.80772849999999996"/>
    <n v="0"/>
    <n v="1.1548795999999999"/>
    <n v="0.70215019999999995"/>
    <n v="1.6328659000000001"/>
    <n v="1.1947186000000001"/>
    <n v="2.1895262999999998"/>
    <n v="0.84188450000000004"/>
    <n v="0.1529433"/>
    <n v="3.7212998000000002"/>
    <n v="7.7339599999999994E-2"/>
    <n v="1.5313231"/>
    <n v="1.4855398"/>
    <n v="3.8641799999999997E-2"/>
    <n v="0"/>
    <n v="1.7875920000000001"/>
    <n v="0.99081079999999999"/>
    <n v="2.6914845999999999"/>
    <n v="2.0530097"/>
    <n v="3.0803189"/>
    <n v="3.2561490000000002"/>
    <n v="5.1083160000000003"/>
    <n v="7.7550099999999997E-2"/>
    <n v="0.66236430000000002"/>
  </r>
  <r>
    <x v="5"/>
    <s v="PEST CONTROL"/>
    <s v="SC JOHNSON"/>
    <x v="1"/>
    <x v="4"/>
    <x v="3"/>
    <x v="0"/>
    <x v="0"/>
    <n v="298.35199999999998"/>
    <n v="223.36699999999999"/>
    <n v="286.48899999999998"/>
    <n v="203.429"/>
    <n v="296.26499999999999"/>
    <n v="77.716999999999999"/>
    <n v="28.016999999999999"/>
    <n v="82.697999999999993"/>
    <n v="51.908999999999999"/>
    <n v="343.84100000000001"/>
    <n v="293.584"/>
    <n v="360.47699999999998"/>
    <n v="295.05700000000002"/>
    <n v="421.91199999999998"/>
    <n v="656.89700000000005"/>
    <n v="1067.713"/>
    <n v="1411.835"/>
    <n v="1498.433"/>
    <n v="1600.3130000000001"/>
    <n v="1117.404"/>
    <n v="1038.271"/>
    <n v="1346.62"/>
    <n v="1447.2739999999999"/>
    <n v="1373.884"/>
    <n v="1527.175"/>
    <n v="2289.4279999999999"/>
    <n v="2586.0740000000001"/>
    <n v="1753.2329999999999"/>
    <n v="2020.7929999999999"/>
    <n v="1782.979"/>
    <n v="2547.194"/>
    <n v="2196.39"/>
    <n v="1936.241"/>
    <n v="1903.1369999999999"/>
    <n v="2020.742"/>
    <n v="2255.4209999999998"/>
    <n v="1916.35"/>
    <n v="2569.009"/>
  </r>
  <r>
    <x v="5"/>
    <s v="PEST CONTROL"/>
    <s v="SC JOHNSON"/>
    <x v="1"/>
    <x v="4"/>
    <x v="3"/>
    <x v="0"/>
    <x v="1"/>
    <n v="0"/>
    <n v="2.7548200999999999"/>
    <n v="0.2367657"/>
    <n v="1.2023611999999999"/>
    <n v="1.2310445999999999"/>
    <n v="0.2314068"/>
    <n v="1.3378745999999999"/>
    <n v="0.1188818"/>
    <n v="0.35152450000000002"/>
    <n v="0.80803619999999998"/>
    <n v="0.68130389999999996"/>
    <n v="2.3590621999999999"/>
    <n v="2.624282"/>
    <n v="2.8647868999999999"/>
    <n v="1.2740640000000001"/>
    <n v="1.0065601"/>
    <n v="0.11662160000000001"/>
    <n v="3.8299800000000002E-2"/>
    <n v="5.4571905999999997"/>
    <n v="6.7519109999999998"/>
    <n v="6.8137917999999997"/>
    <n v="4.5824157000000003"/>
    <n v="4.7711414000000003"/>
    <n v="5.3019232000000001"/>
    <n v="1.1453610000000001"/>
    <n v="1.3750585"/>
    <n v="1.9952080000000001"/>
    <n v="4.4871299000000002"/>
    <n v="4.6170980000000004"/>
    <n v="3.2830726000000001"/>
    <n v="5.2090284999999996"/>
    <n v="1.3488769"/>
    <n v="4.8579486000000003"/>
    <n v="4.0014317000000004"/>
    <n v="5.7095874000000002"/>
    <n v="2.9497852999999998"/>
    <n v="6.6898179000000004"/>
    <n v="5.0176685000000001"/>
  </r>
  <r>
    <x v="5"/>
    <s v="PEST CONTROL"/>
    <s v="SC JOHNSON"/>
    <x v="2"/>
    <x v="0"/>
    <x v="2"/>
    <x v="0"/>
    <x v="0"/>
    <n v="5206.433"/>
    <n v="5444.1660000000002"/>
    <n v="9293.1620000000003"/>
    <n v="12151.445"/>
    <n v="8920.8320000000003"/>
    <n v="8694.4599999999991"/>
    <n v="7771.6949999999997"/>
    <n v="6325.0550000000003"/>
    <n v="6139.0959999999995"/>
    <n v="6027.9430000000002"/>
    <n v="5831.2659999999996"/>
    <n v="5768.3620000000001"/>
    <n v="6307.88"/>
    <n v="4996.6679999999997"/>
    <n v="8538.1370000000006"/>
    <n v="12364.599"/>
    <n v="12978.991"/>
    <n v="7480.3130000000001"/>
    <n v="5364.4449999999997"/>
    <n v="5895.5479999999998"/>
    <n v="4863.817"/>
    <n v="4985.491"/>
    <n v="5183.8320000000003"/>
    <n v="4890.2979999999998"/>
    <n v="4930.0349999999999"/>
    <n v="5579.22"/>
    <n v="7477.7569999999996"/>
    <n v="5895.5460000000003"/>
    <n v="7127.1689999999999"/>
    <n v="6203.3620000000001"/>
    <n v="6824.0559999999996"/>
    <n v="7633.66"/>
    <n v="6582.0889999999999"/>
    <n v="6662.759"/>
    <n v="9026.3799999999992"/>
    <n v="7741.1480000000001"/>
    <n v="7131.5290000000005"/>
    <n v="8073.8249999999998"/>
  </r>
  <r>
    <x v="5"/>
    <s v="PEST CONTROL"/>
    <s v="SC JOHNSON"/>
    <x v="2"/>
    <x v="0"/>
    <x v="2"/>
    <x v="0"/>
    <x v="1"/>
    <n v="0"/>
    <n v="6.4108527000000004"/>
    <n v="0.76360099999999997"/>
    <n v="8.6228815000000001"/>
    <n v="3.6824346000000001"/>
    <n v="5.0136510000000003"/>
    <n v="4.3200661"/>
    <n v="10.495493400000001"/>
    <n v="12.3924252"/>
    <n v="12.0602246"/>
    <n v="5.1142244000000003"/>
    <n v="8.1974146999999995"/>
    <n v="10.2097877"/>
    <n v="2.8247732999999999"/>
    <n v="4.4657061999999996"/>
    <n v="5.9066174"/>
    <n v="5.3860042000000004"/>
    <n v="5.5589088999999996"/>
    <n v="11.885012400000001"/>
    <n v="7.4199219999999997"/>
    <n v="12.7688407"/>
    <n v="6.1276947000000002"/>
    <n v="2.3431671999999999"/>
    <n v="10.881185500000001"/>
    <n v="6.5846556999999999"/>
    <n v="7.0613716000000002"/>
    <n v="3.6574303000000001"/>
    <n v="2.5556945"/>
    <n v="5.3475032000000002"/>
    <n v="5.7585879999999996"/>
    <n v="1.7910503"/>
    <n v="3.8929201"/>
    <n v="4.9964598000000002"/>
    <n v="6.2022057999999998"/>
    <n v="4.0470455000000003"/>
    <n v="7.1025736000000004"/>
    <n v="6.4321966000000002"/>
    <n v="2.3871237000000001"/>
  </r>
  <r>
    <x v="5"/>
    <s v="PEST CONTROL"/>
    <s v="SC JOHNSON"/>
    <x v="2"/>
    <x v="0"/>
    <x v="0"/>
    <x v="0"/>
    <x v="0"/>
    <n v="7399.1530000000002"/>
    <n v="9501.3340000000007"/>
    <n v="11349.575000000001"/>
    <n v="17029.170999999998"/>
    <n v="12772.447"/>
    <n v="10392.627"/>
    <n v="9334.3989999999994"/>
    <n v="7609.7420000000002"/>
    <n v="7150.5770000000002"/>
    <n v="7339.5280000000002"/>
    <n v="7448.2780000000002"/>
    <n v="8686.6309999999994"/>
    <n v="8414.8960000000006"/>
    <n v="8547.1959999999999"/>
    <n v="12905.236000000001"/>
    <n v="14882.093000000001"/>
    <n v="13420.803"/>
    <n v="11075.32"/>
    <n v="11781.886"/>
    <n v="9815.4230000000007"/>
    <n v="8892.5570000000007"/>
    <n v="8072.6049999999996"/>
    <n v="8994.3240000000005"/>
    <n v="8499.1270000000004"/>
    <n v="8567.84"/>
    <n v="10047.781000000001"/>
    <n v="11504.169"/>
    <n v="11100.304"/>
    <n v="10653.138000000001"/>
    <n v="10230.245000000001"/>
    <n v="8969.2139999999999"/>
    <n v="9047.5110000000004"/>
    <n v="7725.0870000000004"/>
    <n v="8020.5730000000003"/>
    <n v="7833.9049999999997"/>
    <n v="8033.8339999999998"/>
    <n v="7871.7860000000001"/>
    <n v="9960.0370000000003"/>
  </r>
  <r>
    <x v="5"/>
    <s v="PEST CONTROL"/>
    <s v="SC JOHNSON"/>
    <x v="2"/>
    <x v="0"/>
    <x v="0"/>
    <x v="0"/>
    <x v="1"/>
    <n v="0"/>
    <n v="5.9456094999999998"/>
    <n v="6.4813384999999997"/>
    <n v="9.6933767"/>
    <n v="8.2335680999999994"/>
    <n v="7.4301202000000002"/>
    <n v="8.8447147000000008"/>
    <n v="5.2897325999999998"/>
    <n v="13.9152042"/>
    <n v="19.241426700000002"/>
    <n v="11.6510487"/>
    <n v="6.7227350000000001"/>
    <n v="9.4456846999999993"/>
    <n v="7.5549163000000004"/>
    <n v="6.4718736999999997"/>
    <n v="7.1609053999999999"/>
    <n v="5.2321172999999996"/>
    <n v="4.2405917000000004"/>
    <n v="5.5566177000000003"/>
    <n v="8.9740677000000009"/>
    <n v="9.9462883000000009"/>
    <n v="10.8170298"/>
    <n v="12.5505621"/>
    <n v="8.7737648999999998"/>
    <n v="8.6840007999999997"/>
    <n v="3.8878591999999998"/>
    <n v="1.7541789999999999"/>
    <n v="6.4802764000000002"/>
    <n v="5.7564621000000002"/>
    <n v="5.4035837000000004"/>
    <n v="3.9865965999999999"/>
    <n v="4.6356320000000002"/>
    <n v="6.9292327"/>
    <n v="5.1372299999999997"/>
    <n v="10.3431335"/>
    <n v="13.7298442"/>
    <n v="9.2855738999999993"/>
    <n v="5.7462266"/>
  </r>
  <r>
    <x v="5"/>
    <s v="PEST CONTROL"/>
    <s v="SC JOHNSON"/>
    <x v="2"/>
    <x v="0"/>
    <x v="3"/>
    <x v="0"/>
    <x v="0"/>
    <n v="13999.794"/>
    <n v="17388.120999999999"/>
    <n v="18542.967000000001"/>
    <n v="22528.591"/>
    <n v="20397.219000000001"/>
    <n v="19455.141"/>
    <n v="17444.486000000001"/>
    <n v="14981.403"/>
    <n v="13728.243"/>
    <n v="14707.152"/>
    <n v="14268.949000000001"/>
    <n v="14107.666999999999"/>
    <n v="19114.258999999998"/>
    <n v="18926.108"/>
    <n v="21615.784"/>
    <n v="22138.129000000001"/>
    <n v="18603.376"/>
    <n v="15812.084999999999"/>
    <n v="13899.022000000001"/>
    <n v="13695.5"/>
    <n v="11357.816000000001"/>
    <n v="11910.028"/>
    <n v="12694.359"/>
    <n v="12303.055"/>
    <n v="11867.578"/>
    <n v="16591.768"/>
    <n v="21520.901999999998"/>
    <n v="19690.456999999999"/>
    <n v="23600.44"/>
    <n v="19590.258000000002"/>
    <n v="21555.716"/>
    <n v="19090.938999999998"/>
    <n v="19103.478999999999"/>
    <n v="18002.052"/>
    <n v="16590.631000000001"/>
    <n v="17778.846000000001"/>
    <n v="16808.838"/>
    <n v="19070.235000000001"/>
  </r>
  <r>
    <x v="5"/>
    <s v="PEST CONTROL"/>
    <s v="SC JOHNSON"/>
    <x v="2"/>
    <x v="0"/>
    <x v="3"/>
    <x v="0"/>
    <x v="1"/>
    <n v="0"/>
    <n v="4.9893634000000002"/>
    <n v="1.3886714"/>
    <n v="4.0229860999999998"/>
    <n v="5.7737689000000003"/>
    <n v="3.9060728999999998"/>
    <n v="3.2377414"/>
    <n v="5.5155215999999996"/>
    <n v="6.0734544000000001"/>
    <n v="12.354373600000001"/>
    <n v="12.3746776"/>
    <n v="7.3131079999999997"/>
    <n v="12.4896484"/>
    <n v="3.5443739999999999"/>
    <n v="4.2058517000000002"/>
    <n v="8.4203711000000006"/>
    <n v="3.8042012999999999"/>
    <n v="5.0370359000000002"/>
    <n v="5.2968044000000001"/>
    <n v="1.6364449000000001"/>
    <n v="7.0801860000000003"/>
    <n v="3.4209212"/>
    <n v="11.4479177"/>
    <n v="8.2368749999999995"/>
    <n v="8.8928951000000005"/>
    <n v="5.2746732999999999"/>
    <n v="5.9688027000000003"/>
    <n v="3.2631108000000002"/>
    <n v="2.6700457000000002"/>
    <n v="5.9948753000000004"/>
    <n v="0.66592980000000002"/>
    <n v="3.0929061"/>
    <n v="3.9033563999999998"/>
    <n v="9.7351078999999991"/>
    <n v="10.5368622"/>
    <n v="6.8614924999999998"/>
    <n v="13.5170546"/>
    <n v="5.5202064999999996"/>
  </r>
  <r>
    <x v="5"/>
    <s v="PEST CONTROL"/>
    <s v="SC JOHNSON"/>
    <x v="2"/>
    <x v="0"/>
    <x v="3"/>
    <x v="6"/>
    <x v="0"/>
    <n v="142.46100000000001"/>
    <n v="108.907"/>
    <n v="77.869"/>
    <n v="220.87799999999999"/>
    <n v="195.191"/>
    <n v="161.505"/>
    <n v="122.101"/>
    <n v="192.99199999999999"/>
    <n v="166.86199999999999"/>
    <n v="166.86199999999999"/>
    <n v="166.86199999999999"/>
    <n v="166.86199999999999"/>
    <n v="166.86199999999999"/>
    <n v="166.86199999999999"/>
    <n v="166.86199999999999"/>
    <n v="181.339"/>
    <n v="181.339"/>
    <n v="155.643"/>
    <n v="256.84300000000002"/>
    <n v="155.643"/>
    <n v="155.643"/>
    <n v="155.643"/>
    <n v="206.892"/>
    <n v="213.08099999999999"/>
    <n v="184.67"/>
    <n v="255.697"/>
    <n v="260.31799999999998"/>
    <n v="232.863"/>
    <n v="232.863"/>
    <n v="215.89400000000001"/>
    <n v="374.21499999999997"/>
    <n v="359.82299999999998"/>
    <n v="316.64400000000001"/>
    <n v="133.82400000000001"/>
    <n v="334.32600000000002"/>
    <n v="302.60500000000002"/>
    <n v="302.60500000000002"/>
    <n v="302.60500000000002"/>
  </r>
  <r>
    <x v="5"/>
    <s v="PEST CONTROL"/>
    <s v="SC JOHNSON"/>
    <x v="2"/>
    <x v="0"/>
    <x v="3"/>
    <x v="6"/>
    <x v="1"/>
    <n v="0"/>
    <n v="0"/>
    <n v="0"/>
    <n v="0.99642149999999996"/>
    <n v="0"/>
    <n v="0.7995485"/>
    <n v="0"/>
    <n v="3.75377E-2"/>
    <n v="0.59415419999999997"/>
    <n v="0.6045933"/>
    <n v="0"/>
    <n v="0"/>
    <n v="0"/>
    <n v="1.0182049"/>
    <n v="0"/>
    <n v="0"/>
    <n v="0"/>
    <n v="3.8299800000000002E-2"/>
    <n v="0"/>
    <n v="0"/>
    <n v="0.845835"/>
    <n v="0"/>
    <n v="0"/>
    <n v="0"/>
    <n v="0"/>
    <n v="0"/>
    <n v="0"/>
    <n v="0"/>
    <n v="0.86682780000000004"/>
    <n v="0"/>
    <n v="0"/>
    <n v="0"/>
    <n v="0"/>
    <n v="0"/>
    <n v="0.97281110000000004"/>
    <n v="0"/>
    <n v="0"/>
    <n v="0.98178430000000005"/>
  </r>
  <r>
    <x v="5"/>
    <s v="PEST CONTROL"/>
    <s v="SC JOHNSON"/>
    <x v="2"/>
    <x v="5"/>
    <x v="3"/>
    <x v="0"/>
    <x v="0"/>
    <n v="1893.1130000000001"/>
    <n v="1611.3019999999999"/>
    <n v="1745.3589999999999"/>
    <n v="1842.056"/>
    <n v="1896.962"/>
    <n v="1823.915"/>
    <n v="1349.67"/>
    <n v="1778.7170000000001"/>
    <n v="1905.366"/>
    <n v="1971.7619999999999"/>
    <n v="1826.329"/>
    <n v="1489.28"/>
    <n v="1466.088"/>
    <n v="1991.2739999999999"/>
    <n v="2039.904"/>
    <n v="2176.962"/>
    <n v="2110.2890000000002"/>
    <n v="1942.2080000000001"/>
    <n v="2033.951"/>
    <n v="1844.6969999999999"/>
    <n v="1806.9469999999999"/>
    <n v="1494.55"/>
    <n v="1326.8779999999999"/>
    <n v="1449.9939999999999"/>
    <n v="1496.71"/>
    <n v="1899.1559999999999"/>
    <n v="2206.6869999999999"/>
    <n v="2238.09"/>
    <n v="2443.402"/>
    <n v="2029.354"/>
    <n v="2335.4580000000001"/>
    <n v="2155.0920000000001"/>
    <n v="2571.663"/>
    <n v="2809.2109999999998"/>
    <n v="2858.3119999999999"/>
    <n v="2815.51"/>
    <n v="2431.3159999999998"/>
    <n v="2766.8910000000001"/>
  </r>
  <r>
    <x v="5"/>
    <s v="PEST CONTROL"/>
    <s v="SC JOHNSON"/>
    <x v="2"/>
    <x v="5"/>
    <x v="3"/>
    <x v="0"/>
    <x v="1"/>
    <n v="0"/>
    <n v="3.0231835999999999"/>
    <n v="6.1317222999999998"/>
    <n v="4.7127353999999997"/>
    <n v="7.3337852999999997"/>
    <n v="5.1795419000000003"/>
    <n v="5.0187844000000004"/>
    <n v="6.5642864000000003"/>
    <n v="9.3478546999999992"/>
    <n v="7.5673867000000001"/>
    <n v="4.6308679000000001"/>
    <n v="3.9052319999999998"/>
    <n v="7.1854075999999996"/>
    <n v="4.6166637000000001"/>
    <n v="4.4038415000000004"/>
    <n v="5.5476631999999997"/>
    <n v="5.2752040999999998"/>
    <n v="4.2199863999999998"/>
    <n v="4.508667"/>
    <n v="6.6317572"/>
    <n v="6.3929235000000002"/>
    <n v="6.1754142999999999"/>
    <n v="5.0275125999999997"/>
    <n v="6.7001030999999998"/>
    <n v="2.6346512"/>
    <n v="3.3347654000000002"/>
    <n v="1.867443"/>
    <n v="5.6954992000000004"/>
    <n v="3.9386909000000001"/>
    <n v="5.3711821000000004"/>
    <n v="1.8184549000000001"/>
    <n v="5.0975285000000001"/>
    <n v="9.1221300000000003"/>
    <n v="4.0090417"/>
    <n v="3.7559361999999998"/>
    <n v="6.8281650999999997"/>
    <n v="4.7633191000000004"/>
    <n v="3.7745582"/>
  </r>
  <r>
    <x v="5"/>
    <s v="PEST CONTROL"/>
    <s v="SC JOHNSON"/>
    <x v="2"/>
    <x v="5"/>
    <x v="3"/>
    <x v="7"/>
    <x v="0"/>
    <n v="264.23399999999998"/>
    <n v="153.548"/>
    <n v="251.214"/>
    <n v="303.27199999999999"/>
    <n v="291.52800000000002"/>
    <n v="144.28299999999999"/>
    <n v="180.173"/>
    <n v="109.154"/>
    <n v="100.143"/>
    <n v="139.874"/>
    <n v="251.5"/>
    <n v="267.99599999999998"/>
    <n v="271.85500000000002"/>
    <n v="264.23599999999999"/>
    <n v="245.61699999999999"/>
    <n v="214.291"/>
    <n v="144.059"/>
    <n v="142.346"/>
    <n v="65.951999999999998"/>
    <n v="138.048"/>
    <n v="188.393"/>
    <n v="161.41399999999999"/>
    <n v="95.400999999999996"/>
    <n v="157.465"/>
    <n v="179.74"/>
    <n v="134.744"/>
    <n v="114.215"/>
    <n v="86.694999999999993"/>
    <n v="77.244"/>
    <n v="143.584"/>
    <n v="118.605"/>
    <n v="147.24199999999999"/>
    <n v="206.261"/>
    <n v="188.76400000000001"/>
    <n v="120.795"/>
    <n v="66.179000000000002"/>
    <n v="66.179000000000002"/>
    <n v="66.179000000000002"/>
  </r>
  <r>
    <x v="5"/>
    <s v="PEST CONTROL"/>
    <s v="SC JOHNSON"/>
    <x v="2"/>
    <x v="5"/>
    <x v="3"/>
    <x v="7"/>
    <x v="1"/>
    <n v="0"/>
    <n v="7.4998200000000001E-2"/>
    <n v="3.7380099999999999E-2"/>
    <n v="3.6877749"/>
    <n v="7.5081999999999996E-2"/>
    <n v="0.70427660000000003"/>
    <n v="1.7507178000000001"/>
    <n v="0.39538420000000002"/>
    <n v="1.0956321"/>
    <n v="1.1987789"/>
    <n v="0"/>
    <n v="7.5932200000000005E-2"/>
    <n v="1.0568328"/>
    <n v="3.7927599999999999E-2"/>
    <n v="3.7907299999999998E-2"/>
    <n v="0.69037040000000005"/>
    <n v="0"/>
    <n v="1.9719416000000001"/>
    <n v="7.6629799999999998E-2"/>
    <n v="3.8314399999999998E-2"/>
    <n v="1.2270984"/>
    <n v="1.9437966"/>
    <n v="1.1911986000000001"/>
    <n v="0.72644869999999995"/>
    <n v="0.76693820000000001"/>
    <n v="7.7339599999999994E-2"/>
    <n v="1.4837222999999999"/>
    <n v="1.0017126000000001"/>
    <n v="2.5419613000000001"/>
    <n v="2.8683852000000001"/>
    <n v="0.2310478"/>
    <n v="2.9151889"/>
    <n v="0.32202049999999999"/>
    <n v="0.19292619999999999"/>
    <n v="2.1597675000000001"/>
    <n v="0.75219179999999997"/>
    <n v="7.7550099999999997E-2"/>
    <n v="1.408091"/>
  </r>
  <r>
    <x v="5"/>
    <s v="PEST CONTROL"/>
    <s v="SC JOHNSON"/>
    <x v="3"/>
    <x v="0"/>
    <x v="0"/>
    <x v="8"/>
    <x v="0"/>
    <m/>
    <n v="219.96799999999999"/>
    <n v="91.653000000000006"/>
    <m/>
    <n v="307.96499999999997"/>
    <n v="87.518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PEST CONTROL"/>
    <s v="SC JOHNSON"/>
    <x v="3"/>
    <x v="0"/>
    <x v="0"/>
    <x v="8"/>
    <x v="1"/>
    <m/>
    <n v="0"/>
    <n v="0"/>
    <n v="0"/>
    <n v="0.95729560000000002"/>
    <n v="0"/>
    <n v="1.1814821"/>
    <n v="1.686079300000000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PEST CONTROL"/>
    <s v="SC JOHNSON"/>
    <x v="3"/>
    <x v="0"/>
    <x v="0"/>
    <x v="9"/>
    <x v="0"/>
    <n v="98.74"/>
    <n v="108.005"/>
    <n v="297.55799999999999"/>
    <n v="136.57499999999999"/>
    <n v="107.37"/>
    <n v="51.798999999999999"/>
    <n v="66.293000000000006"/>
    <n v="208.387"/>
    <n v="173.005"/>
    <n v="58.905999999999999"/>
    <n v="170.53200000000001"/>
    <n v="174.62899999999999"/>
    <n v="93.191000000000003"/>
    <n v="196.45"/>
    <n v="139.95500000000001"/>
    <n v="140.13300000000001"/>
    <n v="279.43099999999998"/>
    <n v="317.12700000000001"/>
    <n v="348.24599999999998"/>
    <n v="307.90499999999997"/>
    <n v="307.90499999999997"/>
    <n v="150.155"/>
    <n v="191.92599999999999"/>
    <n v="202.36799999999999"/>
    <n v="186.79300000000001"/>
    <n v="250.33799999999999"/>
    <n v="263.86799999999999"/>
    <n v="212.56"/>
    <n v="115.95399999999999"/>
    <n v="154.059"/>
    <n v="244.64400000000001"/>
    <n v="290.48599999999999"/>
    <n v="257.99900000000002"/>
    <n v="348.36399999999998"/>
    <n v="394.69099999999997"/>
    <n v="411.65800000000002"/>
    <n v="412.63299999999998"/>
    <n v="437.45499999999998"/>
  </r>
  <r>
    <x v="5"/>
    <s v="PEST CONTROL"/>
    <s v="SC JOHNSON"/>
    <x v="3"/>
    <x v="0"/>
    <x v="0"/>
    <x v="9"/>
    <x v="1"/>
    <n v="0"/>
    <n v="0"/>
    <n v="0.57004679999999996"/>
    <n v="7.88489E-2"/>
    <n v="2.2139807"/>
    <n v="2.3310659"/>
    <n v="1.6836120000000001"/>
    <n v="0.26276369999999999"/>
    <n v="0.15192849999999999"/>
    <n v="0.303873"/>
    <n v="0.8770097"/>
    <n v="1.1186335000000001"/>
    <n v="0"/>
    <n v="0.64162149999999996"/>
    <n v="7.5814599999999996E-2"/>
    <n v="1.2287443"/>
    <n v="0.89268210000000003"/>
    <n v="2.5208925"/>
    <n v="1.1508645"/>
    <n v="0.19157179999999999"/>
    <n v="0.79615659999999999"/>
    <n v="0.15306990000000001"/>
    <n v="0.81568459999999998"/>
    <n v="2.3411401000000001"/>
    <n v="3.8669799999999997E-2"/>
    <n v="3.8669799999999997E-2"/>
    <n v="7.7339599999999994E-2"/>
    <n v="0.92095110000000002"/>
    <n v="0.82610170000000005"/>
    <n v="7.6418899999999998E-2"/>
    <n v="3.82213E-2"/>
    <n v="0.90670550000000005"/>
    <n v="2.9502934999999999"/>
    <n v="2.0777907999999998"/>
    <n v="0.15293370000000001"/>
    <n v="4.7536503999999997"/>
    <n v="3.8774999999999997E-2"/>
    <n v="3.8755199999999997E-2"/>
  </r>
  <r>
    <x v="5"/>
    <s v="PEST CONTROL"/>
    <s v="SC JOHNSON"/>
    <x v="3"/>
    <x v="0"/>
    <x v="0"/>
    <x v="10"/>
    <x v="0"/>
    <n v="3609.2829999999999"/>
    <n v="4788.1580000000004"/>
    <n v="7009.9570000000003"/>
    <n v="7992.8459999999995"/>
    <n v="8412.9840000000004"/>
    <n v="6874.7359999999999"/>
    <n v="8150.9889999999996"/>
    <n v="6430.0720000000001"/>
    <n v="6612.2749999999996"/>
    <n v="7118.7449999999999"/>
    <n v="7073.277"/>
    <n v="7459.835"/>
    <n v="7129.2250000000004"/>
    <n v="7474.0330000000004"/>
    <n v="7751.0050000000001"/>
    <n v="6674.0739999999996"/>
    <n v="6027.8329999999996"/>
    <n v="4239.2849999999999"/>
    <n v="4567.7049999999999"/>
    <n v="4105.8429999999998"/>
    <n v="4614.5559999999996"/>
    <n v="4618.7709999999997"/>
    <n v="4202.2139999999999"/>
    <n v="3764.306"/>
    <n v="3979.7849999999999"/>
    <n v="4356.3680000000004"/>
    <n v="4032.471"/>
    <n v="4212.7299999999996"/>
    <n v="4468.7569999999996"/>
    <n v="5167.3329999999996"/>
    <n v="4225.8180000000002"/>
    <n v="4648.5630000000001"/>
    <n v="4639.0959999999995"/>
    <n v="4415.1440000000002"/>
    <n v="4324.9930000000004"/>
    <n v="4094.8310000000001"/>
    <n v="3575.6089999999999"/>
    <n v="4861.63"/>
  </r>
  <r>
    <x v="5"/>
    <s v="PEST CONTROL"/>
    <s v="SC JOHNSON"/>
    <x v="3"/>
    <x v="0"/>
    <x v="0"/>
    <x v="10"/>
    <x v="1"/>
    <n v="0"/>
    <n v="1.4536420000000001"/>
    <n v="5.3101447000000004"/>
    <n v="4.4441528000000003"/>
    <n v="4.4851364"/>
    <n v="5.6859951999999998"/>
    <n v="3.7608511999999998"/>
    <n v="7.4072697999999999"/>
    <n v="5.6818207999999997"/>
    <n v="11.337310799999999"/>
    <n v="3.5842922000000002"/>
    <n v="2.8854243999999998"/>
    <n v="7.4572253000000002"/>
    <n v="4.5211240000000004"/>
    <n v="4.4707479000000001"/>
    <n v="6.7780566999999996"/>
    <n v="2.2861669"/>
    <n v="5.4067821"/>
    <n v="7.9294209000000002"/>
    <n v="5.8282283000000001"/>
    <n v="7.2248929999999998"/>
    <n v="5.7868845999999996"/>
    <n v="6.3079535"/>
    <n v="4.5136417"/>
    <n v="6.7100232999999996"/>
    <n v="6.5764526999999999"/>
    <n v="2.1197249"/>
    <n v="4.2377355000000003"/>
    <n v="4.5757928999999997"/>
    <n v="3.4960521999999998"/>
    <n v="2.1989098"/>
    <n v="3.0279584000000002"/>
    <n v="7.3475191000000004"/>
    <n v="3.1851376999999998"/>
    <n v="6.1787878999999997"/>
    <n v="6.1060841999999997"/>
    <n v="5.9691064000000003"/>
    <n v="1.9847676999999999"/>
  </r>
  <r>
    <x v="5"/>
    <s v="PEST CONTROL"/>
    <s v="SC JOHNSON"/>
    <x v="3"/>
    <x v="0"/>
    <x v="3"/>
    <x v="11"/>
    <x v="0"/>
    <n v="163.85400000000001"/>
    <n v="222.47499999999999"/>
    <n v="368.44099999999997"/>
    <n v="294.93200000000002"/>
    <n v="272.42599999999999"/>
    <n v="190.68700000000001"/>
    <n v="190.87100000000001"/>
    <n v="205.59899999999999"/>
    <n v="147.72300000000001"/>
    <n v="145.33199999999999"/>
    <n v="108.126"/>
    <n v="124.497"/>
    <n v="125.613"/>
    <n v="125.58799999999999"/>
    <n v="89.097999999999999"/>
    <n v="90.037000000000006"/>
    <n v="91.667000000000002"/>
    <n v="113.232"/>
    <n v="36.088000000000001"/>
    <n v="76.569000000000003"/>
    <n v="76.569000000000003"/>
    <n v="76.569000000000003"/>
    <n v="76.569000000000003"/>
    <n v="33.814999999999998"/>
    <n v="33.814999999999998"/>
    <n v="68.094999999999999"/>
    <n v="68.094999999999999"/>
    <n v="44.31"/>
    <n v="44.31"/>
    <n v="36.307000000000002"/>
    <n v="36.307000000000002"/>
    <m/>
    <n v="36.307000000000002"/>
    <n v="36.307000000000002"/>
    <n v="36.860999999999997"/>
    <n v="35.917999999999999"/>
    <n v="35.917999999999999"/>
    <m/>
  </r>
  <r>
    <x v="5"/>
    <s v="PEST CONTROL"/>
    <s v="SC JOHNSON"/>
    <x v="3"/>
    <x v="0"/>
    <x v="3"/>
    <x v="11"/>
    <x v="1"/>
    <n v="0"/>
    <n v="0.57149689999999997"/>
    <n v="0.93450290000000003"/>
    <n v="1.0805720999999999"/>
    <n v="3.7540999999999998E-2"/>
    <n v="0"/>
    <n v="2.0338907000000002"/>
    <n v="0.95721040000000002"/>
    <n v="0.85775009999999996"/>
    <n v="1.0197217000000001"/>
    <n v="0"/>
    <n v="0"/>
    <n v="0.8570873"/>
    <n v="0"/>
    <n v="0"/>
    <n v="0"/>
    <n v="0.88406470000000004"/>
    <n v="0"/>
    <n v="0.84610779999999997"/>
    <n v="1.1125343000000001"/>
    <n v="0.845835"/>
    <n v="0"/>
    <n v="0"/>
    <n v="0"/>
    <n v="0"/>
    <n v="0.64911079999999999"/>
    <n v="0"/>
    <n v="0"/>
    <n v="0.411777"/>
    <n v="3.82095E-2"/>
    <n v="0.8141138"/>
    <n v="0"/>
    <n v="0"/>
    <n v="0.75388460000000002"/>
    <n v="0"/>
    <n v="0"/>
    <n v="0"/>
    <n v="0"/>
  </r>
  <r>
    <x v="5"/>
    <s v="PEST CONTROL"/>
    <s v="SC JOHNSON"/>
    <x v="3"/>
    <x v="0"/>
    <x v="3"/>
    <x v="8"/>
    <x v="0"/>
    <n v="5719.6559999999999"/>
    <n v="4618.0259999999998"/>
    <n v="4743.6629999999996"/>
    <n v="7967.3810000000003"/>
    <n v="5089.4480000000003"/>
    <n v="3384.373"/>
    <n v="2575.9969999999998"/>
    <n v="4763.0320000000002"/>
    <n v="3892.134"/>
    <n v="4114.2039999999997"/>
    <n v="3777.982"/>
    <n v="3614.8679999999999"/>
    <n v="3974.0740000000001"/>
    <n v="3077.8429999999998"/>
    <n v="4772.4880000000003"/>
    <n v="5386.7470000000003"/>
    <n v="5934.3459999999995"/>
    <n v="4881.9049999999997"/>
    <n v="5518.7460000000001"/>
    <n v="5014.0140000000001"/>
    <n v="4930.9210000000003"/>
    <n v="4977.2150000000001"/>
    <n v="4013.3310000000001"/>
    <n v="4059.395"/>
    <n v="3672.89"/>
    <n v="6285.5739999999996"/>
    <n v="7308.4610000000002"/>
    <n v="6128.0739999999996"/>
    <n v="5522.3620000000001"/>
    <n v="6970.9870000000001"/>
    <n v="5877.8159999999998"/>
    <n v="4923.8410000000003"/>
    <n v="4642.9030000000002"/>
    <n v="4841.9530000000004"/>
    <n v="4352.3969999999999"/>
    <n v="4216.7110000000002"/>
    <n v="4649.7979999999998"/>
    <n v="5445.2579999999998"/>
  </r>
  <r>
    <x v="5"/>
    <s v="PEST CONTROL"/>
    <s v="SC JOHNSON"/>
    <x v="3"/>
    <x v="0"/>
    <x v="3"/>
    <x v="8"/>
    <x v="1"/>
    <n v="0"/>
    <n v="4.4307650000000001"/>
    <n v="5.6640969999999999"/>
    <n v="6.3008809000000001"/>
    <n v="1.5814523"/>
    <n v="9.1808493000000002"/>
    <n v="6.3077934000000004"/>
    <n v="9.1337770999999996"/>
    <n v="8.5423299000000004"/>
    <n v="9.5533485000000002"/>
    <n v="6.9606066000000002"/>
    <n v="4.9426940000000004"/>
    <n v="2.1166258"/>
    <n v="5.5106555999999998"/>
    <n v="3.3472895"/>
    <n v="3.1709863"/>
    <n v="1.6134765"/>
    <n v="1.0222981"/>
    <n v="3.7554728000000002"/>
    <n v="7.0552076000000001"/>
    <n v="9.0974275000000002"/>
    <n v="5.2677861999999998"/>
    <n v="5.4806834999999996"/>
    <n v="9.0304155999999995"/>
    <n v="2.9763375999999999"/>
    <n v="1.7675567999999999"/>
    <n v="1.2180993"/>
    <n v="2.6215016000000002"/>
    <n v="0.2444721"/>
    <n v="6.7467613999999996"/>
    <n v="2.3663573000000002"/>
    <n v="3.2329696999999999"/>
    <n v="7.4278044000000003"/>
    <n v="7.4547540999999997"/>
    <n v="7.5926213999999996"/>
    <n v="8.5931610999999997"/>
    <n v="4.1773119999999997"/>
    <n v="2.3969287000000001"/>
  </r>
  <r>
    <x v="5"/>
    <s v="PEST CONTROL"/>
    <s v="SC JOHNSON"/>
    <x v="3"/>
    <x v="0"/>
    <x v="3"/>
    <x v="9"/>
    <x v="0"/>
    <n v="1896.87"/>
    <n v="1166.3889999999999"/>
    <n v="985.88"/>
    <n v="1123.079"/>
    <n v="1206.7829999999999"/>
    <n v="1433.652"/>
    <n v="1416.2760000000001"/>
    <n v="1288.6179999999999"/>
    <n v="1191.1559999999999"/>
    <n v="1394.865"/>
    <n v="1318.039"/>
    <n v="1320.4939999999999"/>
    <n v="1918.5509999999999"/>
    <n v="2109.2449999999999"/>
    <n v="2489.2660000000001"/>
    <n v="2638.4749999999999"/>
    <n v="2752.7849999999999"/>
    <n v="2436.143"/>
    <n v="2010.7909999999999"/>
    <n v="1836.1769999999999"/>
    <n v="1760.8140000000001"/>
    <n v="1725.508"/>
    <n v="1683.951"/>
    <n v="1761.596"/>
    <n v="1830.1469999999999"/>
    <n v="2025.8710000000001"/>
    <n v="2130.8440000000001"/>
    <n v="2157.1350000000002"/>
    <n v="2775.1759999999999"/>
    <n v="2409"/>
    <n v="2542.9079999999999"/>
    <n v="3170.4349999999999"/>
    <n v="2869.502"/>
    <n v="2844.587"/>
    <n v="2887.3780000000002"/>
    <n v="2749.723"/>
    <n v="2517.6529999999998"/>
    <n v="2693.6120000000001"/>
  </r>
  <r>
    <x v="5"/>
    <s v="PEST CONTROL"/>
    <s v="SC JOHNSON"/>
    <x v="3"/>
    <x v="0"/>
    <x v="3"/>
    <x v="9"/>
    <x v="1"/>
    <n v="0"/>
    <n v="2.3936996000000001"/>
    <n v="0.1121404"/>
    <n v="2.2301042"/>
    <n v="1.338074"/>
    <n v="0.33771060000000003"/>
    <n v="5.1968699000000003"/>
    <n v="4.9749793000000002"/>
    <n v="3.1866235999999999"/>
    <n v="4.0767597999999996"/>
    <n v="1.0710436999999999"/>
    <n v="0.11389829999999999"/>
    <n v="1.253504"/>
    <n v="5.6248556000000001"/>
    <n v="2.6435027999999998"/>
    <n v="2.3343341"/>
    <n v="2.3487863999999998"/>
    <n v="3.1468644000000001"/>
    <n v="3.7191502999999999"/>
    <n v="6.7634052999999996"/>
    <n v="6.7068893999999997"/>
    <n v="5.6169003999999996"/>
    <n v="2.7113016000000001"/>
    <n v="4.0891646000000001"/>
    <n v="1.9222372999999999"/>
    <n v="2.8778432999999999"/>
    <n v="4.0746389000000001"/>
    <n v="2.7131213999999999"/>
    <n v="5.1343379999999996"/>
    <n v="3.8110510999999998"/>
    <n v="5.3930258000000002"/>
    <n v="6.1837860999999998"/>
    <n v="6.4316550000000001"/>
    <n v="10.3067355"/>
    <n v="8.6667509999999996"/>
    <n v="5.6397330999999999"/>
    <n v="4.8106247"/>
    <n v="1.8175003999999999"/>
  </r>
  <r>
    <x v="5"/>
    <s v="PEST CONTROL"/>
    <s v="SC JOHNSON"/>
    <x v="3"/>
    <x v="0"/>
    <x v="3"/>
    <x v="10"/>
    <x v="0"/>
    <n v="10023.037"/>
    <n v="8880.3960000000006"/>
    <n v="9900.7459999999992"/>
    <n v="10297.157999999999"/>
    <n v="13781.523999999999"/>
    <n v="11348.592000000001"/>
    <n v="13567.5"/>
    <n v="11780.18"/>
    <n v="9961.1730000000007"/>
    <n v="11578.063"/>
    <n v="10646.126"/>
    <n v="10927.907999999999"/>
    <n v="10499.821"/>
    <n v="11295.808000000001"/>
    <n v="11836.594999999999"/>
    <n v="14329.727000000001"/>
    <n v="12279.368"/>
    <n v="10328.64"/>
    <n v="10260.94"/>
    <n v="11517.567999999999"/>
    <n v="11083.786"/>
    <n v="8596.9189999999999"/>
    <n v="9553.6090000000004"/>
    <n v="8526.018"/>
    <n v="10028.228999999999"/>
    <n v="8970.1110000000008"/>
    <n v="11663.759"/>
    <n v="12805.819"/>
    <n v="14204.348"/>
    <n v="12791.242"/>
    <n v="14035.555"/>
    <n v="12956.958000000001"/>
    <n v="11817.155000000001"/>
    <n v="11270.191999999999"/>
    <n v="11852.362999999999"/>
    <n v="11856.885"/>
    <n v="11755.458000000001"/>
    <n v="12350.278"/>
  </r>
  <r>
    <x v="5"/>
    <s v="PEST CONTROL"/>
    <s v="SC JOHNSON"/>
    <x v="3"/>
    <x v="0"/>
    <x v="3"/>
    <x v="10"/>
    <x v="1"/>
    <n v="0"/>
    <n v="2.7406131"/>
    <n v="12.328000100000001"/>
    <n v="5.4691134000000003"/>
    <n v="5.6614087"/>
    <n v="7.0393891000000002"/>
    <n v="6.8461409"/>
    <n v="8.9246172000000001"/>
    <n v="12.599959399999999"/>
    <n v="13.3536219"/>
    <n v="4.9289288999999998"/>
    <n v="9.2214744999999994"/>
    <n v="14.3061817"/>
    <n v="4.1185223000000004"/>
    <n v="2.1253858999999999"/>
    <n v="7.4849576000000004"/>
    <n v="4.9083342999999999"/>
    <n v="5.2517446000000003"/>
    <n v="5.3114790000000003"/>
    <n v="8.1075882999999997"/>
    <n v="5.7568333000000003"/>
    <n v="11.209348"/>
    <n v="6.5945691999999996"/>
    <n v="9.2196263999999992"/>
    <n v="6.0269598000000002"/>
    <n v="5.9648515"/>
    <n v="2.8329897000000002"/>
    <n v="4.5668867000000004"/>
    <n v="3.0364257000000001"/>
    <n v="4.9435416999999999"/>
    <n v="3.5249597000000001"/>
    <n v="6.662426"/>
    <n v="7.3487042999999996"/>
    <n v="9.1858512999999995"/>
    <n v="11.708028199999999"/>
    <n v="13.948022399999999"/>
    <n v="12.217276699999999"/>
    <n v="2.9173328999999999"/>
  </r>
  <r>
    <x v="5"/>
    <s v="PEST CONTROL"/>
    <s v="SC JOHNSON"/>
    <x v="4"/>
    <x v="6"/>
    <x v="3"/>
    <x v="0"/>
    <x v="0"/>
    <n v="2305.73"/>
    <n v="2199.4299999999998"/>
    <n v="3227.511"/>
    <n v="2925.252"/>
    <n v="2952.326"/>
    <n v="2762.3359999999998"/>
    <n v="2476.6350000000002"/>
    <n v="2113.5239999999999"/>
    <n v="1935.4690000000001"/>
    <n v="1864.7249999999999"/>
    <n v="1869.461"/>
    <n v="1641.2539999999999"/>
    <n v="1867.1780000000001"/>
    <n v="2154.6930000000002"/>
    <n v="2181.5949999999998"/>
    <n v="2003.662"/>
    <n v="1904.9390000000001"/>
    <n v="1369.961"/>
    <n v="1330.836"/>
    <n v="1125.183"/>
    <n v="1105.2"/>
    <n v="1028.5989999999999"/>
    <n v="926.88"/>
    <n v="945.96"/>
    <n v="895.077"/>
    <n v="1301.3689999999999"/>
    <n v="1260.8810000000001"/>
    <n v="1138.107"/>
    <n v="1385.7070000000001"/>
    <n v="1289.1949999999999"/>
    <n v="1593.97"/>
    <n v="1228.8679999999999"/>
    <n v="1765.6590000000001"/>
    <n v="2185.7860000000001"/>
    <n v="1985.2429999999999"/>
    <n v="2241.7240000000002"/>
    <n v="2357.1179999999999"/>
    <n v="2194.63"/>
  </r>
  <r>
    <x v="5"/>
    <s v="PEST CONTROL"/>
    <s v="SC JOHNSON"/>
    <x v="4"/>
    <x v="6"/>
    <x v="3"/>
    <x v="0"/>
    <x v="1"/>
    <n v="0"/>
    <n v="0.85126349999999995"/>
    <n v="8.4996405999999993"/>
    <n v="3.4942810999999998"/>
    <n v="3.9290790000000002"/>
    <n v="6.0666700999999996"/>
    <n v="3.5902718999999998"/>
    <n v="5.6834275999999999"/>
    <n v="4.6834987999999997"/>
    <n v="9.0320543999999998"/>
    <n v="9.2701325000000008"/>
    <n v="3.6672984"/>
    <n v="6.1382149000000004"/>
    <n v="4.4669632999999997"/>
    <n v="4.7553936999999999"/>
    <n v="4.680021"/>
    <n v="3.2710355999999998"/>
    <n v="3.8640664"/>
    <n v="6.3875529000000002"/>
    <n v="2.872045"/>
    <n v="7.6420459000000003"/>
    <n v="4.9273588000000004"/>
    <n v="4.6432044000000001"/>
    <n v="6.3199414000000003"/>
    <n v="2.2737072"/>
    <n v="2.9323676999999999"/>
    <n v="1.8653934000000001"/>
    <n v="3.3935270000000002"/>
    <n v="3.1350174000000002"/>
    <n v="3.9748933000000002"/>
    <n v="2.0540509999999998"/>
    <n v="1.7584407"/>
    <n v="9.0812226999999996"/>
    <n v="7.1472958000000002"/>
    <n v="5.1602113999999997"/>
    <n v="4.9355172999999999"/>
    <n v="10.1084189"/>
    <n v="0.8690455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A5FC7-1026-464B-806E-E63BE64AFEC4}" name="TablaDiná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5:AC19" firstHeaderRow="0" firstDataRow="1" firstDataCol="2" rowPageCount="2" colPageCount="1"/>
  <pivotFields count="36">
    <pivotField axis="axisRow" compact="0" outline="0" multipleItemSelectionAllowed="1" showAll="0" defaultSubtotal="0">
      <items count="4">
        <item h="1" x="0"/>
        <item x="1"/>
        <item h="1" x="2"/>
        <item h="1" x="3"/>
      </items>
    </pivotField>
    <pivotField compact="0" outline="0" showAll="0" defaultSubtotal="0"/>
    <pivotField axis="axisPage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axis="axisPage" compact="0" outline="0" multipleItemSelectionAllowed="1" showAll="0" defaultSubtotal="0">
      <items count="13">
        <item x="8"/>
        <item x="0"/>
        <item x="9"/>
        <item x="1"/>
        <item x="10"/>
        <item h="1" x="7"/>
        <item x="11"/>
        <item x="12"/>
        <item h="1" x="3"/>
        <item h="1" x="4"/>
        <item h="1" x="5"/>
        <item h="1" x="6"/>
        <item x="2"/>
      </items>
    </pivotField>
    <pivotField axis="axisRow" compact="0" outline="0" showAll="0" defaultSubtotal="0">
      <items count="4">
        <item x="3"/>
        <item x="1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5"/>
  </rowFields>
  <rowItems count="4">
    <i>
      <x v="1"/>
      <x/>
    </i>
    <i r="1">
      <x v="1"/>
    </i>
    <i r="1">
      <x v="3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pageFields count="2">
    <pageField fld="2" hier="-1"/>
    <pageField fld="4" hier="-1"/>
  </pageFields>
  <dataFields count="27">
    <dataField name="Suma de jul-22" fld="9" baseField="0" baseItem="0"/>
    <dataField name="Suma de ago-22" fld="10" baseField="0" baseItem="0"/>
    <dataField name="Suma de sep-22" fld="11" baseField="0" baseItem="0"/>
    <dataField name="Suma de oct-22" fld="12" baseField="0" baseItem="0"/>
    <dataField name="Suma de nov-22" fld="13" baseField="0" baseItem="0"/>
    <dataField name="Suma de dic-22" fld="14" baseField="0" baseItem="0"/>
    <dataField name="Suma de ene-23" fld="15" baseField="0" baseItem="0"/>
    <dataField name="Suma de feb-23" fld="16" baseField="0" baseItem="0"/>
    <dataField name="Suma de mar-23" fld="17" baseField="0" baseItem="0"/>
    <dataField name="Suma de abr-23" fld="18" baseField="0" baseItem="0"/>
    <dataField name="Suma de may-23" fld="19" baseField="0" baseItem="0"/>
    <dataField name="Suma de jun-23" fld="20" baseField="0" baseItem="0"/>
    <dataField name="Suma de jul-23" fld="21" baseField="0" baseItem="0"/>
    <dataField name="Suma de ago-23" fld="22" baseField="0" baseItem="0"/>
    <dataField name="Suma de sep-23" fld="23" baseField="0" baseItem="0"/>
    <dataField name="Suma de oct-23" fld="24" baseField="0" baseItem="0"/>
    <dataField name="Suma de nov-23" fld="25" baseField="0" baseItem="0"/>
    <dataField name="Suma de dic-23" fld="26" baseField="0" baseItem="0"/>
    <dataField name="Suma de ene-24" fld="27" baseField="0" baseItem="0"/>
    <dataField name="Suma de feb-24" fld="28" baseField="0" baseItem="0"/>
    <dataField name="Suma de mar-24" fld="29" baseField="0" baseItem="0"/>
    <dataField name="Suma de abr-24" fld="30" baseField="0" baseItem="0"/>
    <dataField name="Suma de may-24" fld="31" baseField="0" baseItem="0"/>
    <dataField name="Suma de jun-24" fld="32" baseField="0" baseItem="0"/>
    <dataField name="Suma de jul-24" fld="33" baseField="0" baseItem="0"/>
    <dataField name="Suma de ago-24" fld="34" baseField="0" baseItem="0"/>
    <dataField name="Suma de sep-24" fld="3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70368-2B09-4C3D-9597-76962DD8F9A5}" name="TablaDiná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B10" firstHeaderRow="0" firstDataRow="1" firstDataCol="1" rowPageCount="3" colPageCount="1"/>
  <pivotFields count="35">
    <pivotField axis="axisPage" showAll="0">
      <items count="5">
        <item x="0"/>
        <item x="1"/>
        <item x="2"/>
        <item x="3"/>
        <item t="default"/>
      </items>
    </pivotField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axis="axisPage" multipleItemSelectionAllowed="1" showAll="0">
      <items count="14">
        <item x="8"/>
        <item x="0"/>
        <item x="9"/>
        <item x="1"/>
        <item x="10"/>
        <item x="7"/>
        <item x="11"/>
        <item x="12"/>
        <item x="3"/>
        <item x="4"/>
        <item x="5"/>
        <item x="6"/>
        <item x="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pageFields count="3">
    <pageField fld="0" hier="-1"/>
    <pageField fld="2" hier="-1"/>
    <pageField fld="4" hier="-1"/>
  </pageFields>
  <dataFields count="27">
    <dataField name="Suma de jul-22" fld="8" baseField="0" baseItem="0"/>
    <dataField name="Suma de ago-22" fld="9" baseField="0" baseItem="0"/>
    <dataField name="Suma de sep-22" fld="10" baseField="0" baseItem="0"/>
    <dataField name="Suma de oct-22" fld="11" baseField="0" baseItem="0"/>
    <dataField name="Suma de nov-22" fld="12" baseField="0" baseItem="0"/>
    <dataField name="Suma de dic-22" fld="13" baseField="0" baseItem="0"/>
    <dataField name="Suma de ene-23" fld="14" baseField="0" baseItem="0"/>
    <dataField name="Suma de feb-23" fld="15" baseField="0" baseItem="0"/>
    <dataField name="Suma de mar-23" fld="16" baseField="0" baseItem="0"/>
    <dataField name="Suma de abr-23" fld="17" baseField="0" baseItem="0"/>
    <dataField name="Suma de may-23" fld="18" baseField="0" baseItem="0"/>
    <dataField name="Suma de jun-23" fld="19" baseField="0" baseItem="0"/>
    <dataField name="Suma de jul-23" fld="20" baseField="0" baseItem="0"/>
    <dataField name="Suma de ago-23" fld="21" baseField="0" baseItem="0"/>
    <dataField name="Suma de sep-23" fld="22" baseField="0" baseItem="0"/>
    <dataField name="Suma de oct-23" fld="23" baseField="0" baseItem="0"/>
    <dataField name="Suma de nov-23" fld="24" baseField="0" baseItem="0"/>
    <dataField name="Suma de dic-23" fld="25" baseField="0" baseItem="0"/>
    <dataField name="Suma de ene-24" fld="26" baseField="0" baseItem="0"/>
    <dataField name="Suma de feb-24" fld="27" baseField="0" baseItem="0"/>
    <dataField name="Suma de mar-24" fld="28" baseField="0" baseItem="0"/>
    <dataField name="Suma de abr-24" fld="29" baseField="0" baseItem="0"/>
    <dataField name="Suma de may-24" fld="30" baseField="0" baseItem="0"/>
    <dataField name="Suma de jun-24" fld="31" baseField="0" baseItem="0"/>
    <dataField name="Suma de jul-24" fld="32" baseField="0" baseItem="0"/>
    <dataField name="Suma de ago-24" fld="33" baseField="0" baseItem="0"/>
    <dataField name="Suma de sep-24" fld="34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36C29-E64C-4FA2-8E5D-1DA5793E236E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6:AM11" firstHeaderRow="0" firstDataRow="1" firstDataCol="2" rowPageCount="4" colPageCount="1"/>
  <pivotFields count="46">
    <pivotField axis="axisRow" compact="0" outline="0" showAll="0" defaultSubtotal="0">
      <items count="6">
        <item x="5"/>
        <item x="4"/>
        <item h="1" x="3"/>
        <item x="2"/>
        <item h="1" x="1"/>
        <item x="0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5">
        <item x="1"/>
        <item h="1" x="2"/>
        <item x="3"/>
        <item x="4"/>
        <item h="1" x="0"/>
      </items>
    </pivotField>
    <pivotField axis="axisPage" compact="0" outline="0" multipleItemSelectionAllowed="1" showAll="0" defaultSubtotal="0">
      <items count="7">
        <item x="1"/>
        <item x="2"/>
        <item x="0"/>
        <item x="5"/>
        <item x="3"/>
        <item x="4"/>
        <item x="6"/>
      </items>
    </pivotField>
    <pivotField axis="axisRow" compact="0" outline="0" showAll="0" defaultSubtotal="0">
      <items count="4">
        <item h="1" x="2"/>
        <item h="1" x="0"/>
        <item h="1" x="1"/>
        <item x="3"/>
      </items>
    </pivotField>
    <pivotField axis="axisPage" compact="0" outline="0" multipleItemSelectionAllowed="1" showAll="0" defaultSubtotal="0">
      <items count="13">
        <item x="0"/>
        <item x="11"/>
        <item x="4"/>
        <item x="5"/>
        <item x="7"/>
        <item x="8"/>
        <item x="9"/>
        <item x="10"/>
        <item x="12"/>
        <item x="1"/>
        <item x="2"/>
        <item x="3"/>
        <item x="6"/>
      </items>
    </pivotField>
    <pivotField axis="axisPage" compact="0" outline="0" multipleItemSelectionAllowed="1" showAll="0" defaultSubtotal="0">
      <items count="11">
        <item h="1" x="1"/>
        <item h="1" x="4"/>
        <item h="1" m="1" x="8"/>
        <item x="0"/>
        <item h="1" m="1" x="10"/>
        <item h="1" x="3"/>
        <item m="1" x="9"/>
        <item h="1" x="2"/>
        <item m="1" x="6"/>
        <item h="1" m="1" x="7"/>
        <item h="1" x="5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ubtotalTop="0" showAll="0" defaultSubtotal="0"/>
  </pivotFields>
  <rowFields count="2">
    <field x="0"/>
    <field x="5"/>
  </rowFields>
  <rowItems count="5">
    <i>
      <x/>
      <x v="3"/>
    </i>
    <i>
      <x v="1"/>
      <x v="3"/>
    </i>
    <i>
      <x v="3"/>
      <x v="3"/>
    </i>
    <i>
      <x v="5"/>
      <x v="3"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pageFields count="4">
    <pageField fld="7" hier="-1"/>
    <pageField fld="3" hier="-1"/>
    <pageField fld="4" hier="-1"/>
    <pageField fld="6" hier="-1"/>
  </pageFields>
  <dataFields count="37">
    <dataField name="Suma de Sep 21 - w/e 22/09/21" fld="8" baseField="0" baseItem="0"/>
    <dataField name="Suma de Oct 21 - w/e 23/10/21" fld="9" baseField="0" baseItem="0"/>
    <dataField name="Suma de Nov 21 - w/e 22/11/21" fld="10" baseField="0" baseItem="0"/>
    <dataField name="Suma de Dec 21 - w/e 23/12/21" fld="11" baseField="0" baseItem="0"/>
    <dataField name="Suma de Jan 22 - w/e 23/01/22" fld="12" baseField="0" baseItem="0"/>
    <dataField name="Suma de Feb 22 - w/e 20/02/22" fld="13" baseField="0" baseItem="0"/>
    <dataField name="Suma de Mar 22 - w/e 23/03/22" fld="14" baseField="0" baseItem="0"/>
    <dataField name="Suma de Apr 22 - w/e 22/04/22" fld="15" baseField="0" baseItem="0"/>
    <dataField name="Suma de May 22 - w/e 23/05/22" fld="16" baseField="0" baseItem="0"/>
    <dataField name="Suma de Jun 22 - w/e 22/06/22" fld="17" baseField="0" baseItem="0"/>
    <dataField name="Suma de Jul 22 - w/e 23/07/22" fld="18" baseField="0" baseItem="0"/>
    <dataField name="Suma de Aug 22 - w/e 23/08/22" fld="19" baseField="0" baseItem="0"/>
    <dataField name="Suma de Sep 22 - w/e 22/09/22" fld="20" baseField="0" baseItem="0"/>
    <dataField name="Suma de Oct 22 - w/e 23/10/22" fld="21" baseField="0" baseItem="0"/>
    <dataField name="Suma de Nov 22 - w/e 22/11/22" fld="22" baseField="0" baseItem="0"/>
    <dataField name="Suma de Dec 22 - w/e 23/12/22" fld="23" baseField="0" baseItem="0"/>
    <dataField name="Suma de Jan 23 - w/e 23/01/23" fld="24" baseField="0" baseItem="0"/>
    <dataField name="Suma de Feb 23 - w/e 20/02/23" fld="25" baseField="0" baseItem="0"/>
    <dataField name="Suma de Mar 23 - w/e 23/03/23" fld="26" baseField="0" baseItem="0"/>
    <dataField name="Suma de Apr 23 - w/e 22/04/23" fld="27" baseField="0" baseItem="0"/>
    <dataField name="Suma de May 23 - w/e 23/05/23" fld="28" baseField="0" baseItem="0"/>
    <dataField name="Suma de Jun 23 - w/e 22/06/23" fld="29" baseField="0" baseItem="0"/>
    <dataField name="Suma de Jul 23 - w/e 23/07/23" fld="30" baseField="0" baseItem="0"/>
    <dataField name="Suma de Aug 23 - w/e 23/08/23" fld="31" baseField="0" baseItem="0"/>
    <dataField name="Suma de Sep 23 - w/e 22/09/23" fld="32" baseField="0" baseItem="0"/>
    <dataField name="Suma de Oct 23 - w/e 23/10/23" fld="33" baseField="0" baseItem="0"/>
    <dataField name="Suma de Nov 23 - w/e 22/11/23" fld="34" baseField="0" baseItem="0"/>
    <dataField name="Suma de Dec 23 - w/e 23/12/23" fld="35" baseField="0" baseItem="0"/>
    <dataField name="Suma de Jan 24 - w/e 23/01/24" fld="36" baseField="0" baseItem="0"/>
    <dataField name="Suma de Feb 24 - w/e 21/02/24" fld="37" baseField="0" baseItem="0"/>
    <dataField name="Suma de Mar 24 - w/e 23/03/24" fld="38" baseField="0" baseItem="0"/>
    <dataField name="Suma de Apr 24 - w/e 22/04/24" fld="39" baseField="0" baseItem="0"/>
    <dataField name="Suma de May 24 - w/e 23/05/24" fld="40" baseField="0" baseItem="0"/>
    <dataField name="Suma de Jun 24 - w/e 22/06/24" fld="41" baseField="0" baseItem="0"/>
    <dataField name="Suma de Jul 24 - w/e 23/07/24" fld="42" baseField="0" baseItem="0"/>
    <dataField name="Suma de Aug 24 - w/e 23/08/24" fld="43" baseField="0" baseItem="0"/>
    <dataField name="Suma de Sep 24 - w/e 22/09/24" fld="4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64999-A073-4952-9A18-72ED642D5440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70:AM75" firstHeaderRow="0" firstDataRow="1" firstDataCol="2" rowPageCount="4" colPageCount="1"/>
  <pivotFields count="46">
    <pivotField axis="axisRow" compact="0" outline="0" showAll="0" defaultSubtotal="0">
      <items count="6">
        <item h="1" x="5"/>
        <item h="1" x="4"/>
        <item x="3"/>
        <item h="1" x="2"/>
        <item h="1" x="1"/>
        <item h="1" x="0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5">
        <item x="1"/>
        <item x="2"/>
        <item x="3"/>
        <item x="4"/>
        <item x="0"/>
      </items>
    </pivotField>
    <pivotField axis="axisPage" compact="0" outline="0" multipleItemSelectionAllowed="1" showAll="0" defaultSubtotal="0">
      <items count="7">
        <item x="1"/>
        <item x="2"/>
        <item x="0"/>
        <item x="5"/>
        <item x="3"/>
        <item x="4"/>
        <item x="6"/>
      </items>
    </pivotField>
    <pivotField axis="axisRow" compact="0" outline="0" showAll="0" defaultSubtotal="0">
      <items count="4">
        <item x="2"/>
        <item x="0"/>
        <item x="1"/>
        <item x="3"/>
      </items>
    </pivotField>
    <pivotField axis="axisPage" compact="0" outline="0" multipleItemSelectionAllowed="1" showAll="0" defaultSubtotal="0">
      <items count="13">
        <item x="0"/>
        <item x="11"/>
        <item x="4"/>
        <item x="5"/>
        <item x="7"/>
        <item x="8"/>
        <item x="9"/>
        <item x="10"/>
        <item x="12"/>
        <item x="1"/>
        <item x="2"/>
        <item x="3"/>
        <item x="6"/>
      </items>
    </pivotField>
    <pivotField axis="axisPage" compact="0" outline="0" multipleItemSelectionAllowed="1" showAll="0" defaultSubtotal="0">
      <items count="11">
        <item x="1"/>
        <item h="1" x="4"/>
        <item h="1" m="1" x="8"/>
        <item h="1" x="0"/>
        <item h="1" m="1" x="10"/>
        <item h="1" x="3"/>
        <item m="1" x="9"/>
        <item h="1" x="2"/>
        <item m="1" x="6"/>
        <item h="1" m="1" x="7"/>
        <item h="1" x="5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ubtotalTop="0" showAll="0" defaultSubtotal="0"/>
  </pivotFields>
  <rowFields count="2">
    <field x="0"/>
    <field x="5"/>
  </rowFields>
  <rowItems count="5">
    <i>
      <x v="2"/>
      <x/>
    </i>
    <i r="1">
      <x v="1"/>
    </i>
    <i r="1">
      <x v="2"/>
    </i>
    <i r="1">
      <x v="3"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pageFields count="4">
    <pageField fld="7" hier="-1"/>
    <pageField fld="3" hier="-1"/>
    <pageField fld="4" hier="-1"/>
    <pageField fld="6" hier="-1"/>
  </pageFields>
  <dataFields count="37">
    <dataField name="Suma de Sep 21 - w/e 22/09/21" fld="8" baseField="0" baseItem="0"/>
    <dataField name="Suma de Oct 21 - w/e 23/10/21" fld="9" baseField="0" baseItem="0"/>
    <dataField name="Suma de Nov 21 - w/e 22/11/21" fld="10" baseField="0" baseItem="0"/>
    <dataField name="Suma de Dec 21 - w/e 23/12/21" fld="11" baseField="0" baseItem="0"/>
    <dataField name="Suma de Jan 22 - w/e 23/01/22" fld="12" baseField="0" baseItem="0"/>
    <dataField name="Suma de Feb 22 - w/e 20/02/22" fld="13" baseField="0" baseItem="0"/>
    <dataField name="Suma de Mar 22 - w/e 23/03/22" fld="14" baseField="0" baseItem="0"/>
    <dataField name="Suma de Apr 22 - w/e 22/04/22" fld="15" baseField="0" baseItem="0"/>
    <dataField name="Suma de May 22 - w/e 23/05/22" fld="16" baseField="0" baseItem="0"/>
    <dataField name="Suma de Jun 22 - w/e 22/06/22" fld="17" baseField="0" baseItem="0"/>
    <dataField name="Suma de Jul 22 - w/e 23/07/22" fld="18" baseField="0" baseItem="0"/>
    <dataField name="Suma de Aug 22 - w/e 23/08/22" fld="19" baseField="0" baseItem="0"/>
    <dataField name="Suma de Sep 22 - w/e 22/09/22" fld="20" baseField="0" baseItem="0"/>
    <dataField name="Suma de Oct 22 - w/e 23/10/22" fld="21" baseField="0" baseItem="0"/>
    <dataField name="Suma de Nov 22 - w/e 22/11/22" fld="22" baseField="0" baseItem="0"/>
    <dataField name="Suma de Dec 22 - w/e 23/12/22" fld="23" baseField="0" baseItem="0"/>
    <dataField name="Suma de Jan 23 - w/e 23/01/23" fld="24" baseField="0" baseItem="0"/>
    <dataField name="Suma de Feb 23 - w/e 20/02/23" fld="25" baseField="0" baseItem="0"/>
    <dataField name="Suma de Mar 23 - w/e 23/03/23" fld="26" baseField="0" baseItem="0"/>
    <dataField name="Suma de Apr 23 - w/e 22/04/23" fld="27" baseField="0" baseItem="0"/>
    <dataField name="Suma de May 23 - w/e 23/05/23" fld="28" baseField="0" baseItem="0"/>
    <dataField name="Suma de Jun 23 - w/e 22/06/23" fld="29" baseField="0" baseItem="0"/>
    <dataField name="Suma de Jul 23 - w/e 23/07/23" fld="30" baseField="0" baseItem="0"/>
    <dataField name="Suma de Aug 23 - w/e 23/08/23" fld="31" baseField="0" baseItem="0"/>
    <dataField name="Suma de Sep 23 - w/e 22/09/23" fld="32" baseField="0" baseItem="0"/>
    <dataField name="Suma de Oct 23 - w/e 23/10/23" fld="33" baseField="0" baseItem="0"/>
    <dataField name="Suma de Nov 23 - w/e 22/11/23" fld="34" baseField="0" baseItem="0"/>
    <dataField name="Suma de Dec 23 - w/e 23/12/23" fld="35" baseField="0" baseItem="0"/>
    <dataField name="Suma de Jan 24 - w/e 23/01/24" fld="36" baseField="0" baseItem="0"/>
    <dataField name="Suma de Feb 24 - w/e 21/02/24" fld="37" baseField="0" baseItem="0"/>
    <dataField name="Suma de Mar 24 - w/e 23/03/24" fld="38" baseField="0" baseItem="0"/>
    <dataField name="Suma de Apr 24 - w/e 22/04/24" fld="39" baseField="0" baseItem="0"/>
    <dataField name="Suma de May 24 - w/e 23/05/24" fld="40" baseField="0" baseItem="0"/>
    <dataField name="Suma de Jun 24 - w/e 22/06/24" fld="41" baseField="0" baseItem="0"/>
    <dataField name="Suma de Jul 24 - w/e 23/07/24" fld="42" baseField="0" baseItem="0"/>
    <dataField name="Suma de Aug 24 - w/e 23/08/24" fld="43" baseField="0" baseItem="0"/>
    <dataField name="Suma de Sep 24 - w/e 22/09/24" fld="44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CA852-6532-4AF0-A527-81F52CF17FCC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AL11" firstHeaderRow="0" firstDataRow="1" firstDataCol="1" rowPageCount="5" colPageCount="1"/>
  <pivotFields count="46">
    <pivotField axis="axisPage" multipleItemSelectionAllowed="1" showAll="0">
      <items count="7">
        <item x="5"/>
        <item x="4"/>
        <item h="1" x="3"/>
        <item x="2"/>
        <item h="1" x="1"/>
        <item x="0"/>
        <item t="default"/>
      </items>
    </pivotField>
    <pivotField showAll="0"/>
    <pivotField showAll="0"/>
    <pivotField axis="axisPage" multipleItemSelectionAllowed="1" showAll="0">
      <items count="6">
        <item x="1"/>
        <item h="1" x="2"/>
        <item x="3"/>
        <item x="4"/>
        <item h="1" x="0"/>
        <item t="default"/>
      </items>
    </pivotField>
    <pivotField axis="axisPage" multipleItemSelectionAllowed="1" showAll="0">
      <items count="8">
        <item x="1"/>
        <item x="2"/>
        <item x="0"/>
        <item x="5"/>
        <item x="3"/>
        <item x="4"/>
        <item x="6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Page" showAll="0">
      <items count="14">
        <item x="0"/>
        <item x="11"/>
        <item x="4"/>
        <item x="5"/>
        <item x="7"/>
        <item x="8"/>
        <item x="9"/>
        <item x="10"/>
        <item x="12"/>
        <item x="1"/>
        <item x="2"/>
        <item x="3"/>
        <item x="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5"/>
  </rowFields>
  <rowItems count="4">
    <i>
      <x/>
    </i>
    <i>
      <x v="1"/>
    </i>
    <i>
      <x v="3"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pageFields count="5">
    <pageField fld="0" hier="-1"/>
    <pageField fld="7" hier="-1"/>
    <pageField fld="3" hier="-1"/>
    <pageField fld="4" hier="-1"/>
    <pageField fld="6" hier="-1"/>
  </pageFields>
  <dataFields count="37">
    <dataField name="Suma de Sep 21 - w/e 22/09/21" fld="8" baseField="0" baseItem="0"/>
    <dataField name="Suma de Oct 21 - w/e 23/10/21" fld="9" baseField="0" baseItem="0"/>
    <dataField name="Suma de Nov 21 - w/e 22/11/21" fld="10" baseField="0" baseItem="0"/>
    <dataField name="Suma de Dec 21 - w/e 23/12/21" fld="11" baseField="0" baseItem="0"/>
    <dataField name="Suma de Jan 22 - w/e 23/01/22" fld="12" baseField="0" baseItem="0"/>
    <dataField name="Suma de Feb 22 - w/e 20/02/22" fld="13" baseField="0" baseItem="0"/>
    <dataField name="Suma de Mar 22 - w/e 23/03/22" fld="14" baseField="0" baseItem="0"/>
    <dataField name="Suma de Apr 22 - w/e 22/04/22" fld="15" baseField="0" baseItem="0"/>
    <dataField name="Suma de May 22 - w/e 23/05/22" fld="16" baseField="0" baseItem="0"/>
    <dataField name="Suma de Jun 22 - w/e 22/06/22" fld="17" baseField="0" baseItem="0"/>
    <dataField name="Suma de Jul 22 - w/e 23/07/22" fld="18" baseField="0" baseItem="0"/>
    <dataField name="Suma de Aug 22 - w/e 23/08/22" fld="19" baseField="0" baseItem="0"/>
    <dataField name="Suma de Sep 22 - w/e 22/09/22" fld="20" baseField="0" baseItem="0"/>
    <dataField name="Suma de Oct 22 - w/e 23/10/22" fld="21" baseField="0" baseItem="0"/>
    <dataField name="Suma de Nov 22 - w/e 22/11/22" fld="22" baseField="0" baseItem="0"/>
    <dataField name="Suma de Dec 22 - w/e 23/12/22" fld="23" baseField="0" baseItem="0"/>
    <dataField name="Suma de Jan 23 - w/e 23/01/23" fld="24" baseField="0" baseItem="0"/>
    <dataField name="Suma de Feb 23 - w/e 20/02/23" fld="25" baseField="0" baseItem="0"/>
    <dataField name="Suma de Mar 23 - w/e 23/03/23" fld="26" baseField="0" baseItem="0"/>
    <dataField name="Suma de Apr 23 - w/e 22/04/23" fld="27" baseField="0" baseItem="0"/>
    <dataField name="Suma de May 23 - w/e 23/05/23" fld="28" baseField="0" baseItem="0"/>
    <dataField name="Suma de Jun 23 - w/e 22/06/23" fld="29" baseField="0" baseItem="0"/>
    <dataField name="Suma de Jul 23 - w/e 23/07/23" fld="30" baseField="0" baseItem="0"/>
    <dataField name="Suma de Aug 23 - w/e 23/08/23" fld="31" baseField="0" baseItem="0"/>
    <dataField name="Suma de Sep 23 - w/e 22/09/23" fld="32" baseField="0" baseItem="0"/>
    <dataField name="Suma de Oct 23 - w/e 23/10/23" fld="33" baseField="0" baseItem="0"/>
    <dataField name="Suma de Nov 23 - w/e 22/11/23" fld="34" baseField="0" baseItem="0"/>
    <dataField name="Suma de Dec 23 - w/e 23/12/23" fld="35" baseField="0" baseItem="0"/>
    <dataField name="Suma de Jan 24 - w/e 23/01/24" fld="36" baseField="0" baseItem="0"/>
    <dataField name="Suma de Feb 24 - w/e 21/02/24" fld="37" baseField="0" baseItem="0"/>
    <dataField name="Suma de Mar 24 - w/e 23/03/24" fld="38" baseField="0" baseItem="0"/>
    <dataField name="Suma de Apr 24 - w/e 22/04/24" fld="39" baseField="0" baseItem="0"/>
    <dataField name="Suma de May 24 - w/e 23/05/24" fld="40" baseField="0" baseItem="0"/>
    <dataField name="Suma de Jun 24 - w/e 22/06/24" fld="41" baseField="0" baseItem="0"/>
    <dataField name="Suma de Jul 24 - w/e 23/07/24" fld="42" baseField="0" baseItem="0"/>
    <dataField name="Suma de Aug 24 - w/e 23/08/24" fld="43" baseField="0" baseItem="0"/>
    <dataField name="Suma de Sep 24 - w/e 22/09/24" fld="4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2147-A12F-4C11-A309-788127F8E290}">
  <dimension ref="A1:F4"/>
  <sheetViews>
    <sheetView workbookViewId="0">
      <selection activeCell="E1" sqref="E1:E1048576"/>
    </sheetView>
  </sheetViews>
  <sheetFormatPr defaultColWidth="11.42578125" defaultRowHeight="15" x14ac:dyDescent="0.25"/>
  <cols>
    <col min="1" max="1" width="15.140625" customWidth="1"/>
    <col min="2" max="2" width="14.85546875" customWidth="1"/>
    <col min="4" max="4" width="12.42578125" bestFit="1" customWidth="1"/>
    <col min="5" max="5" width="19.7109375" customWidth="1"/>
    <col min="6" max="6" width="12.42578125" bestFit="1" customWidth="1"/>
  </cols>
  <sheetData>
    <row r="1" spans="1:6" x14ac:dyDescent="0.25">
      <c r="A1" s="18" t="s">
        <v>0</v>
      </c>
      <c r="B1" s="18" t="s">
        <v>1</v>
      </c>
      <c r="D1" s="18" t="s">
        <v>2</v>
      </c>
      <c r="E1" s="18" t="s">
        <v>3</v>
      </c>
      <c r="F1" s="18" t="s">
        <v>4</v>
      </c>
    </row>
    <row r="2" spans="1:6" ht="75" x14ac:dyDescent="0.25">
      <c r="A2" s="20" t="s">
        <v>5</v>
      </c>
      <c r="B2" s="20" t="s">
        <v>6</v>
      </c>
      <c r="D2" s="20" t="s">
        <v>7</v>
      </c>
      <c r="E2" s="19" t="s">
        <v>8</v>
      </c>
      <c r="F2" s="21" t="s">
        <v>9</v>
      </c>
    </row>
    <row r="3" spans="1:6" ht="75" x14ac:dyDescent="0.25">
      <c r="A3" s="21" t="s">
        <v>10</v>
      </c>
      <c r="B3" s="20" t="s">
        <v>11</v>
      </c>
      <c r="D3" s="20" t="s">
        <v>12</v>
      </c>
      <c r="E3" s="21" t="s">
        <v>13</v>
      </c>
      <c r="F3" s="21" t="s">
        <v>14</v>
      </c>
    </row>
    <row r="4" spans="1:6" ht="150" x14ac:dyDescent="0.25">
      <c r="A4" s="20" t="s">
        <v>15</v>
      </c>
      <c r="B4" s="20" t="s">
        <v>16</v>
      </c>
      <c r="D4" s="20" t="s">
        <v>17</v>
      </c>
      <c r="E4" s="21" t="s">
        <v>18</v>
      </c>
      <c r="F4" s="2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53D6-EBD5-49E0-B073-ED9917FC978B}">
  <dimension ref="A1:AI34"/>
  <sheetViews>
    <sheetView topLeftCell="A11" workbookViewId="0">
      <selection activeCell="B16" sqref="B16:B18"/>
    </sheetView>
  </sheetViews>
  <sheetFormatPr defaultColWidth="11.42578125" defaultRowHeight="15" x14ac:dyDescent="0.25"/>
  <cols>
    <col min="1" max="1" width="16.5703125" bestFit="1" customWidth="1"/>
    <col min="2" max="2" width="18.42578125" bestFit="1" customWidth="1"/>
    <col min="3" max="3" width="13.28515625" bestFit="1" customWidth="1"/>
    <col min="4" max="4" width="14" bestFit="1" customWidth="1"/>
    <col min="5" max="5" width="14.140625" bestFit="1" customWidth="1"/>
    <col min="6" max="6" width="13.7109375" bestFit="1" customWidth="1"/>
    <col min="7" max="7" width="14.140625" bestFit="1" customWidth="1"/>
    <col min="8" max="8" width="13.7109375" bestFit="1" customWidth="1"/>
    <col min="9" max="9" width="14.140625" bestFit="1" customWidth="1"/>
    <col min="10" max="10" width="13.85546875" bestFit="1" customWidth="1"/>
    <col min="11" max="11" width="14.42578125" bestFit="1" customWidth="1"/>
    <col min="12" max="12" width="13.85546875" bestFit="1" customWidth="1"/>
    <col min="13" max="13" width="14.5703125" bestFit="1" customWidth="1"/>
    <col min="14" max="14" width="13.85546875" bestFit="1" customWidth="1"/>
    <col min="15" max="15" width="13.28515625" bestFit="1" customWidth="1"/>
    <col min="16" max="16" width="14" bestFit="1" customWidth="1"/>
    <col min="17" max="17" width="14.140625" bestFit="1" customWidth="1"/>
    <col min="18" max="18" width="13.7109375" bestFit="1" customWidth="1"/>
    <col min="19" max="19" width="14.140625" bestFit="1" customWidth="1"/>
    <col min="20" max="20" width="13.7109375" bestFit="1" customWidth="1"/>
    <col min="21" max="21" width="14.140625" bestFit="1" customWidth="1"/>
    <col min="22" max="22" width="13.85546875" bestFit="1" customWidth="1"/>
    <col min="23" max="23" width="14.42578125" bestFit="1" customWidth="1"/>
    <col min="24" max="24" width="13.85546875" bestFit="1" customWidth="1"/>
    <col min="25" max="25" width="14.5703125" bestFit="1" customWidth="1"/>
    <col min="26" max="26" width="13.85546875" bestFit="1" customWidth="1"/>
    <col min="27" max="27" width="13.28515625" bestFit="1" customWidth="1"/>
    <col min="28" max="28" width="14" bestFit="1" customWidth="1"/>
    <col min="29" max="29" width="14.140625" bestFit="1" customWidth="1"/>
  </cols>
  <sheetData>
    <row r="1" spans="1:29" hidden="1" x14ac:dyDescent="0.25">
      <c r="A1" s="12" t="s">
        <v>20</v>
      </c>
      <c r="B1" t="s">
        <v>21</v>
      </c>
    </row>
    <row r="2" spans="1:29" hidden="1" x14ac:dyDescent="0.25">
      <c r="A2" s="12" t="s">
        <v>22</v>
      </c>
      <c r="B2" t="s">
        <v>21</v>
      </c>
    </row>
    <row r="3" spans="1:29" hidden="1" x14ac:dyDescent="0.25">
      <c r="A3" s="12" t="s">
        <v>23</v>
      </c>
      <c r="B3" t="s">
        <v>21</v>
      </c>
    </row>
    <row r="4" spans="1:29" hidden="1" x14ac:dyDescent="0.25"/>
    <row r="5" spans="1:29" hidden="1" x14ac:dyDescent="0.25">
      <c r="A5" s="12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  <c r="AB5" t="s">
        <v>51</v>
      </c>
    </row>
    <row r="6" spans="1:29" hidden="1" x14ac:dyDescent="0.25">
      <c r="A6" s="13" t="s">
        <v>52</v>
      </c>
      <c r="B6" s="14">
        <v>280</v>
      </c>
      <c r="C6" s="14">
        <v>2786</v>
      </c>
      <c r="D6" s="14">
        <v>10864</v>
      </c>
      <c r="E6" s="14">
        <v>9009</v>
      </c>
      <c r="F6" s="14">
        <v>9216</v>
      </c>
      <c r="G6" s="14">
        <v>5301</v>
      </c>
      <c r="H6" s="14">
        <v>1432</v>
      </c>
      <c r="I6" s="14">
        <v>1586</v>
      </c>
      <c r="J6" s="14">
        <v>1791</v>
      </c>
      <c r="K6" s="14">
        <v>1195</v>
      </c>
      <c r="L6" s="14">
        <v>1087</v>
      </c>
      <c r="M6" s="14">
        <v>367</v>
      </c>
      <c r="N6" s="14">
        <v>291</v>
      </c>
      <c r="O6" s="14">
        <v>1186</v>
      </c>
      <c r="P6" s="14">
        <v>8801</v>
      </c>
      <c r="Q6" s="14">
        <v>12095</v>
      </c>
      <c r="R6" s="14">
        <v>6606</v>
      </c>
      <c r="S6" s="14">
        <v>3074</v>
      </c>
      <c r="T6" s="14">
        <v>2581</v>
      </c>
      <c r="U6" s="14">
        <v>2660</v>
      </c>
      <c r="V6" s="14">
        <v>1908</v>
      </c>
      <c r="W6" s="14">
        <v>2132</v>
      </c>
      <c r="X6" s="14">
        <v>1672</v>
      </c>
      <c r="Y6" s="14">
        <v>270</v>
      </c>
      <c r="Z6" s="14">
        <v>283</v>
      </c>
      <c r="AA6" s="14">
        <v>370</v>
      </c>
      <c r="AB6" s="14">
        <v>8444</v>
      </c>
    </row>
    <row r="7" spans="1:29" hidden="1" x14ac:dyDescent="0.25">
      <c r="A7" s="13" t="s">
        <v>53</v>
      </c>
      <c r="B7" s="14">
        <v>79</v>
      </c>
      <c r="C7" s="14">
        <v>345</v>
      </c>
      <c r="D7" s="14">
        <v>10504</v>
      </c>
      <c r="E7" s="14">
        <v>14510</v>
      </c>
      <c r="F7" s="14">
        <v>12887</v>
      </c>
      <c r="G7" s="14">
        <v>10144</v>
      </c>
      <c r="H7" s="14">
        <v>3895</v>
      </c>
      <c r="I7" s="14">
        <v>2693</v>
      </c>
      <c r="J7" s="14">
        <v>2786</v>
      </c>
      <c r="K7" s="14">
        <v>1578</v>
      </c>
      <c r="L7" s="14">
        <v>1071</v>
      </c>
      <c r="M7" s="14">
        <v>596</v>
      </c>
      <c r="N7" s="14">
        <v>233</v>
      </c>
      <c r="O7" s="14">
        <v>316</v>
      </c>
      <c r="P7" s="14">
        <v>7083</v>
      </c>
      <c r="Q7" s="14">
        <v>11713</v>
      </c>
      <c r="R7" s="14">
        <v>11628</v>
      </c>
      <c r="S7" s="14">
        <v>9079</v>
      </c>
      <c r="T7" s="14">
        <v>9549</v>
      </c>
      <c r="U7" s="14">
        <v>5228</v>
      </c>
      <c r="V7" s="14">
        <v>5670</v>
      </c>
      <c r="W7" s="14">
        <v>6545</v>
      </c>
      <c r="X7" s="14">
        <v>1997</v>
      </c>
      <c r="Y7" s="14">
        <v>602</v>
      </c>
      <c r="Z7" s="14">
        <v>378</v>
      </c>
      <c r="AA7" s="14">
        <v>774</v>
      </c>
      <c r="AB7" s="14">
        <v>11157</v>
      </c>
    </row>
    <row r="8" spans="1:29" hidden="1" x14ac:dyDescent="0.25">
      <c r="A8" s="13" t="s">
        <v>54</v>
      </c>
      <c r="B8" s="14">
        <v>293</v>
      </c>
      <c r="C8" s="14">
        <v>120</v>
      </c>
      <c r="D8" s="14">
        <v>4216</v>
      </c>
      <c r="E8" s="14">
        <v>5155</v>
      </c>
      <c r="F8" s="14">
        <v>5341</v>
      </c>
      <c r="G8" s="14">
        <v>5270</v>
      </c>
      <c r="H8" s="14">
        <v>4327</v>
      </c>
      <c r="I8" s="14">
        <v>1831</v>
      </c>
      <c r="J8" s="14">
        <v>1250</v>
      </c>
      <c r="K8" s="14">
        <v>497</v>
      </c>
      <c r="L8" s="14">
        <v>503</v>
      </c>
      <c r="M8" s="14">
        <v>77</v>
      </c>
      <c r="N8" s="14">
        <v>42</v>
      </c>
      <c r="O8" s="14">
        <v>109</v>
      </c>
      <c r="P8" s="14">
        <v>3072</v>
      </c>
      <c r="Q8" s="14">
        <v>5944</v>
      </c>
      <c r="R8" s="14">
        <v>6595</v>
      </c>
      <c r="S8" s="14">
        <v>7909</v>
      </c>
      <c r="T8" s="14">
        <v>19478</v>
      </c>
      <c r="U8" s="14">
        <v>9535</v>
      </c>
      <c r="V8" s="14">
        <v>9915</v>
      </c>
      <c r="W8" s="14">
        <v>13079</v>
      </c>
      <c r="X8" s="14">
        <v>2633</v>
      </c>
      <c r="Y8" s="14">
        <v>1058</v>
      </c>
      <c r="Z8" s="14">
        <v>522</v>
      </c>
      <c r="AA8" s="14">
        <v>3423</v>
      </c>
      <c r="AB8" s="14">
        <v>6328</v>
      </c>
    </row>
    <row r="9" spans="1:29" hidden="1" x14ac:dyDescent="0.25">
      <c r="A9" s="13" t="s">
        <v>55</v>
      </c>
      <c r="B9" s="14">
        <v>3254</v>
      </c>
      <c r="C9" s="14">
        <v>2796</v>
      </c>
      <c r="D9" s="14">
        <v>45987</v>
      </c>
      <c r="E9" s="14">
        <v>37318</v>
      </c>
      <c r="F9" s="14">
        <v>36378</v>
      </c>
      <c r="G9" s="14">
        <v>23554</v>
      </c>
      <c r="H9" s="14">
        <v>13351</v>
      </c>
      <c r="I9" s="14">
        <v>10482</v>
      </c>
      <c r="J9" s="14">
        <v>10467</v>
      </c>
      <c r="K9" s="14">
        <v>7131</v>
      </c>
      <c r="L9" s="14">
        <v>5852</v>
      </c>
      <c r="M9" s="14">
        <v>2493</v>
      </c>
      <c r="N9" s="14">
        <v>1681</v>
      </c>
      <c r="O9" s="14">
        <v>4821</v>
      </c>
      <c r="P9" s="14">
        <v>30592</v>
      </c>
      <c r="Q9" s="14">
        <v>35523</v>
      </c>
      <c r="R9" s="14">
        <v>30291</v>
      </c>
      <c r="S9" s="14">
        <v>23486</v>
      </c>
      <c r="T9" s="14">
        <v>21994</v>
      </c>
      <c r="U9" s="14">
        <v>14945</v>
      </c>
      <c r="V9" s="14">
        <v>13578</v>
      </c>
      <c r="W9" s="14">
        <v>13494</v>
      </c>
      <c r="X9" s="14">
        <v>4897</v>
      </c>
      <c r="Y9" s="14">
        <v>1535</v>
      </c>
      <c r="Z9" s="14">
        <v>1829</v>
      </c>
      <c r="AA9" s="14">
        <v>1279</v>
      </c>
      <c r="AB9" s="14">
        <v>32920</v>
      </c>
    </row>
    <row r="10" spans="1:29" hidden="1" x14ac:dyDescent="0.25">
      <c r="A10" s="13" t="s">
        <v>56</v>
      </c>
      <c r="B10" s="14">
        <v>3906</v>
      </c>
      <c r="C10" s="14">
        <v>6047</v>
      </c>
      <c r="D10" s="14">
        <v>71571</v>
      </c>
      <c r="E10" s="14">
        <v>65992</v>
      </c>
      <c r="F10" s="14">
        <v>63822</v>
      </c>
      <c r="G10" s="14">
        <v>44269</v>
      </c>
      <c r="H10" s="14">
        <v>23005</v>
      </c>
      <c r="I10" s="14">
        <v>16592</v>
      </c>
      <c r="J10" s="14">
        <v>16294</v>
      </c>
      <c r="K10" s="14">
        <v>10401</v>
      </c>
      <c r="L10" s="14">
        <v>8513</v>
      </c>
      <c r="M10" s="14">
        <v>3533</v>
      </c>
      <c r="N10" s="14">
        <v>2247</v>
      </c>
      <c r="O10" s="14">
        <v>6432</v>
      </c>
      <c r="P10" s="14">
        <v>49548</v>
      </c>
      <c r="Q10" s="14">
        <v>65275</v>
      </c>
      <c r="R10" s="14">
        <v>55120</v>
      </c>
      <c r="S10" s="14">
        <v>43548</v>
      </c>
      <c r="T10" s="14">
        <v>53602</v>
      </c>
      <c r="U10" s="14">
        <v>32368</v>
      </c>
      <c r="V10" s="14">
        <v>31071</v>
      </c>
      <c r="W10" s="14">
        <v>35250</v>
      </c>
      <c r="X10" s="14">
        <v>11199</v>
      </c>
      <c r="Y10" s="14">
        <v>3465</v>
      </c>
      <c r="Z10" s="14">
        <v>3012</v>
      </c>
      <c r="AA10" s="14">
        <v>5846</v>
      </c>
      <c r="AB10" s="14">
        <v>58849</v>
      </c>
    </row>
    <row r="12" spans="1:29" x14ac:dyDescent="0.25">
      <c r="A12" s="12" t="s">
        <v>22</v>
      </c>
      <c r="B12" t="s">
        <v>21</v>
      </c>
    </row>
    <row r="13" spans="1:29" x14ac:dyDescent="0.25">
      <c r="A13" s="12" t="s">
        <v>23</v>
      </c>
      <c r="B13" t="s">
        <v>57</v>
      </c>
    </row>
    <row r="15" spans="1:29" x14ac:dyDescent="0.25">
      <c r="A15" s="12" t="s">
        <v>20</v>
      </c>
      <c r="B15" s="12" t="s">
        <v>58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 t="s">
        <v>37</v>
      </c>
      <c r="P15" t="s">
        <v>38</v>
      </c>
      <c r="Q15" t="s">
        <v>39</v>
      </c>
      <c r="R15" t="s">
        <v>40</v>
      </c>
      <c r="S15" t="s">
        <v>41</v>
      </c>
      <c r="T15" t="s">
        <v>42</v>
      </c>
      <c r="U15" t="s">
        <v>43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  <c r="AB15" t="s">
        <v>50</v>
      </c>
      <c r="AC15" t="s">
        <v>51</v>
      </c>
    </row>
    <row r="16" spans="1:29" x14ac:dyDescent="0.25">
      <c r="A16" t="s">
        <v>59</v>
      </c>
      <c r="B16" t="s">
        <v>60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372</v>
      </c>
      <c r="U16" s="14">
        <v>0</v>
      </c>
      <c r="V16" s="14">
        <v>240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</row>
    <row r="17" spans="1:35" x14ac:dyDescent="0.25">
      <c r="B17" t="s">
        <v>53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160</v>
      </c>
      <c r="W17" s="14">
        <v>880</v>
      </c>
      <c r="X17" s="14">
        <v>0</v>
      </c>
      <c r="Y17" s="14">
        <v>80</v>
      </c>
      <c r="Z17" s="14">
        <v>0</v>
      </c>
      <c r="AA17" s="14">
        <v>100</v>
      </c>
      <c r="AB17" s="14">
        <v>0</v>
      </c>
      <c r="AC17" s="14">
        <v>0</v>
      </c>
    </row>
    <row r="18" spans="1:35" x14ac:dyDescent="0.25">
      <c r="B18" t="s">
        <v>55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30</v>
      </c>
      <c r="S18" s="14">
        <v>216</v>
      </c>
      <c r="T18" s="14">
        <v>954</v>
      </c>
      <c r="U18" s="14">
        <v>510</v>
      </c>
      <c r="V18" s="14">
        <v>822</v>
      </c>
      <c r="W18" s="14">
        <v>168</v>
      </c>
      <c r="X18" s="14">
        <v>796</v>
      </c>
      <c r="Y18" s="14">
        <v>84</v>
      </c>
      <c r="Z18" s="14">
        <v>12</v>
      </c>
      <c r="AA18" s="14">
        <v>232</v>
      </c>
      <c r="AB18" s="14">
        <v>12</v>
      </c>
      <c r="AC18" s="14">
        <v>168</v>
      </c>
    </row>
    <row r="19" spans="1:35" x14ac:dyDescent="0.25">
      <c r="A19" t="s">
        <v>56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30</v>
      </c>
      <c r="S19" s="14">
        <v>216</v>
      </c>
      <c r="T19" s="14">
        <v>1326</v>
      </c>
      <c r="U19" s="14">
        <v>510</v>
      </c>
      <c r="V19" s="14">
        <v>1222</v>
      </c>
      <c r="W19" s="14">
        <v>1048</v>
      </c>
      <c r="X19" s="14">
        <v>796</v>
      </c>
      <c r="Y19" s="14">
        <v>164</v>
      </c>
      <c r="Z19" s="14">
        <v>12</v>
      </c>
      <c r="AA19" s="14">
        <v>332</v>
      </c>
      <c r="AB19" s="14">
        <v>12</v>
      </c>
      <c r="AC19" s="14">
        <v>168</v>
      </c>
    </row>
    <row r="27" spans="1:35" x14ac:dyDescent="0.25">
      <c r="AH27" s="37" t="s">
        <v>61</v>
      </c>
      <c r="AI27" s="37"/>
    </row>
    <row r="28" spans="1:35" x14ac:dyDescent="0.25">
      <c r="C28" s="1">
        <v>44743</v>
      </c>
      <c r="D28" s="1">
        <v>44774</v>
      </c>
      <c r="E28" s="1">
        <v>44805</v>
      </c>
      <c r="F28" s="1">
        <v>44835</v>
      </c>
      <c r="G28" s="1">
        <v>44866</v>
      </c>
      <c r="H28" s="1">
        <v>44896</v>
      </c>
      <c r="I28" s="1">
        <v>44927</v>
      </c>
      <c r="J28" s="1">
        <v>44958</v>
      </c>
      <c r="K28" s="1">
        <v>44986</v>
      </c>
      <c r="L28" s="1">
        <v>45017</v>
      </c>
      <c r="M28" s="1">
        <v>45047</v>
      </c>
      <c r="N28" s="1">
        <v>45078</v>
      </c>
      <c r="O28" s="1">
        <v>45108</v>
      </c>
      <c r="P28" s="1">
        <v>45139</v>
      </c>
      <c r="Q28" s="1">
        <v>45170</v>
      </c>
      <c r="R28" s="1">
        <v>45200</v>
      </c>
      <c r="S28" s="1">
        <v>45231</v>
      </c>
      <c r="T28" s="1">
        <v>45261</v>
      </c>
      <c r="U28" s="1">
        <v>45292</v>
      </c>
      <c r="V28" s="1">
        <v>45323</v>
      </c>
      <c r="W28" s="1">
        <v>45352</v>
      </c>
      <c r="X28" s="1">
        <v>45383</v>
      </c>
      <c r="Y28" s="1">
        <v>45413</v>
      </c>
      <c r="Z28" s="1">
        <v>45444</v>
      </c>
      <c r="AA28" s="1">
        <v>45474</v>
      </c>
      <c r="AB28" s="1">
        <v>45505</v>
      </c>
      <c r="AC28" s="1">
        <v>45536</v>
      </c>
      <c r="AE28" s="22" t="s">
        <v>62</v>
      </c>
      <c r="AF28" s="22" t="s">
        <v>63</v>
      </c>
      <c r="AH28" s="24" t="s">
        <v>64</v>
      </c>
      <c r="AI28" s="25" t="s">
        <v>65</v>
      </c>
    </row>
    <row r="29" spans="1:35" x14ac:dyDescent="0.25">
      <c r="B29" t="s">
        <v>64</v>
      </c>
      <c r="C29" s="15">
        <v>13235.664000000001</v>
      </c>
      <c r="D29" s="15">
        <v>11397.390000000001</v>
      </c>
      <c r="E29" s="15">
        <v>11858.227999999999</v>
      </c>
      <c r="F29" s="15">
        <v>12763.396999999999</v>
      </c>
      <c r="G29" s="15">
        <v>24300.67</v>
      </c>
      <c r="H29" s="15">
        <v>47010.163</v>
      </c>
      <c r="I29" s="15">
        <v>63846.877999999997</v>
      </c>
      <c r="J29" s="15">
        <v>55757.03300000001</v>
      </c>
      <c r="K29" s="15">
        <v>60897.754000000001</v>
      </c>
      <c r="L29" s="15">
        <v>41521.456000000006</v>
      </c>
      <c r="M29" s="15">
        <v>31693.379999999997</v>
      </c>
      <c r="N29" s="15">
        <v>21258.457000000002</v>
      </c>
      <c r="O29" s="15">
        <v>17629.917000000001</v>
      </c>
      <c r="P29" s="15">
        <v>14074.226999999999</v>
      </c>
      <c r="Q29" s="15">
        <v>14222.574000000001</v>
      </c>
      <c r="R29" s="15">
        <v>20753.826000000001</v>
      </c>
      <c r="S29" s="15">
        <v>31587.913</v>
      </c>
      <c r="T29" s="15">
        <v>58557.789000000004</v>
      </c>
      <c r="U29" s="15">
        <v>109100.49399999999</v>
      </c>
      <c r="V29" s="15">
        <v>102934.26599999999</v>
      </c>
      <c r="W29" s="15">
        <v>139768.179</v>
      </c>
      <c r="X29" s="15">
        <v>160230.44</v>
      </c>
      <c r="Y29" s="15">
        <v>86562.917000000001</v>
      </c>
      <c r="Z29" s="15">
        <v>41218.411999999997</v>
      </c>
      <c r="AA29" s="15">
        <v>27728.965999999997</v>
      </c>
      <c r="AB29" s="15">
        <v>18311.226000000002</v>
      </c>
      <c r="AC29" s="15">
        <v>13719.402</v>
      </c>
      <c r="AE29" s="23">
        <f>+SUM(I29:Q29)</f>
        <v>320901.67600000009</v>
      </c>
      <c r="AF29" s="23">
        <f>+SUM(U29:AC29)</f>
        <v>699574.30200000003</v>
      </c>
      <c r="AH29" s="26">
        <f>+AF29/AE29-1</f>
        <v>1.1800269500617997</v>
      </c>
      <c r="AI29" s="26">
        <f>+AF30/AE30-1</f>
        <v>5.6710077127323304</v>
      </c>
    </row>
    <row r="30" spans="1:35" x14ac:dyDescent="0.25">
      <c r="B30" t="s">
        <v>65</v>
      </c>
      <c r="C30" s="15">
        <v>3480</v>
      </c>
      <c r="D30" s="15">
        <v>792</v>
      </c>
      <c r="E30" s="15">
        <v>33312</v>
      </c>
      <c r="F30" s="15">
        <v>63072</v>
      </c>
      <c r="G30" s="15">
        <v>53508</v>
      </c>
      <c r="H30" s="15">
        <v>53472</v>
      </c>
      <c r="I30" s="15">
        <v>41484</v>
      </c>
      <c r="J30" s="15">
        <v>11544</v>
      </c>
      <c r="K30" s="15">
        <v>8616</v>
      </c>
      <c r="L30" s="15">
        <v>3276</v>
      </c>
      <c r="M30" s="15">
        <v>444</v>
      </c>
      <c r="N30" s="15">
        <v>72</v>
      </c>
      <c r="O30" s="15">
        <v>12</v>
      </c>
      <c r="P30" s="15">
        <v>372</v>
      </c>
      <c r="Q30" s="15">
        <v>29088</v>
      </c>
      <c r="R30" s="15">
        <v>68004</v>
      </c>
      <c r="S30" s="15">
        <v>63384</v>
      </c>
      <c r="T30" s="15">
        <v>74868</v>
      </c>
      <c r="U30" s="15">
        <v>196512</v>
      </c>
      <c r="V30" s="15">
        <v>92496</v>
      </c>
      <c r="W30" s="15">
        <v>75432</v>
      </c>
      <c r="X30" s="15">
        <v>119688</v>
      </c>
      <c r="Y30" s="15">
        <v>25032</v>
      </c>
      <c r="Z30" s="15">
        <v>7956</v>
      </c>
      <c r="AA30" s="15">
        <v>2448</v>
      </c>
      <c r="AB30" s="15">
        <v>46944</v>
      </c>
      <c r="AC30" s="15">
        <v>66624</v>
      </c>
      <c r="AE30" s="23">
        <f>+SUM(I30:Q30)</f>
        <v>94908</v>
      </c>
      <c r="AF30" s="23">
        <f>+SUM(U30:AC30)</f>
        <v>633132</v>
      </c>
    </row>
    <row r="31" spans="1:35" x14ac:dyDescent="0.25">
      <c r="U31" s="14">
        <f t="shared" ref="U31:AB31" si="0">+SUM(M29:U29)/SUM(M30:U30)*100</f>
        <v>73.685535729140668</v>
      </c>
      <c r="V31" s="14">
        <f t="shared" si="0"/>
        <v>74.33565475373851</v>
      </c>
      <c r="W31" s="14">
        <f t="shared" si="0"/>
        <v>84.747801448927632</v>
      </c>
      <c r="X31" s="14">
        <f t="shared" si="0"/>
        <v>90.468171992820672</v>
      </c>
      <c r="Y31" s="14">
        <f t="shared" si="0"/>
        <v>97.208127558750519</v>
      </c>
      <c r="Z31" s="14">
        <f t="shared" si="0"/>
        <v>103.779830571269</v>
      </c>
      <c r="AA31" s="14">
        <f t="shared" si="0"/>
        <v>115.18257020200178</v>
      </c>
      <c r="AB31" s="14">
        <f t="shared" si="0"/>
        <v>116.06494302873824</v>
      </c>
      <c r="AC31" s="14">
        <f>+SUM(U29:AC29)/SUM(U30:AC30)*100</f>
        <v>110.49422584863819</v>
      </c>
    </row>
    <row r="33" spans="31:32" x14ac:dyDescent="0.25">
      <c r="AE33" s="14">
        <f>+SUM(D30:J30)</f>
        <v>257184</v>
      </c>
      <c r="AF33" s="14">
        <f>+AE34/AE33*100</f>
        <v>126.37929809008337</v>
      </c>
    </row>
    <row r="34" spans="31:32" x14ac:dyDescent="0.25">
      <c r="AE34" s="14">
        <f>+SUM(G29:M29)</f>
        <v>325027.33400000003</v>
      </c>
    </row>
  </sheetData>
  <mergeCells count="1">
    <mergeCell ref="AH27:AI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25FB-C42F-4E33-AE89-B703D738FC8F}">
  <dimension ref="A1:AH206"/>
  <sheetViews>
    <sheetView tabSelected="1" zoomScale="115" zoomScaleNormal="115" workbookViewId="0">
      <selection activeCell="F8" sqref="F8"/>
    </sheetView>
  </sheetViews>
  <sheetFormatPr defaultColWidth="11.42578125" defaultRowHeight="15" x14ac:dyDescent="0.25"/>
  <cols>
    <col min="1" max="1" width="18.42578125" customWidth="1"/>
    <col min="2" max="2" width="13.7109375" customWidth="1"/>
    <col min="4" max="4" width="13.7109375" customWidth="1"/>
    <col min="6" max="6" width="34.140625" customWidth="1"/>
  </cols>
  <sheetData>
    <row r="1" spans="1:34" x14ac:dyDescent="0.25">
      <c r="A1" t="s">
        <v>282</v>
      </c>
      <c r="B1" t="s">
        <v>281</v>
      </c>
      <c r="C1" t="s">
        <v>284</v>
      </c>
      <c r="D1" t="s">
        <v>280</v>
      </c>
      <c r="E1" t="s">
        <v>279</v>
      </c>
      <c r="F1" t="s">
        <v>66</v>
      </c>
      <c r="G1" t="s">
        <v>150</v>
      </c>
      <c r="H1" s="1">
        <v>44743</v>
      </c>
      <c r="I1" s="1">
        <v>44774</v>
      </c>
      <c r="J1" s="1">
        <v>44805</v>
      </c>
      <c r="K1" s="1">
        <v>44835</v>
      </c>
      <c r="L1" s="1">
        <v>44866</v>
      </c>
      <c r="M1" s="1">
        <v>44896</v>
      </c>
      <c r="N1" s="1">
        <v>44927</v>
      </c>
      <c r="O1" s="1">
        <v>44958</v>
      </c>
      <c r="P1" s="1">
        <v>44986</v>
      </c>
      <c r="Q1" s="1">
        <v>45017</v>
      </c>
      <c r="R1" s="1">
        <v>45047</v>
      </c>
      <c r="S1" s="1">
        <v>45078</v>
      </c>
      <c r="T1" s="1">
        <v>45108</v>
      </c>
      <c r="U1" s="1">
        <v>45139</v>
      </c>
      <c r="V1" s="1">
        <v>45170</v>
      </c>
      <c r="W1" s="1">
        <v>45200</v>
      </c>
      <c r="X1" s="1">
        <v>45231</v>
      </c>
      <c r="Y1" s="1">
        <v>45261</v>
      </c>
      <c r="Z1" s="1">
        <v>45292</v>
      </c>
      <c r="AA1" s="1">
        <v>45323</v>
      </c>
      <c r="AB1" s="1">
        <v>45352</v>
      </c>
      <c r="AC1" s="1">
        <v>45383</v>
      </c>
      <c r="AD1" s="1">
        <v>45413</v>
      </c>
      <c r="AE1" s="1">
        <v>45444</v>
      </c>
      <c r="AF1" s="1">
        <v>45474</v>
      </c>
      <c r="AG1" s="1">
        <v>45505</v>
      </c>
      <c r="AH1" s="1">
        <v>45536</v>
      </c>
    </row>
    <row r="2" spans="1:34" x14ac:dyDescent="0.25">
      <c r="A2" t="s">
        <v>69</v>
      </c>
      <c r="B2" t="s">
        <v>68</v>
      </c>
      <c r="C2" t="s">
        <v>285</v>
      </c>
      <c r="D2" t="s">
        <v>67</v>
      </c>
      <c r="E2" t="s">
        <v>55</v>
      </c>
      <c r="F2" t="s">
        <v>70</v>
      </c>
      <c r="G2" t="s">
        <v>283</v>
      </c>
      <c r="H2">
        <v>0</v>
      </c>
      <c r="I2">
        <v>24</v>
      </c>
      <c r="J2">
        <v>3456</v>
      </c>
      <c r="K2">
        <v>1488</v>
      </c>
      <c r="L2">
        <v>4152</v>
      </c>
      <c r="M2">
        <v>6072</v>
      </c>
      <c r="N2">
        <v>3504</v>
      </c>
      <c r="O2">
        <v>2064</v>
      </c>
      <c r="P2">
        <v>2712</v>
      </c>
      <c r="Q2">
        <v>960</v>
      </c>
      <c r="R2">
        <v>0</v>
      </c>
      <c r="S2">
        <v>0</v>
      </c>
      <c r="T2">
        <v>0</v>
      </c>
      <c r="U2">
        <v>408</v>
      </c>
      <c r="V2">
        <v>3312</v>
      </c>
      <c r="W2">
        <v>6984</v>
      </c>
      <c r="X2">
        <v>4440</v>
      </c>
      <c r="Y2">
        <v>5304</v>
      </c>
      <c r="Z2">
        <v>7032</v>
      </c>
      <c r="AA2">
        <v>4416</v>
      </c>
      <c r="AB2">
        <v>2592</v>
      </c>
      <c r="AC2">
        <v>1560</v>
      </c>
      <c r="AD2">
        <v>0</v>
      </c>
      <c r="AE2">
        <v>0</v>
      </c>
      <c r="AF2">
        <v>168</v>
      </c>
      <c r="AG2">
        <v>72</v>
      </c>
      <c r="AH2">
        <v>7488</v>
      </c>
    </row>
    <row r="3" spans="1:34" x14ac:dyDescent="0.25">
      <c r="A3" t="s">
        <v>69</v>
      </c>
      <c r="B3" t="s">
        <v>68</v>
      </c>
      <c r="C3" t="s">
        <v>285</v>
      </c>
      <c r="D3" t="s">
        <v>67</v>
      </c>
      <c r="E3" t="s">
        <v>55</v>
      </c>
      <c r="F3" t="s">
        <v>72</v>
      </c>
      <c r="G3" t="s">
        <v>283</v>
      </c>
      <c r="H3">
        <v>0</v>
      </c>
      <c r="I3">
        <v>24</v>
      </c>
      <c r="J3">
        <v>3216</v>
      </c>
      <c r="K3">
        <v>2328</v>
      </c>
      <c r="L3">
        <v>4032</v>
      </c>
      <c r="M3">
        <v>5832</v>
      </c>
      <c r="N3">
        <v>2520</v>
      </c>
      <c r="O3">
        <v>1488</v>
      </c>
      <c r="P3">
        <v>2040</v>
      </c>
      <c r="Q3">
        <v>600</v>
      </c>
      <c r="R3">
        <v>312</v>
      </c>
      <c r="S3">
        <v>48</v>
      </c>
      <c r="T3">
        <v>72</v>
      </c>
      <c r="U3">
        <v>0</v>
      </c>
      <c r="V3">
        <v>2928</v>
      </c>
      <c r="W3">
        <v>6144</v>
      </c>
      <c r="X3">
        <v>3528</v>
      </c>
      <c r="Y3">
        <v>4872</v>
      </c>
      <c r="Z3">
        <v>6696</v>
      </c>
      <c r="AA3">
        <v>2232</v>
      </c>
      <c r="AB3">
        <v>1920</v>
      </c>
      <c r="AC3">
        <v>1320</v>
      </c>
      <c r="AD3">
        <v>3168</v>
      </c>
      <c r="AE3">
        <v>360</v>
      </c>
      <c r="AF3">
        <v>48</v>
      </c>
      <c r="AG3">
        <v>48</v>
      </c>
      <c r="AH3">
        <v>6384</v>
      </c>
    </row>
    <row r="4" spans="1:34" x14ac:dyDescent="0.25">
      <c r="A4" t="s">
        <v>69</v>
      </c>
      <c r="B4" t="s">
        <v>68</v>
      </c>
      <c r="C4" t="s">
        <v>285</v>
      </c>
      <c r="D4" t="s">
        <v>67</v>
      </c>
      <c r="E4" t="s">
        <v>55</v>
      </c>
      <c r="F4" t="s">
        <v>73</v>
      </c>
      <c r="G4" t="s">
        <v>283</v>
      </c>
      <c r="H4">
        <v>0</v>
      </c>
      <c r="I4">
        <v>0</v>
      </c>
      <c r="J4">
        <v>240</v>
      </c>
      <c r="K4">
        <v>336</v>
      </c>
      <c r="L4">
        <v>672</v>
      </c>
      <c r="M4">
        <v>360</v>
      </c>
      <c r="N4">
        <v>120</v>
      </c>
      <c r="O4">
        <v>96</v>
      </c>
      <c r="P4">
        <v>192</v>
      </c>
      <c r="Q4">
        <v>24</v>
      </c>
      <c r="R4">
        <v>0</v>
      </c>
      <c r="S4">
        <v>0</v>
      </c>
      <c r="T4">
        <v>0</v>
      </c>
      <c r="U4">
        <v>0</v>
      </c>
      <c r="V4">
        <v>120</v>
      </c>
      <c r="W4">
        <v>192</v>
      </c>
      <c r="X4">
        <v>240</v>
      </c>
      <c r="Y4">
        <v>0</v>
      </c>
      <c r="Z4">
        <v>456</v>
      </c>
      <c r="AA4">
        <v>1536</v>
      </c>
      <c r="AB4">
        <v>120</v>
      </c>
      <c r="AC4">
        <v>840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5">
      <c r="A5" t="s">
        <v>74</v>
      </c>
      <c r="B5" t="s">
        <v>68</v>
      </c>
      <c r="C5" t="s">
        <v>285</v>
      </c>
      <c r="D5" t="s">
        <v>67</v>
      </c>
      <c r="E5" t="s">
        <v>53</v>
      </c>
      <c r="F5" t="s">
        <v>75</v>
      </c>
      <c r="G5" t="s">
        <v>283</v>
      </c>
      <c r="H5">
        <v>0</v>
      </c>
      <c r="I5">
        <v>0</v>
      </c>
      <c r="J5">
        <v>216</v>
      </c>
      <c r="K5">
        <v>288</v>
      </c>
      <c r="L5">
        <v>216</v>
      </c>
      <c r="M5">
        <v>306</v>
      </c>
      <c r="N5">
        <v>96</v>
      </c>
      <c r="O5">
        <v>60</v>
      </c>
      <c r="P5">
        <v>42</v>
      </c>
      <c r="Q5">
        <v>42</v>
      </c>
      <c r="R5">
        <v>36</v>
      </c>
      <c r="S5">
        <v>0</v>
      </c>
      <c r="T5">
        <v>0</v>
      </c>
      <c r="U5">
        <v>0</v>
      </c>
      <c r="V5">
        <v>288</v>
      </c>
      <c r="W5">
        <v>1080</v>
      </c>
      <c r="X5">
        <v>0</v>
      </c>
      <c r="Y5">
        <v>294</v>
      </c>
      <c r="Z5">
        <v>594</v>
      </c>
      <c r="AA5">
        <v>42</v>
      </c>
      <c r="AB5">
        <v>30</v>
      </c>
      <c r="AC5">
        <v>36</v>
      </c>
      <c r="AD5">
        <v>24</v>
      </c>
      <c r="AE5">
        <v>0</v>
      </c>
      <c r="AF5">
        <v>0</v>
      </c>
      <c r="AG5">
        <v>0</v>
      </c>
      <c r="AH5">
        <v>606</v>
      </c>
    </row>
    <row r="6" spans="1:34" x14ac:dyDescent="0.25">
      <c r="A6" t="s">
        <v>74</v>
      </c>
      <c r="B6" t="s">
        <v>68</v>
      </c>
      <c r="C6" t="s">
        <v>285</v>
      </c>
      <c r="D6" t="s">
        <v>67</v>
      </c>
      <c r="E6" t="s">
        <v>53</v>
      </c>
      <c r="F6" t="s">
        <v>77</v>
      </c>
      <c r="G6" t="s">
        <v>283</v>
      </c>
      <c r="H6">
        <v>0</v>
      </c>
      <c r="I6">
        <v>12</v>
      </c>
      <c r="J6">
        <v>312</v>
      </c>
      <c r="K6">
        <v>732</v>
      </c>
      <c r="L6">
        <v>888</v>
      </c>
      <c r="M6">
        <v>588</v>
      </c>
      <c r="N6">
        <v>144</v>
      </c>
      <c r="O6">
        <v>216</v>
      </c>
      <c r="P6">
        <v>120</v>
      </c>
      <c r="Q6">
        <v>228</v>
      </c>
      <c r="R6">
        <v>168</v>
      </c>
      <c r="S6">
        <v>216</v>
      </c>
      <c r="T6">
        <v>0</v>
      </c>
      <c r="U6">
        <v>60</v>
      </c>
      <c r="V6">
        <v>552</v>
      </c>
      <c r="W6">
        <v>2052</v>
      </c>
      <c r="X6">
        <v>1284</v>
      </c>
      <c r="Y6">
        <v>660</v>
      </c>
      <c r="Z6">
        <v>1188</v>
      </c>
      <c r="AA6">
        <v>468</v>
      </c>
      <c r="AB6">
        <v>672</v>
      </c>
      <c r="AC6">
        <v>684</v>
      </c>
      <c r="AD6">
        <v>96</v>
      </c>
      <c r="AE6">
        <v>0</v>
      </c>
      <c r="AF6">
        <v>0</v>
      </c>
      <c r="AG6">
        <v>36</v>
      </c>
      <c r="AH6">
        <v>684</v>
      </c>
    </row>
    <row r="7" spans="1:34" x14ac:dyDescent="0.25">
      <c r="A7" t="s">
        <v>74</v>
      </c>
      <c r="B7" t="s">
        <v>68</v>
      </c>
      <c r="C7" t="s">
        <v>285</v>
      </c>
      <c r="D7" t="s">
        <v>67</v>
      </c>
      <c r="E7" t="s">
        <v>55</v>
      </c>
      <c r="F7" t="s">
        <v>78</v>
      </c>
      <c r="G7" t="s">
        <v>283</v>
      </c>
      <c r="H7">
        <v>0</v>
      </c>
      <c r="I7">
        <v>60</v>
      </c>
      <c r="J7">
        <v>324</v>
      </c>
      <c r="K7">
        <v>60</v>
      </c>
      <c r="L7">
        <v>0</v>
      </c>
      <c r="M7">
        <v>0</v>
      </c>
      <c r="N7">
        <v>294</v>
      </c>
      <c r="O7">
        <v>102</v>
      </c>
      <c r="P7">
        <v>0</v>
      </c>
      <c r="Q7">
        <v>12</v>
      </c>
      <c r="R7">
        <v>72</v>
      </c>
      <c r="S7">
        <v>78</v>
      </c>
      <c r="T7">
        <v>0</v>
      </c>
      <c r="U7">
        <v>24</v>
      </c>
      <c r="V7">
        <v>264</v>
      </c>
      <c r="W7">
        <v>330</v>
      </c>
      <c r="X7">
        <v>60</v>
      </c>
      <c r="Y7">
        <v>504</v>
      </c>
      <c r="Z7">
        <v>2652</v>
      </c>
      <c r="AA7">
        <v>888</v>
      </c>
      <c r="AB7">
        <v>192</v>
      </c>
      <c r="AC7">
        <v>726</v>
      </c>
      <c r="AD7">
        <v>120</v>
      </c>
      <c r="AE7">
        <v>12</v>
      </c>
      <c r="AF7">
        <v>0</v>
      </c>
      <c r="AG7">
        <v>0</v>
      </c>
      <c r="AH7">
        <v>150</v>
      </c>
    </row>
    <row r="8" spans="1:34" x14ac:dyDescent="0.25">
      <c r="A8" t="s">
        <v>74</v>
      </c>
      <c r="B8" t="s">
        <v>68</v>
      </c>
      <c r="C8" t="s">
        <v>285</v>
      </c>
      <c r="D8" t="s">
        <v>67</v>
      </c>
      <c r="E8" t="s">
        <v>55</v>
      </c>
      <c r="F8" t="s">
        <v>79</v>
      </c>
      <c r="G8" t="s">
        <v>283</v>
      </c>
      <c r="H8">
        <v>0</v>
      </c>
      <c r="I8">
        <v>60</v>
      </c>
      <c r="J8">
        <v>588</v>
      </c>
      <c r="K8">
        <v>2676</v>
      </c>
      <c r="L8">
        <v>3072</v>
      </c>
      <c r="M8">
        <v>1488</v>
      </c>
      <c r="N8">
        <v>1632</v>
      </c>
      <c r="O8">
        <v>636</v>
      </c>
      <c r="P8">
        <v>1164</v>
      </c>
      <c r="Q8">
        <v>468</v>
      </c>
      <c r="R8">
        <v>300</v>
      </c>
      <c r="S8">
        <v>312</v>
      </c>
      <c r="T8">
        <v>156</v>
      </c>
      <c r="U8">
        <v>264</v>
      </c>
      <c r="V8">
        <v>1764</v>
      </c>
      <c r="W8">
        <v>3840</v>
      </c>
      <c r="X8">
        <v>1956</v>
      </c>
      <c r="Y8">
        <v>1536</v>
      </c>
      <c r="Z8">
        <v>2568</v>
      </c>
      <c r="AA8">
        <v>1464</v>
      </c>
      <c r="AB8">
        <v>1128</v>
      </c>
      <c r="AC8">
        <v>2100</v>
      </c>
      <c r="AD8">
        <v>348</v>
      </c>
      <c r="AE8">
        <v>36</v>
      </c>
      <c r="AF8">
        <v>0</v>
      </c>
      <c r="AG8">
        <v>84</v>
      </c>
      <c r="AH8">
        <v>3720</v>
      </c>
    </row>
    <row r="9" spans="1:34" x14ac:dyDescent="0.25">
      <c r="A9" t="s">
        <v>74</v>
      </c>
      <c r="B9" t="s">
        <v>68</v>
      </c>
      <c r="C9" t="s">
        <v>285</v>
      </c>
      <c r="D9" t="s">
        <v>67</v>
      </c>
      <c r="E9" t="s">
        <v>55</v>
      </c>
      <c r="F9" t="s">
        <v>80</v>
      </c>
      <c r="G9" t="s">
        <v>283</v>
      </c>
      <c r="H9">
        <v>0</v>
      </c>
      <c r="I9">
        <v>0</v>
      </c>
      <c r="J9">
        <v>1380</v>
      </c>
      <c r="K9">
        <v>4104</v>
      </c>
      <c r="L9">
        <v>2742</v>
      </c>
      <c r="M9">
        <v>1962</v>
      </c>
      <c r="N9">
        <v>1308</v>
      </c>
      <c r="O9">
        <v>1182</v>
      </c>
      <c r="P9">
        <v>552</v>
      </c>
      <c r="Q9">
        <v>102</v>
      </c>
      <c r="R9">
        <v>18</v>
      </c>
      <c r="S9">
        <v>12</v>
      </c>
      <c r="T9">
        <v>0</v>
      </c>
      <c r="U9">
        <v>102</v>
      </c>
      <c r="V9">
        <v>2766</v>
      </c>
      <c r="W9">
        <v>3870</v>
      </c>
      <c r="X9">
        <v>2544</v>
      </c>
      <c r="Y9">
        <v>2910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2142</v>
      </c>
    </row>
    <row r="10" spans="1:34" x14ac:dyDescent="0.25">
      <c r="A10" t="s">
        <v>74</v>
      </c>
      <c r="B10" t="s">
        <v>68</v>
      </c>
      <c r="C10" t="s">
        <v>285</v>
      </c>
      <c r="D10" t="s">
        <v>67</v>
      </c>
      <c r="E10" t="s">
        <v>55</v>
      </c>
      <c r="F10" t="s">
        <v>81</v>
      </c>
      <c r="G10" t="s">
        <v>283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480</v>
      </c>
      <c r="W10">
        <v>660</v>
      </c>
      <c r="X10">
        <v>360</v>
      </c>
      <c r="Y10">
        <v>540</v>
      </c>
      <c r="Z10">
        <v>288</v>
      </c>
      <c r="AA10">
        <v>240</v>
      </c>
      <c r="AB10">
        <v>0</v>
      </c>
      <c r="AC10">
        <v>360</v>
      </c>
      <c r="AD10">
        <v>0</v>
      </c>
      <c r="AE10">
        <v>0</v>
      </c>
      <c r="AF10">
        <v>0</v>
      </c>
      <c r="AG10">
        <v>0</v>
      </c>
      <c r="AH10">
        <v>444</v>
      </c>
    </row>
    <row r="11" spans="1:34" x14ac:dyDescent="0.25">
      <c r="A11" t="s">
        <v>74</v>
      </c>
      <c r="B11" t="s">
        <v>68</v>
      </c>
      <c r="C11" t="s">
        <v>285</v>
      </c>
      <c r="D11" t="s">
        <v>67</v>
      </c>
      <c r="E11" t="s">
        <v>53</v>
      </c>
      <c r="F11" t="s">
        <v>82</v>
      </c>
      <c r="G11" t="s">
        <v>283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552</v>
      </c>
    </row>
    <row r="12" spans="1:34" x14ac:dyDescent="0.25">
      <c r="A12" t="s">
        <v>83</v>
      </c>
      <c r="B12" t="s">
        <v>68</v>
      </c>
      <c r="C12" t="s">
        <v>285</v>
      </c>
      <c r="D12" t="s">
        <v>67</v>
      </c>
      <c r="E12" t="s">
        <v>53</v>
      </c>
      <c r="F12" t="s">
        <v>84</v>
      </c>
      <c r="G12" t="s">
        <v>283</v>
      </c>
      <c r="H12">
        <v>0</v>
      </c>
      <c r="I12">
        <v>60</v>
      </c>
      <c r="J12">
        <v>2160</v>
      </c>
      <c r="K12">
        <v>3440</v>
      </c>
      <c r="L12">
        <v>6780</v>
      </c>
      <c r="M12">
        <v>4120</v>
      </c>
      <c r="N12">
        <v>1260</v>
      </c>
      <c r="O12">
        <v>1520</v>
      </c>
      <c r="P12">
        <v>1500</v>
      </c>
      <c r="Q12">
        <v>900</v>
      </c>
      <c r="R12">
        <v>840</v>
      </c>
      <c r="S12">
        <v>160</v>
      </c>
      <c r="T12">
        <v>200</v>
      </c>
      <c r="U12">
        <v>120</v>
      </c>
      <c r="V12">
        <v>3160</v>
      </c>
      <c r="W12">
        <v>11300</v>
      </c>
      <c r="X12">
        <v>7120</v>
      </c>
      <c r="Y12">
        <v>6120</v>
      </c>
      <c r="Z12">
        <v>4800</v>
      </c>
      <c r="AA12">
        <v>3640</v>
      </c>
      <c r="AB12">
        <v>1900</v>
      </c>
      <c r="AC12">
        <v>3100</v>
      </c>
      <c r="AD12">
        <v>560</v>
      </c>
      <c r="AE12">
        <v>360</v>
      </c>
      <c r="AF12">
        <v>80</v>
      </c>
      <c r="AG12">
        <v>100</v>
      </c>
      <c r="AH12">
        <v>7160</v>
      </c>
    </row>
    <row r="13" spans="1:34" x14ac:dyDescent="0.25">
      <c r="A13" t="s">
        <v>83</v>
      </c>
      <c r="B13" t="s">
        <v>68</v>
      </c>
      <c r="C13" t="s">
        <v>285</v>
      </c>
      <c r="D13" t="s">
        <v>67</v>
      </c>
      <c r="E13" t="s">
        <v>53</v>
      </c>
      <c r="F13" t="s">
        <v>86</v>
      </c>
      <c r="G13" t="s">
        <v>283</v>
      </c>
      <c r="H13">
        <v>0</v>
      </c>
      <c r="I13">
        <v>0</v>
      </c>
      <c r="J13">
        <v>2400</v>
      </c>
      <c r="K13">
        <v>6240</v>
      </c>
      <c r="L13">
        <v>8320</v>
      </c>
      <c r="M13">
        <v>5200</v>
      </c>
      <c r="N13">
        <v>2000</v>
      </c>
      <c r="O13">
        <v>880</v>
      </c>
      <c r="P13">
        <v>400</v>
      </c>
      <c r="Q13">
        <v>640</v>
      </c>
      <c r="R13">
        <v>1760</v>
      </c>
      <c r="S13">
        <v>400</v>
      </c>
      <c r="T13">
        <v>0</v>
      </c>
      <c r="U13">
        <v>320</v>
      </c>
      <c r="V13">
        <v>4560</v>
      </c>
      <c r="W13">
        <v>9200</v>
      </c>
      <c r="X13">
        <v>9840</v>
      </c>
      <c r="Y13">
        <v>5040</v>
      </c>
      <c r="Z13">
        <v>3440</v>
      </c>
      <c r="AA13">
        <v>1680</v>
      </c>
      <c r="AB13">
        <v>2960</v>
      </c>
      <c r="AC13">
        <v>1440</v>
      </c>
      <c r="AD13">
        <v>240</v>
      </c>
      <c r="AE13">
        <v>320</v>
      </c>
      <c r="AF13">
        <v>240</v>
      </c>
      <c r="AG13">
        <v>320</v>
      </c>
      <c r="AH13">
        <v>6400</v>
      </c>
    </row>
    <row r="14" spans="1:34" x14ac:dyDescent="0.25">
      <c r="A14" t="s">
        <v>83</v>
      </c>
      <c r="B14" t="s">
        <v>68</v>
      </c>
      <c r="C14" t="s">
        <v>285</v>
      </c>
      <c r="D14" t="s">
        <v>67</v>
      </c>
      <c r="E14" t="s">
        <v>55</v>
      </c>
      <c r="F14" t="s">
        <v>87</v>
      </c>
      <c r="G14" t="s">
        <v>283</v>
      </c>
      <c r="H14">
        <v>54</v>
      </c>
      <c r="I14">
        <v>30</v>
      </c>
      <c r="J14">
        <v>822</v>
      </c>
      <c r="K14">
        <v>1836</v>
      </c>
      <c r="L14">
        <v>2556</v>
      </c>
      <c r="M14">
        <v>1506</v>
      </c>
      <c r="N14">
        <v>630</v>
      </c>
      <c r="O14">
        <v>222</v>
      </c>
      <c r="P14">
        <v>234</v>
      </c>
      <c r="Q14">
        <v>36</v>
      </c>
      <c r="R14">
        <v>84</v>
      </c>
      <c r="S14">
        <v>6</v>
      </c>
      <c r="T14">
        <v>12</v>
      </c>
      <c r="U14">
        <v>66</v>
      </c>
      <c r="V14">
        <v>912</v>
      </c>
      <c r="W14">
        <v>2124</v>
      </c>
      <c r="X14">
        <v>1236</v>
      </c>
      <c r="Y14">
        <v>1608</v>
      </c>
      <c r="Z14">
        <v>1248</v>
      </c>
      <c r="AA14">
        <v>504</v>
      </c>
      <c r="AB14">
        <v>312</v>
      </c>
      <c r="AC14">
        <v>456</v>
      </c>
      <c r="AD14">
        <v>90</v>
      </c>
      <c r="AE14">
        <v>30</v>
      </c>
      <c r="AF14">
        <v>0</v>
      </c>
      <c r="AG14">
        <v>0</v>
      </c>
      <c r="AH14">
        <v>1302</v>
      </c>
    </row>
    <row r="15" spans="1:34" x14ac:dyDescent="0.25">
      <c r="A15" t="s">
        <v>83</v>
      </c>
      <c r="B15" t="s">
        <v>68</v>
      </c>
      <c r="C15" t="s">
        <v>285</v>
      </c>
      <c r="D15" t="s">
        <v>67</v>
      </c>
      <c r="E15" t="s">
        <v>55</v>
      </c>
      <c r="F15" t="s">
        <v>88</v>
      </c>
      <c r="G15" t="s">
        <v>283</v>
      </c>
      <c r="H15">
        <v>400</v>
      </c>
      <c r="I15">
        <v>160</v>
      </c>
      <c r="J15">
        <v>4080</v>
      </c>
      <c r="K15">
        <v>9200</v>
      </c>
      <c r="L15">
        <v>6640</v>
      </c>
      <c r="M15">
        <v>8720</v>
      </c>
      <c r="N15">
        <v>1040</v>
      </c>
      <c r="O15">
        <v>1440</v>
      </c>
      <c r="P15">
        <v>2480</v>
      </c>
      <c r="Q15">
        <v>880</v>
      </c>
      <c r="R15">
        <v>2080</v>
      </c>
      <c r="S15">
        <v>560</v>
      </c>
      <c r="T15">
        <v>240</v>
      </c>
      <c r="U15">
        <v>400</v>
      </c>
      <c r="V15">
        <v>7280</v>
      </c>
      <c r="W15">
        <v>10800</v>
      </c>
      <c r="X15">
        <v>7360</v>
      </c>
      <c r="Y15">
        <v>3440</v>
      </c>
      <c r="Z15">
        <v>5760</v>
      </c>
      <c r="AA15">
        <v>1520</v>
      </c>
      <c r="AB15">
        <v>1280</v>
      </c>
      <c r="AC15">
        <v>3920</v>
      </c>
      <c r="AD15">
        <v>240</v>
      </c>
      <c r="AE15">
        <v>160</v>
      </c>
      <c r="AF15">
        <v>160</v>
      </c>
      <c r="AG15">
        <v>160</v>
      </c>
      <c r="AH15">
        <v>7920</v>
      </c>
    </row>
    <row r="16" spans="1:34" x14ac:dyDescent="0.25">
      <c r="A16" t="s">
        <v>83</v>
      </c>
      <c r="B16" t="s">
        <v>68</v>
      </c>
      <c r="C16" t="s">
        <v>285</v>
      </c>
      <c r="D16" t="s">
        <v>67</v>
      </c>
      <c r="E16" t="s">
        <v>55</v>
      </c>
      <c r="F16" t="s">
        <v>89</v>
      </c>
      <c r="G16" t="s">
        <v>283</v>
      </c>
      <c r="H16">
        <v>0</v>
      </c>
      <c r="I16">
        <v>0</v>
      </c>
      <c r="J16">
        <v>4560</v>
      </c>
      <c r="K16">
        <v>10340</v>
      </c>
      <c r="L16">
        <v>3920</v>
      </c>
      <c r="M16">
        <v>4720</v>
      </c>
      <c r="N16">
        <v>1200</v>
      </c>
      <c r="O16">
        <v>1020</v>
      </c>
      <c r="P16">
        <v>1760</v>
      </c>
      <c r="Q16">
        <v>1040</v>
      </c>
      <c r="R16">
        <v>1480</v>
      </c>
      <c r="S16">
        <v>320</v>
      </c>
      <c r="T16">
        <v>160</v>
      </c>
      <c r="U16">
        <v>280</v>
      </c>
      <c r="V16">
        <v>5280</v>
      </c>
      <c r="W16">
        <v>7140</v>
      </c>
      <c r="X16">
        <v>5440</v>
      </c>
      <c r="Y16">
        <v>4660</v>
      </c>
      <c r="Z16">
        <v>6940</v>
      </c>
      <c r="AA16">
        <v>2340</v>
      </c>
      <c r="AB16">
        <v>700</v>
      </c>
      <c r="AC16">
        <v>2140</v>
      </c>
      <c r="AD16">
        <v>640</v>
      </c>
      <c r="AE16">
        <v>200</v>
      </c>
      <c r="AF16">
        <v>100</v>
      </c>
      <c r="AG16">
        <v>80</v>
      </c>
      <c r="AH16">
        <v>7060</v>
      </c>
    </row>
    <row r="17" spans="1:34" x14ac:dyDescent="0.25">
      <c r="A17" t="s">
        <v>83</v>
      </c>
      <c r="B17" t="s">
        <v>68</v>
      </c>
      <c r="C17" t="s">
        <v>285</v>
      </c>
      <c r="D17" t="s">
        <v>67</v>
      </c>
      <c r="E17" t="s">
        <v>55</v>
      </c>
      <c r="F17" t="s">
        <v>90</v>
      </c>
      <c r="G17" t="s">
        <v>283</v>
      </c>
      <c r="H17">
        <v>0</v>
      </c>
      <c r="I17">
        <v>1</v>
      </c>
      <c r="J17">
        <v>33</v>
      </c>
      <c r="K17">
        <v>41</v>
      </c>
      <c r="L17">
        <v>38</v>
      </c>
      <c r="M17">
        <v>33</v>
      </c>
      <c r="N17">
        <v>29</v>
      </c>
      <c r="O17">
        <v>9</v>
      </c>
      <c r="P17">
        <v>10</v>
      </c>
      <c r="Q17">
        <v>7</v>
      </c>
      <c r="R17">
        <v>5</v>
      </c>
      <c r="S17">
        <v>10</v>
      </c>
      <c r="T17">
        <v>0</v>
      </c>
      <c r="U17">
        <v>0</v>
      </c>
      <c r="V17">
        <v>36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t="s">
        <v>91</v>
      </c>
      <c r="B18" t="s">
        <v>68</v>
      </c>
      <c r="C18" t="s">
        <v>285</v>
      </c>
      <c r="D18" t="s">
        <v>67</v>
      </c>
      <c r="E18" t="s">
        <v>53</v>
      </c>
      <c r="F18" t="s">
        <v>92</v>
      </c>
      <c r="G18" t="s">
        <v>283</v>
      </c>
      <c r="H18">
        <v>0</v>
      </c>
      <c r="I18">
        <v>12</v>
      </c>
      <c r="J18">
        <v>1656</v>
      </c>
      <c r="K18">
        <v>468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 t="s">
        <v>91</v>
      </c>
      <c r="B19" t="s">
        <v>68</v>
      </c>
      <c r="C19" t="s">
        <v>285</v>
      </c>
      <c r="D19" t="s">
        <v>67</v>
      </c>
      <c r="E19" t="s">
        <v>53</v>
      </c>
      <c r="F19" t="s">
        <v>94</v>
      </c>
      <c r="G19" t="s">
        <v>283</v>
      </c>
      <c r="H19">
        <v>0</v>
      </c>
      <c r="I19">
        <v>0</v>
      </c>
      <c r="J19">
        <v>0</v>
      </c>
      <c r="K19">
        <v>1704</v>
      </c>
      <c r="L19">
        <v>2556</v>
      </c>
      <c r="M19">
        <v>2820</v>
      </c>
      <c r="N19">
        <v>1344</v>
      </c>
      <c r="O19">
        <v>1320</v>
      </c>
      <c r="P19">
        <v>1332</v>
      </c>
      <c r="Q19">
        <v>792</v>
      </c>
      <c r="R19">
        <v>0</v>
      </c>
      <c r="S19">
        <v>72</v>
      </c>
      <c r="T19">
        <v>0</v>
      </c>
      <c r="U19">
        <v>36</v>
      </c>
      <c r="V19">
        <v>636</v>
      </c>
      <c r="W19">
        <v>5364</v>
      </c>
      <c r="X19">
        <v>6168</v>
      </c>
      <c r="Y19">
        <v>3540</v>
      </c>
      <c r="Z19">
        <v>13632</v>
      </c>
      <c r="AA19">
        <v>7656</v>
      </c>
      <c r="AB19">
        <v>180</v>
      </c>
      <c r="AC19">
        <v>12600</v>
      </c>
      <c r="AD19">
        <v>3888</v>
      </c>
      <c r="AE19">
        <v>600</v>
      </c>
      <c r="AF19">
        <v>168</v>
      </c>
      <c r="AG19">
        <v>492</v>
      </c>
      <c r="AH19">
        <v>6888</v>
      </c>
    </row>
    <row r="20" spans="1:34" x14ac:dyDescent="0.25">
      <c r="A20" t="s">
        <v>91</v>
      </c>
      <c r="B20" t="s">
        <v>68</v>
      </c>
      <c r="C20" t="s">
        <v>285</v>
      </c>
      <c r="D20" t="s">
        <v>67</v>
      </c>
      <c r="E20" t="s">
        <v>54</v>
      </c>
      <c r="F20" t="s">
        <v>95</v>
      </c>
      <c r="G20" t="s">
        <v>283</v>
      </c>
      <c r="H20">
        <v>0</v>
      </c>
      <c r="I20">
        <v>24</v>
      </c>
      <c r="J20">
        <v>1344</v>
      </c>
      <c r="K20">
        <v>2208</v>
      </c>
      <c r="L20">
        <v>2196</v>
      </c>
      <c r="M20">
        <v>4584</v>
      </c>
      <c r="N20">
        <v>1320</v>
      </c>
      <c r="O20">
        <v>252</v>
      </c>
      <c r="P20">
        <v>636</v>
      </c>
      <c r="Q20">
        <v>348</v>
      </c>
      <c r="R20">
        <v>24</v>
      </c>
      <c r="S20">
        <v>0</v>
      </c>
      <c r="T20">
        <v>0</v>
      </c>
      <c r="U20">
        <v>12</v>
      </c>
      <c r="V20">
        <v>996</v>
      </c>
      <c r="W20">
        <v>1812</v>
      </c>
      <c r="X20">
        <v>3204</v>
      </c>
      <c r="Y20">
        <v>5064</v>
      </c>
      <c r="Z20">
        <v>12540</v>
      </c>
      <c r="AA20">
        <v>3384</v>
      </c>
      <c r="AB20">
        <v>5148</v>
      </c>
      <c r="AC20">
        <v>9300</v>
      </c>
      <c r="AD20">
        <v>0</v>
      </c>
      <c r="AE20">
        <v>564</v>
      </c>
      <c r="AF20">
        <v>504</v>
      </c>
      <c r="AG20">
        <v>252</v>
      </c>
      <c r="AH20">
        <v>4980</v>
      </c>
    </row>
    <row r="21" spans="1:34" x14ac:dyDescent="0.25">
      <c r="A21" t="s">
        <v>91</v>
      </c>
      <c r="B21" t="s">
        <v>68</v>
      </c>
      <c r="C21" t="s">
        <v>285</v>
      </c>
      <c r="D21" t="s">
        <v>67</v>
      </c>
      <c r="E21" t="s">
        <v>54</v>
      </c>
      <c r="F21" t="s">
        <v>96</v>
      </c>
      <c r="G21" t="s">
        <v>283</v>
      </c>
      <c r="H21">
        <v>0</v>
      </c>
      <c r="I21">
        <v>0</v>
      </c>
      <c r="J21">
        <v>204</v>
      </c>
      <c r="K21">
        <v>180</v>
      </c>
      <c r="L21">
        <v>396</v>
      </c>
      <c r="M21">
        <v>300</v>
      </c>
      <c r="N21">
        <v>120</v>
      </c>
      <c r="O21">
        <v>72</v>
      </c>
      <c r="P21">
        <v>84</v>
      </c>
      <c r="Q21">
        <v>0</v>
      </c>
      <c r="R21">
        <v>12</v>
      </c>
      <c r="S21">
        <v>0</v>
      </c>
      <c r="T21">
        <v>0</v>
      </c>
      <c r="U21">
        <v>0</v>
      </c>
      <c r="V21">
        <v>12</v>
      </c>
      <c r="W21">
        <v>468</v>
      </c>
      <c r="X21">
        <v>324</v>
      </c>
      <c r="Y21">
        <v>60</v>
      </c>
      <c r="Z21">
        <v>792</v>
      </c>
      <c r="AA21">
        <v>600</v>
      </c>
      <c r="AB21">
        <v>0</v>
      </c>
      <c r="AC21">
        <v>0</v>
      </c>
      <c r="AD21">
        <v>0</v>
      </c>
      <c r="AE21">
        <v>0</v>
      </c>
      <c r="AF21">
        <v>84</v>
      </c>
      <c r="AG21">
        <v>0</v>
      </c>
      <c r="AH21">
        <v>564</v>
      </c>
    </row>
    <row r="22" spans="1:34" x14ac:dyDescent="0.25">
      <c r="A22" t="s">
        <v>91</v>
      </c>
      <c r="B22" t="s">
        <v>68</v>
      </c>
      <c r="C22" t="s">
        <v>285</v>
      </c>
      <c r="D22" t="s">
        <v>67</v>
      </c>
      <c r="E22" t="s">
        <v>54</v>
      </c>
      <c r="F22" t="s">
        <v>97</v>
      </c>
      <c r="G22" t="s">
        <v>283</v>
      </c>
      <c r="H22">
        <v>0</v>
      </c>
      <c r="I22">
        <v>0</v>
      </c>
      <c r="J22">
        <v>4596</v>
      </c>
      <c r="K22">
        <v>5964</v>
      </c>
      <c r="L22">
        <v>3912</v>
      </c>
      <c r="M22">
        <v>7020</v>
      </c>
      <c r="N22">
        <v>2004</v>
      </c>
      <c r="O22">
        <v>2112</v>
      </c>
      <c r="P22">
        <v>1620</v>
      </c>
      <c r="Q22">
        <v>1080</v>
      </c>
      <c r="R22">
        <v>276</v>
      </c>
      <c r="S22">
        <v>0</v>
      </c>
      <c r="T22">
        <v>12</v>
      </c>
      <c r="U22">
        <v>0</v>
      </c>
      <c r="V22">
        <v>3396</v>
      </c>
      <c r="W22">
        <v>6336</v>
      </c>
      <c r="X22">
        <v>9108</v>
      </c>
      <c r="Y22">
        <v>7644</v>
      </c>
      <c r="Z22">
        <v>32928</v>
      </c>
      <c r="AA22">
        <v>10044</v>
      </c>
      <c r="AB22">
        <v>11448</v>
      </c>
      <c r="AC22">
        <v>17736</v>
      </c>
      <c r="AD22">
        <v>4500</v>
      </c>
      <c r="AE22">
        <v>1332</v>
      </c>
      <c r="AF22">
        <v>564</v>
      </c>
      <c r="AG22">
        <v>1116</v>
      </c>
      <c r="AH22">
        <v>11304</v>
      </c>
    </row>
    <row r="23" spans="1:34" x14ac:dyDescent="0.25">
      <c r="A23" t="s">
        <v>91</v>
      </c>
      <c r="B23" t="s">
        <v>68</v>
      </c>
      <c r="C23" t="s">
        <v>285</v>
      </c>
      <c r="D23" t="s">
        <v>67</v>
      </c>
      <c r="E23" t="s">
        <v>54</v>
      </c>
      <c r="F23" t="s">
        <v>98</v>
      </c>
      <c r="G23" t="s">
        <v>283</v>
      </c>
      <c r="H23">
        <v>0</v>
      </c>
      <c r="I23">
        <v>0</v>
      </c>
      <c r="J23">
        <v>300</v>
      </c>
      <c r="K23">
        <v>372</v>
      </c>
      <c r="L23">
        <v>1116</v>
      </c>
      <c r="M23">
        <v>168</v>
      </c>
      <c r="N23">
        <v>168</v>
      </c>
      <c r="O23">
        <v>60</v>
      </c>
      <c r="P23">
        <v>192</v>
      </c>
      <c r="Q23">
        <v>60</v>
      </c>
      <c r="R23">
        <v>0</v>
      </c>
      <c r="S23">
        <v>0</v>
      </c>
      <c r="T23">
        <v>0</v>
      </c>
      <c r="U23">
        <v>0</v>
      </c>
      <c r="V23">
        <v>60</v>
      </c>
      <c r="W23">
        <v>1200</v>
      </c>
      <c r="X23">
        <v>732</v>
      </c>
      <c r="Y23">
        <v>360</v>
      </c>
      <c r="Z23">
        <v>1392</v>
      </c>
      <c r="AA23">
        <v>912</v>
      </c>
      <c r="AB23">
        <v>0</v>
      </c>
      <c r="AC23">
        <v>0</v>
      </c>
      <c r="AD23">
        <v>0</v>
      </c>
      <c r="AE23">
        <v>0</v>
      </c>
      <c r="AF23">
        <v>180</v>
      </c>
      <c r="AG23">
        <v>0</v>
      </c>
      <c r="AH23">
        <v>564</v>
      </c>
    </row>
    <row r="24" spans="1:34" x14ac:dyDescent="0.25">
      <c r="A24" t="s">
        <v>91</v>
      </c>
      <c r="B24" t="s">
        <v>68</v>
      </c>
      <c r="C24" t="s">
        <v>285</v>
      </c>
      <c r="D24" t="s">
        <v>67</v>
      </c>
      <c r="E24" t="s">
        <v>54</v>
      </c>
      <c r="F24" t="s">
        <v>99</v>
      </c>
      <c r="G24" t="s">
        <v>283</v>
      </c>
      <c r="H24">
        <v>0</v>
      </c>
      <c r="I24">
        <v>0</v>
      </c>
      <c r="J24">
        <v>60</v>
      </c>
      <c r="K24">
        <v>72</v>
      </c>
      <c r="L24">
        <v>36</v>
      </c>
      <c r="M24">
        <v>96</v>
      </c>
      <c r="N24">
        <v>168</v>
      </c>
      <c r="O24">
        <v>156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 t="s">
        <v>91</v>
      </c>
      <c r="B25" t="s">
        <v>68</v>
      </c>
      <c r="C25" t="s">
        <v>285</v>
      </c>
      <c r="D25" t="s">
        <v>67</v>
      </c>
      <c r="E25" t="s">
        <v>54</v>
      </c>
      <c r="F25" t="s">
        <v>100</v>
      </c>
      <c r="G25" t="s">
        <v>283</v>
      </c>
      <c r="H25">
        <v>0</v>
      </c>
      <c r="I25">
        <v>0</v>
      </c>
      <c r="J25">
        <v>72</v>
      </c>
      <c r="K25">
        <v>12</v>
      </c>
      <c r="L25">
        <v>36</v>
      </c>
      <c r="M25">
        <v>120</v>
      </c>
      <c r="N25">
        <v>12</v>
      </c>
      <c r="O25">
        <v>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</v>
      </c>
      <c r="W25">
        <v>240</v>
      </c>
      <c r="X25">
        <v>324</v>
      </c>
      <c r="Y25">
        <v>12</v>
      </c>
      <c r="Z25">
        <v>60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300</v>
      </c>
    </row>
    <row r="26" spans="1:34" x14ac:dyDescent="0.25">
      <c r="A26" t="s">
        <v>101</v>
      </c>
      <c r="B26" t="s">
        <v>68</v>
      </c>
      <c r="C26" t="s">
        <v>285</v>
      </c>
      <c r="D26" t="s">
        <v>67</v>
      </c>
      <c r="E26" t="s">
        <v>54</v>
      </c>
      <c r="F26" t="s">
        <v>102</v>
      </c>
      <c r="G26" t="s">
        <v>283</v>
      </c>
      <c r="H26">
        <v>0</v>
      </c>
      <c r="I26">
        <v>0</v>
      </c>
      <c r="J26">
        <v>0</v>
      </c>
      <c r="K26">
        <v>0</v>
      </c>
      <c r="L26">
        <v>0</v>
      </c>
      <c r="M26">
        <v>84</v>
      </c>
      <c r="N26">
        <v>24</v>
      </c>
      <c r="O26">
        <v>12</v>
      </c>
      <c r="P26">
        <v>12</v>
      </c>
      <c r="Q26">
        <v>0</v>
      </c>
      <c r="R26">
        <v>12</v>
      </c>
      <c r="S26">
        <v>0</v>
      </c>
      <c r="T26">
        <v>0</v>
      </c>
      <c r="U26">
        <v>0</v>
      </c>
      <c r="V26">
        <v>36</v>
      </c>
      <c r="W26">
        <v>432</v>
      </c>
      <c r="X26">
        <v>504</v>
      </c>
      <c r="Y26">
        <v>120</v>
      </c>
      <c r="Z26">
        <v>444</v>
      </c>
      <c r="AA26">
        <v>168</v>
      </c>
      <c r="AB26">
        <v>252</v>
      </c>
      <c r="AC26">
        <v>204</v>
      </c>
      <c r="AD26">
        <v>36</v>
      </c>
      <c r="AE26">
        <v>0</v>
      </c>
      <c r="AF26">
        <v>0</v>
      </c>
      <c r="AG26">
        <v>0</v>
      </c>
      <c r="AH26">
        <v>0</v>
      </c>
    </row>
    <row r="27" spans="1:34" x14ac:dyDescent="0.25">
      <c r="A27" t="s">
        <v>101</v>
      </c>
      <c r="B27" t="s">
        <v>68</v>
      </c>
      <c r="C27" t="s">
        <v>285</v>
      </c>
      <c r="D27" t="s">
        <v>67</v>
      </c>
      <c r="E27" t="s">
        <v>54</v>
      </c>
      <c r="F27" t="s">
        <v>104</v>
      </c>
      <c r="G27" t="s">
        <v>283</v>
      </c>
      <c r="H27">
        <v>0</v>
      </c>
      <c r="I27">
        <v>0</v>
      </c>
      <c r="J27">
        <v>108</v>
      </c>
      <c r="K27">
        <v>204</v>
      </c>
      <c r="L27">
        <v>120</v>
      </c>
      <c r="M27">
        <v>36</v>
      </c>
      <c r="N27">
        <v>60</v>
      </c>
      <c r="O27">
        <v>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5">
      <c r="A28" t="s">
        <v>101</v>
      </c>
      <c r="B28" t="s">
        <v>68</v>
      </c>
      <c r="C28" t="s">
        <v>285</v>
      </c>
      <c r="D28" t="s">
        <v>67</v>
      </c>
      <c r="E28" t="s">
        <v>54</v>
      </c>
      <c r="F28" t="s">
        <v>105</v>
      </c>
      <c r="G28" t="s">
        <v>283</v>
      </c>
      <c r="H28">
        <v>0</v>
      </c>
      <c r="I28">
        <v>0</v>
      </c>
      <c r="J28">
        <v>0</v>
      </c>
      <c r="K28">
        <v>0</v>
      </c>
      <c r="L28">
        <v>900</v>
      </c>
      <c r="M28">
        <v>912</v>
      </c>
      <c r="N28">
        <v>612</v>
      </c>
      <c r="O28">
        <v>204</v>
      </c>
      <c r="P28">
        <v>480</v>
      </c>
      <c r="Q28">
        <v>60</v>
      </c>
      <c r="R28">
        <v>84</v>
      </c>
      <c r="S28">
        <v>0</v>
      </c>
      <c r="T28">
        <v>0</v>
      </c>
      <c r="U28">
        <v>0</v>
      </c>
      <c r="V28">
        <v>504</v>
      </c>
      <c r="W28">
        <v>1032</v>
      </c>
      <c r="X28">
        <v>924</v>
      </c>
      <c r="Y28">
        <v>744</v>
      </c>
      <c r="Z28">
        <v>2832</v>
      </c>
      <c r="AA28">
        <v>780</v>
      </c>
      <c r="AB28">
        <v>1416</v>
      </c>
      <c r="AC28">
        <v>3264</v>
      </c>
      <c r="AD28">
        <v>72</v>
      </c>
      <c r="AE28">
        <v>48</v>
      </c>
      <c r="AF28">
        <v>0</v>
      </c>
      <c r="AG28">
        <v>0</v>
      </c>
      <c r="AH28">
        <v>1488</v>
      </c>
    </row>
    <row r="29" spans="1:34" x14ac:dyDescent="0.25">
      <c r="A29" t="s">
        <v>101</v>
      </c>
      <c r="B29" t="s">
        <v>68</v>
      </c>
      <c r="C29" t="s">
        <v>285</v>
      </c>
      <c r="D29" t="s">
        <v>67</v>
      </c>
      <c r="E29" t="s">
        <v>54</v>
      </c>
      <c r="F29" t="s">
        <v>106</v>
      </c>
      <c r="G29" t="s">
        <v>283</v>
      </c>
      <c r="H29">
        <v>0</v>
      </c>
      <c r="I29">
        <v>0</v>
      </c>
      <c r="J29">
        <v>636</v>
      </c>
      <c r="K29">
        <v>960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 t="s">
        <v>101</v>
      </c>
      <c r="B30" t="s">
        <v>68</v>
      </c>
      <c r="C30" t="s">
        <v>285</v>
      </c>
      <c r="D30" t="s">
        <v>67</v>
      </c>
      <c r="E30" t="s">
        <v>54</v>
      </c>
      <c r="F30" t="s">
        <v>107</v>
      </c>
      <c r="G30" t="s">
        <v>283</v>
      </c>
      <c r="H30">
        <v>120</v>
      </c>
      <c r="I30">
        <v>0</v>
      </c>
      <c r="J30">
        <v>1128</v>
      </c>
      <c r="K30">
        <v>1692</v>
      </c>
      <c r="L30">
        <v>2496</v>
      </c>
      <c r="M30">
        <v>2532</v>
      </c>
      <c r="N30">
        <v>1260</v>
      </c>
      <c r="O30">
        <v>636</v>
      </c>
      <c r="P30">
        <v>972</v>
      </c>
      <c r="Q30">
        <v>168</v>
      </c>
      <c r="R30">
        <v>36</v>
      </c>
      <c r="S30">
        <v>0</v>
      </c>
      <c r="T30">
        <v>0</v>
      </c>
      <c r="U30">
        <v>60</v>
      </c>
      <c r="V30">
        <v>1428</v>
      </c>
      <c r="W30">
        <v>2880</v>
      </c>
      <c r="X30">
        <v>2616</v>
      </c>
      <c r="Y30">
        <v>1788</v>
      </c>
      <c r="Z30">
        <v>4296</v>
      </c>
      <c r="AA30">
        <v>4320</v>
      </c>
      <c r="AB30">
        <v>3468</v>
      </c>
      <c r="AC30">
        <v>1440</v>
      </c>
      <c r="AD30">
        <v>2124</v>
      </c>
      <c r="AE30">
        <v>60</v>
      </c>
      <c r="AF30">
        <v>24</v>
      </c>
      <c r="AG30">
        <v>300</v>
      </c>
      <c r="AH30">
        <v>6780</v>
      </c>
    </row>
    <row r="31" spans="1:34" x14ac:dyDescent="0.25">
      <c r="A31" t="s">
        <v>101</v>
      </c>
      <c r="B31" t="s">
        <v>68</v>
      </c>
      <c r="C31" t="s">
        <v>285</v>
      </c>
      <c r="D31" t="s">
        <v>67</v>
      </c>
      <c r="E31" t="s">
        <v>54</v>
      </c>
      <c r="F31" t="s">
        <v>108</v>
      </c>
      <c r="G31" t="s">
        <v>283</v>
      </c>
      <c r="H31">
        <v>0</v>
      </c>
      <c r="I31">
        <v>0</v>
      </c>
      <c r="J31">
        <v>0</v>
      </c>
      <c r="K31">
        <v>204</v>
      </c>
      <c r="L31">
        <v>672</v>
      </c>
      <c r="M31">
        <v>408</v>
      </c>
      <c r="N31">
        <v>192</v>
      </c>
      <c r="O31">
        <v>48</v>
      </c>
      <c r="P31">
        <v>60</v>
      </c>
      <c r="Q31">
        <v>24</v>
      </c>
      <c r="R31">
        <v>0</v>
      </c>
      <c r="S31">
        <v>0</v>
      </c>
      <c r="T31">
        <v>0</v>
      </c>
      <c r="U31">
        <v>0</v>
      </c>
      <c r="V31">
        <v>168</v>
      </c>
      <c r="W31">
        <v>864</v>
      </c>
      <c r="X31">
        <v>588</v>
      </c>
      <c r="Y31">
        <v>144</v>
      </c>
      <c r="Z31">
        <v>1572</v>
      </c>
      <c r="AA31">
        <v>396</v>
      </c>
      <c r="AB31">
        <v>432</v>
      </c>
      <c r="AC31">
        <v>444</v>
      </c>
      <c r="AD31">
        <v>0</v>
      </c>
      <c r="AE31">
        <v>0</v>
      </c>
      <c r="AF31">
        <v>48</v>
      </c>
      <c r="AG31">
        <v>120</v>
      </c>
      <c r="AH31">
        <v>672</v>
      </c>
    </row>
    <row r="32" spans="1:34" x14ac:dyDescent="0.25">
      <c r="A32" t="s">
        <v>101</v>
      </c>
      <c r="B32" t="s">
        <v>68</v>
      </c>
      <c r="C32" t="s">
        <v>285</v>
      </c>
      <c r="D32" t="s">
        <v>67</v>
      </c>
      <c r="E32" t="s">
        <v>54</v>
      </c>
      <c r="F32" t="s">
        <v>109</v>
      </c>
      <c r="G32" t="s">
        <v>283</v>
      </c>
      <c r="H32">
        <v>0</v>
      </c>
      <c r="I32">
        <v>12</v>
      </c>
      <c r="J32">
        <v>228</v>
      </c>
      <c r="K32">
        <v>288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5">
      <c r="A33" t="s">
        <v>101</v>
      </c>
      <c r="B33" t="s">
        <v>68</v>
      </c>
      <c r="C33" t="s">
        <v>285</v>
      </c>
      <c r="D33" t="s">
        <v>67</v>
      </c>
      <c r="E33" t="s">
        <v>54</v>
      </c>
      <c r="F33" t="s">
        <v>110</v>
      </c>
      <c r="G33" t="s">
        <v>283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36</v>
      </c>
      <c r="Q33">
        <v>0</v>
      </c>
      <c r="R33">
        <v>0</v>
      </c>
      <c r="S33">
        <v>0</v>
      </c>
      <c r="T33">
        <v>0</v>
      </c>
      <c r="U33">
        <v>0</v>
      </c>
      <c r="V33">
        <v>36</v>
      </c>
      <c r="W33">
        <v>480</v>
      </c>
      <c r="X33">
        <v>420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5">
      <c r="A34" t="s">
        <v>111</v>
      </c>
      <c r="B34" t="s">
        <v>68</v>
      </c>
      <c r="C34" t="s">
        <v>285</v>
      </c>
      <c r="D34" t="s">
        <v>67</v>
      </c>
      <c r="E34" t="s">
        <v>54</v>
      </c>
      <c r="F34" t="s">
        <v>112</v>
      </c>
      <c r="G34" t="s">
        <v>283</v>
      </c>
      <c r="H34">
        <v>0</v>
      </c>
      <c r="I34">
        <v>0</v>
      </c>
      <c r="J34">
        <v>24</v>
      </c>
      <c r="K34">
        <v>60</v>
      </c>
      <c r="L34">
        <v>144</v>
      </c>
      <c r="M34">
        <v>156</v>
      </c>
      <c r="N34">
        <v>0</v>
      </c>
      <c r="O34">
        <v>24</v>
      </c>
      <c r="P34">
        <v>24</v>
      </c>
      <c r="Q34">
        <v>24</v>
      </c>
      <c r="R34">
        <v>0</v>
      </c>
      <c r="S34">
        <v>0</v>
      </c>
      <c r="T34">
        <v>0</v>
      </c>
      <c r="U34">
        <v>0</v>
      </c>
      <c r="V34">
        <v>36</v>
      </c>
      <c r="W34">
        <v>156</v>
      </c>
      <c r="X34">
        <v>24</v>
      </c>
      <c r="Y34">
        <v>72</v>
      </c>
      <c r="Z34">
        <v>228</v>
      </c>
      <c r="AA34">
        <v>60</v>
      </c>
      <c r="AB34">
        <v>144</v>
      </c>
      <c r="AC34">
        <v>216</v>
      </c>
      <c r="AD34">
        <v>0</v>
      </c>
      <c r="AE34">
        <v>0</v>
      </c>
      <c r="AF34">
        <v>0</v>
      </c>
      <c r="AG34">
        <v>0</v>
      </c>
      <c r="AH34">
        <v>60</v>
      </c>
    </row>
    <row r="35" spans="1:34" x14ac:dyDescent="0.25">
      <c r="A35" t="s">
        <v>114</v>
      </c>
      <c r="B35" t="s">
        <v>68</v>
      </c>
      <c r="C35" t="s">
        <v>285</v>
      </c>
      <c r="D35" t="s">
        <v>67</v>
      </c>
      <c r="E35" t="s">
        <v>54</v>
      </c>
      <c r="F35" t="s">
        <v>115</v>
      </c>
      <c r="G35" t="s">
        <v>283</v>
      </c>
      <c r="H35">
        <v>0</v>
      </c>
      <c r="I35">
        <v>0</v>
      </c>
      <c r="J35">
        <v>0</v>
      </c>
      <c r="K35">
        <v>48</v>
      </c>
      <c r="L35">
        <v>144</v>
      </c>
      <c r="M35">
        <v>132</v>
      </c>
      <c r="N35">
        <v>12</v>
      </c>
      <c r="O35">
        <v>12</v>
      </c>
      <c r="P35">
        <v>12</v>
      </c>
      <c r="Q35">
        <v>0</v>
      </c>
      <c r="R35">
        <v>0</v>
      </c>
      <c r="S35">
        <v>0</v>
      </c>
      <c r="T35">
        <v>0</v>
      </c>
      <c r="U35">
        <v>0</v>
      </c>
      <c r="V35">
        <v>36</v>
      </c>
      <c r="W35">
        <v>228</v>
      </c>
      <c r="X35">
        <v>48</v>
      </c>
      <c r="Y35">
        <v>72</v>
      </c>
      <c r="Z35">
        <v>240</v>
      </c>
      <c r="AA35">
        <v>0</v>
      </c>
      <c r="AB35">
        <v>96</v>
      </c>
      <c r="AC35">
        <v>216</v>
      </c>
      <c r="AD35">
        <v>36</v>
      </c>
      <c r="AE35">
        <v>0</v>
      </c>
      <c r="AF35">
        <v>0</v>
      </c>
      <c r="AG35">
        <v>0</v>
      </c>
      <c r="AH35">
        <v>84</v>
      </c>
    </row>
    <row r="36" spans="1:34" x14ac:dyDescent="0.25">
      <c r="A36" t="s">
        <v>114</v>
      </c>
      <c r="B36" t="s">
        <v>68</v>
      </c>
      <c r="C36" t="s">
        <v>285</v>
      </c>
      <c r="D36" t="s">
        <v>67</v>
      </c>
      <c r="E36" t="s">
        <v>54</v>
      </c>
      <c r="F36" t="s">
        <v>117</v>
      </c>
      <c r="G36" t="s">
        <v>283</v>
      </c>
      <c r="H36">
        <v>0</v>
      </c>
      <c r="I36">
        <v>0</v>
      </c>
      <c r="J36">
        <v>252</v>
      </c>
      <c r="K36">
        <v>468</v>
      </c>
      <c r="L36">
        <v>648</v>
      </c>
      <c r="M36">
        <v>1224</v>
      </c>
      <c r="N36">
        <v>372</v>
      </c>
      <c r="O36">
        <v>204</v>
      </c>
      <c r="P36">
        <v>120</v>
      </c>
      <c r="Q36">
        <v>72</v>
      </c>
      <c r="R36">
        <v>0</v>
      </c>
      <c r="S36">
        <v>0</v>
      </c>
      <c r="T36">
        <v>0</v>
      </c>
      <c r="U36">
        <v>0</v>
      </c>
      <c r="V36">
        <v>348</v>
      </c>
      <c r="W36">
        <v>264</v>
      </c>
      <c r="X36">
        <v>0</v>
      </c>
      <c r="Y36">
        <v>0</v>
      </c>
      <c r="Z36">
        <v>0</v>
      </c>
      <c r="AA36">
        <v>0</v>
      </c>
      <c r="AB36">
        <v>696</v>
      </c>
      <c r="AC36">
        <v>1800</v>
      </c>
      <c r="AD36">
        <v>60</v>
      </c>
      <c r="AE36">
        <v>60</v>
      </c>
      <c r="AF36">
        <v>0</v>
      </c>
      <c r="AG36">
        <v>0</v>
      </c>
      <c r="AH36">
        <v>624</v>
      </c>
    </row>
    <row r="37" spans="1:34" x14ac:dyDescent="0.25">
      <c r="A37" t="s">
        <v>114</v>
      </c>
      <c r="B37" t="s">
        <v>68</v>
      </c>
      <c r="C37" t="s">
        <v>285</v>
      </c>
      <c r="D37" t="s">
        <v>67</v>
      </c>
      <c r="E37" t="s">
        <v>54</v>
      </c>
      <c r="F37" t="s">
        <v>118</v>
      </c>
      <c r="G37" t="s">
        <v>283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132</v>
      </c>
      <c r="X37">
        <v>144</v>
      </c>
      <c r="Y37">
        <v>24</v>
      </c>
      <c r="Z37">
        <v>84</v>
      </c>
      <c r="AA37">
        <v>0</v>
      </c>
      <c r="AB37">
        <v>0</v>
      </c>
      <c r="AC37">
        <v>0</v>
      </c>
      <c r="AD37">
        <v>0</v>
      </c>
      <c r="AE37">
        <v>12</v>
      </c>
      <c r="AF37">
        <v>0</v>
      </c>
      <c r="AG37">
        <v>0</v>
      </c>
      <c r="AH37">
        <v>120</v>
      </c>
    </row>
    <row r="38" spans="1:34" x14ac:dyDescent="0.25">
      <c r="A38" t="s">
        <v>119</v>
      </c>
      <c r="B38" t="s">
        <v>68</v>
      </c>
      <c r="C38" t="s">
        <v>285</v>
      </c>
      <c r="D38" t="s">
        <v>67</v>
      </c>
      <c r="E38" t="s">
        <v>60</v>
      </c>
      <c r="F38" t="s">
        <v>120</v>
      </c>
      <c r="G38" t="s">
        <v>283</v>
      </c>
      <c r="H38">
        <v>936</v>
      </c>
      <c r="I38">
        <v>564</v>
      </c>
      <c r="J38">
        <v>36876</v>
      </c>
      <c r="K38">
        <v>35916</v>
      </c>
      <c r="L38">
        <v>35184</v>
      </c>
      <c r="M38">
        <v>24540</v>
      </c>
      <c r="N38">
        <v>8112</v>
      </c>
      <c r="O38">
        <v>5412</v>
      </c>
      <c r="P38">
        <v>11676</v>
      </c>
      <c r="Q38">
        <v>6300</v>
      </c>
      <c r="R38">
        <v>7392</v>
      </c>
      <c r="S38">
        <v>2496</v>
      </c>
      <c r="T38">
        <v>1116</v>
      </c>
      <c r="U38">
        <v>3192</v>
      </c>
      <c r="V38">
        <v>46560</v>
      </c>
      <c r="W38">
        <v>59712</v>
      </c>
      <c r="X38">
        <v>31428</v>
      </c>
      <c r="Y38">
        <v>15264</v>
      </c>
      <c r="Z38">
        <v>11604</v>
      </c>
      <c r="AA38">
        <v>14736</v>
      </c>
      <c r="AB38">
        <v>5136</v>
      </c>
      <c r="AC38">
        <v>10524</v>
      </c>
      <c r="AD38">
        <v>11328</v>
      </c>
      <c r="AE38">
        <v>1380</v>
      </c>
      <c r="AF38">
        <v>252</v>
      </c>
      <c r="AG38">
        <v>348</v>
      </c>
      <c r="AH38">
        <v>47316</v>
      </c>
    </row>
    <row r="39" spans="1:34" x14ac:dyDescent="0.25">
      <c r="A39" t="s">
        <v>119</v>
      </c>
      <c r="B39" t="s">
        <v>68</v>
      </c>
      <c r="C39" t="s">
        <v>285</v>
      </c>
      <c r="D39" t="s">
        <v>67</v>
      </c>
      <c r="E39" t="s">
        <v>53</v>
      </c>
      <c r="F39" t="s">
        <v>121</v>
      </c>
      <c r="G39" t="s">
        <v>283</v>
      </c>
      <c r="H39">
        <v>0</v>
      </c>
      <c r="I39">
        <v>0</v>
      </c>
      <c r="J39">
        <v>1428</v>
      </c>
      <c r="K39">
        <v>5904</v>
      </c>
      <c r="L39">
        <v>2880</v>
      </c>
      <c r="M39">
        <v>5280</v>
      </c>
      <c r="N39">
        <v>1470</v>
      </c>
      <c r="O39">
        <v>360</v>
      </c>
      <c r="P39">
        <v>348</v>
      </c>
      <c r="Q39">
        <v>924</v>
      </c>
      <c r="R39">
        <v>1152</v>
      </c>
      <c r="S39">
        <v>240</v>
      </c>
      <c r="T39">
        <v>60</v>
      </c>
      <c r="U39">
        <v>312</v>
      </c>
      <c r="V39">
        <v>6906</v>
      </c>
      <c r="W39">
        <v>5706</v>
      </c>
      <c r="X39">
        <v>8088</v>
      </c>
      <c r="Y39">
        <v>4674</v>
      </c>
      <c r="Z39">
        <v>2598</v>
      </c>
      <c r="AA39">
        <v>2544</v>
      </c>
      <c r="AB39">
        <v>2328</v>
      </c>
      <c r="AC39">
        <v>2256</v>
      </c>
      <c r="AD39">
        <v>726</v>
      </c>
      <c r="AE39">
        <v>984</v>
      </c>
      <c r="AF39">
        <v>60</v>
      </c>
      <c r="AG39">
        <v>54</v>
      </c>
      <c r="AH39">
        <v>10440</v>
      </c>
    </row>
    <row r="40" spans="1:34" x14ac:dyDescent="0.25">
      <c r="A40" t="s">
        <v>119</v>
      </c>
      <c r="B40" t="s">
        <v>68</v>
      </c>
      <c r="C40" t="s">
        <v>285</v>
      </c>
      <c r="D40" t="s">
        <v>67</v>
      </c>
      <c r="E40" t="s">
        <v>53</v>
      </c>
      <c r="F40" t="s">
        <v>122</v>
      </c>
      <c r="G40" t="s">
        <v>283</v>
      </c>
      <c r="H40">
        <v>696</v>
      </c>
      <c r="I40">
        <v>588</v>
      </c>
      <c r="J40">
        <v>16884</v>
      </c>
      <c r="K40">
        <v>23076</v>
      </c>
      <c r="L40">
        <v>15972</v>
      </c>
      <c r="M40">
        <v>11760</v>
      </c>
      <c r="N40">
        <v>1644</v>
      </c>
      <c r="O40">
        <v>840</v>
      </c>
      <c r="P40">
        <v>1752</v>
      </c>
      <c r="Q40">
        <v>2604</v>
      </c>
      <c r="R40">
        <v>1164</v>
      </c>
      <c r="S40">
        <v>480</v>
      </c>
      <c r="T40">
        <v>276</v>
      </c>
      <c r="U40">
        <v>996</v>
      </c>
      <c r="V40">
        <v>18420</v>
      </c>
      <c r="W40">
        <v>21564</v>
      </c>
      <c r="X40">
        <v>16272</v>
      </c>
      <c r="Y40">
        <v>3648</v>
      </c>
      <c r="Z40">
        <v>2400</v>
      </c>
      <c r="AA40">
        <v>3156</v>
      </c>
      <c r="AB40">
        <v>2952</v>
      </c>
      <c r="AC40">
        <v>6312</v>
      </c>
      <c r="AD40">
        <v>3036</v>
      </c>
      <c r="AE40">
        <v>264</v>
      </c>
      <c r="AF40">
        <v>24</v>
      </c>
      <c r="AG40">
        <v>1464</v>
      </c>
      <c r="AH40">
        <v>14916</v>
      </c>
    </row>
    <row r="41" spans="1:34" x14ac:dyDescent="0.25">
      <c r="A41" t="s">
        <v>119</v>
      </c>
      <c r="B41" t="s">
        <v>68</v>
      </c>
      <c r="C41" t="s">
        <v>285</v>
      </c>
      <c r="D41" t="s">
        <v>67</v>
      </c>
      <c r="E41" t="s">
        <v>55</v>
      </c>
      <c r="F41" t="s">
        <v>123</v>
      </c>
      <c r="G41" t="s">
        <v>283</v>
      </c>
      <c r="H41">
        <v>192</v>
      </c>
      <c r="I41">
        <v>60</v>
      </c>
      <c r="J41">
        <v>672</v>
      </c>
      <c r="K41">
        <v>120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5">
      <c r="A42" t="s">
        <v>119</v>
      </c>
      <c r="B42" t="s">
        <v>68</v>
      </c>
      <c r="C42" t="s">
        <v>285</v>
      </c>
      <c r="D42" t="s">
        <v>67</v>
      </c>
      <c r="E42" t="s">
        <v>55</v>
      </c>
      <c r="F42" t="s">
        <v>124</v>
      </c>
      <c r="G42" t="s">
        <v>283</v>
      </c>
      <c r="H42">
        <v>0</v>
      </c>
      <c r="I42">
        <v>0</v>
      </c>
      <c r="J42">
        <v>1596</v>
      </c>
      <c r="K42">
        <v>4380</v>
      </c>
      <c r="L42">
        <v>2172</v>
      </c>
      <c r="M42">
        <v>2160</v>
      </c>
      <c r="N42">
        <v>1068</v>
      </c>
      <c r="O42">
        <v>924</v>
      </c>
      <c r="P42">
        <v>1476</v>
      </c>
      <c r="Q42">
        <v>1272</v>
      </c>
      <c r="R42">
        <v>900</v>
      </c>
      <c r="S42">
        <v>492</v>
      </c>
      <c r="T42">
        <v>228</v>
      </c>
      <c r="U42">
        <v>648</v>
      </c>
      <c r="V42">
        <v>2508</v>
      </c>
      <c r="W42">
        <v>5604</v>
      </c>
      <c r="X42">
        <v>2532</v>
      </c>
      <c r="Y42">
        <v>1188</v>
      </c>
      <c r="Z42">
        <v>1512</v>
      </c>
      <c r="AA42">
        <v>2364</v>
      </c>
      <c r="AB42">
        <v>1020</v>
      </c>
      <c r="AC42">
        <v>2220</v>
      </c>
      <c r="AD42">
        <v>708</v>
      </c>
      <c r="AE42">
        <v>576</v>
      </c>
      <c r="AF42">
        <v>288</v>
      </c>
      <c r="AG42">
        <v>132</v>
      </c>
      <c r="AH42">
        <v>4944</v>
      </c>
    </row>
    <row r="43" spans="1:34" x14ac:dyDescent="0.25">
      <c r="A43" t="s">
        <v>119</v>
      </c>
      <c r="B43" t="s">
        <v>68</v>
      </c>
      <c r="C43" t="s">
        <v>285</v>
      </c>
      <c r="D43" t="s">
        <v>67</v>
      </c>
      <c r="E43" t="s">
        <v>55</v>
      </c>
      <c r="F43" t="s">
        <v>125</v>
      </c>
      <c r="G43" t="s">
        <v>283</v>
      </c>
      <c r="H43">
        <v>948</v>
      </c>
      <c r="I43">
        <v>276</v>
      </c>
      <c r="J43">
        <v>21648</v>
      </c>
      <c r="K43">
        <v>26244</v>
      </c>
      <c r="L43">
        <v>18048</v>
      </c>
      <c r="M43">
        <v>14028</v>
      </c>
      <c r="N43">
        <v>5184</v>
      </c>
      <c r="O43">
        <v>3216</v>
      </c>
      <c r="P43">
        <v>3240</v>
      </c>
      <c r="Q43">
        <v>2616</v>
      </c>
      <c r="R43">
        <v>3036</v>
      </c>
      <c r="S43">
        <v>1308</v>
      </c>
      <c r="T43">
        <v>1044</v>
      </c>
      <c r="U43">
        <v>1464</v>
      </c>
      <c r="V43">
        <v>25032</v>
      </c>
      <c r="W43">
        <v>25584</v>
      </c>
      <c r="X43">
        <v>12348</v>
      </c>
      <c r="Y43">
        <v>7548</v>
      </c>
      <c r="Z43">
        <v>8220</v>
      </c>
      <c r="AA43">
        <v>5928</v>
      </c>
      <c r="AB43">
        <v>3036</v>
      </c>
      <c r="AC43">
        <v>11088</v>
      </c>
      <c r="AD43">
        <v>3420</v>
      </c>
      <c r="AE43">
        <v>600</v>
      </c>
      <c r="AF43">
        <v>144</v>
      </c>
      <c r="AG43">
        <v>1608</v>
      </c>
      <c r="AH43">
        <v>26268</v>
      </c>
    </row>
    <row r="44" spans="1:34" x14ac:dyDescent="0.25">
      <c r="A44" t="s">
        <v>119</v>
      </c>
      <c r="B44" t="s">
        <v>68</v>
      </c>
      <c r="C44" t="s">
        <v>285</v>
      </c>
      <c r="D44" t="s">
        <v>67</v>
      </c>
      <c r="E44" t="s">
        <v>55</v>
      </c>
      <c r="F44" t="s">
        <v>126</v>
      </c>
      <c r="G44" t="s">
        <v>283</v>
      </c>
      <c r="H44">
        <v>0</v>
      </c>
      <c r="I44">
        <v>0</v>
      </c>
      <c r="J44">
        <v>2460</v>
      </c>
      <c r="K44">
        <v>4986</v>
      </c>
      <c r="L44">
        <v>1728</v>
      </c>
      <c r="M44">
        <v>5460</v>
      </c>
      <c r="N44">
        <v>1560</v>
      </c>
      <c r="O44">
        <v>1932</v>
      </c>
      <c r="P44">
        <v>1614</v>
      </c>
      <c r="Q44">
        <v>276</v>
      </c>
      <c r="R44">
        <v>1698</v>
      </c>
      <c r="S44">
        <v>816</v>
      </c>
      <c r="T44">
        <v>138</v>
      </c>
      <c r="U44">
        <v>300</v>
      </c>
      <c r="V44">
        <v>8196</v>
      </c>
      <c r="W44">
        <v>7320</v>
      </c>
      <c r="X44">
        <v>6522</v>
      </c>
      <c r="Y44">
        <v>4506</v>
      </c>
      <c r="Z44">
        <v>3726</v>
      </c>
      <c r="AA44">
        <v>4656</v>
      </c>
      <c r="AB44">
        <v>2520</v>
      </c>
      <c r="AC44">
        <v>2220</v>
      </c>
      <c r="AD44">
        <v>1518</v>
      </c>
      <c r="AE44">
        <v>1020</v>
      </c>
      <c r="AF44">
        <v>84</v>
      </c>
      <c r="AG44">
        <v>138</v>
      </c>
      <c r="AH44">
        <v>10434</v>
      </c>
    </row>
    <row r="45" spans="1:34" x14ac:dyDescent="0.25">
      <c r="A45" t="s">
        <v>119</v>
      </c>
      <c r="B45" t="s">
        <v>68</v>
      </c>
      <c r="C45" t="s">
        <v>285</v>
      </c>
      <c r="D45" t="s">
        <v>67</v>
      </c>
      <c r="E45" t="s">
        <v>55</v>
      </c>
      <c r="F45" t="s">
        <v>127</v>
      </c>
      <c r="G45" t="s">
        <v>283</v>
      </c>
      <c r="H45">
        <v>0</v>
      </c>
      <c r="I45">
        <v>24</v>
      </c>
      <c r="J45">
        <v>408</v>
      </c>
      <c r="K45">
        <v>2244</v>
      </c>
      <c r="L45">
        <v>492</v>
      </c>
      <c r="M45">
        <v>84</v>
      </c>
      <c r="N45">
        <v>36</v>
      </c>
      <c r="O45">
        <v>324</v>
      </c>
      <c r="P45">
        <v>0</v>
      </c>
      <c r="Q45">
        <v>0</v>
      </c>
      <c r="R45">
        <v>96</v>
      </c>
      <c r="S45">
        <v>0</v>
      </c>
      <c r="T45">
        <v>0</v>
      </c>
      <c r="U45">
        <v>0</v>
      </c>
      <c r="V45">
        <v>0</v>
      </c>
      <c r="W45">
        <v>216</v>
      </c>
      <c r="X45">
        <v>1080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 t="s">
        <v>119</v>
      </c>
      <c r="B46" t="s">
        <v>68</v>
      </c>
      <c r="C46" t="s">
        <v>285</v>
      </c>
      <c r="D46" t="s">
        <v>67</v>
      </c>
      <c r="E46" t="s">
        <v>55</v>
      </c>
      <c r="F46" t="s">
        <v>128</v>
      </c>
      <c r="G46" t="s">
        <v>283</v>
      </c>
      <c r="H46">
        <v>5052</v>
      </c>
      <c r="I46">
        <v>456</v>
      </c>
      <c r="J46">
        <v>32868</v>
      </c>
      <c r="K46">
        <v>49260</v>
      </c>
      <c r="L46">
        <v>47532</v>
      </c>
      <c r="M46">
        <v>25800</v>
      </c>
      <c r="N46">
        <v>9012</v>
      </c>
      <c r="O46">
        <v>6936</v>
      </c>
      <c r="P46">
        <v>5784</v>
      </c>
      <c r="Q46">
        <v>14004</v>
      </c>
      <c r="R46">
        <v>9456</v>
      </c>
      <c r="S46">
        <v>5052</v>
      </c>
      <c r="T46">
        <v>1428</v>
      </c>
      <c r="U46">
        <v>6432</v>
      </c>
      <c r="V46">
        <v>42576</v>
      </c>
      <c r="W46">
        <v>63144</v>
      </c>
      <c r="X46">
        <v>37752</v>
      </c>
      <c r="Y46">
        <v>23484</v>
      </c>
      <c r="Z46">
        <v>10344</v>
      </c>
      <c r="AA46">
        <v>13788</v>
      </c>
      <c r="AB46">
        <v>7512</v>
      </c>
      <c r="AC46">
        <v>26688</v>
      </c>
      <c r="AD46">
        <v>10980</v>
      </c>
      <c r="AE46">
        <v>2472</v>
      </c>
      <c r="AF46">
        <v>360</v>
      </c>
      <c r="AG46">
        <v>732</v>
      </c>
      <c r="AH46">
        <v>44376</v>
      </c>
    </row>
    <row r="47" spans="1:34" x14ac:dyDescent="0.25">
      <c r="A47" t="s">
        <v>119</v>
      </c>
      <c r="B47" t="s">
        <v>68</v>
      </c>
      <c r="C47" t="s">
        <v>285</v>
      </c>
      <c r="D47" t="s">
        <v>67</v>
      </c>
      <c r="E47" t="s">
        <v>55</v>
      </c>
      <c r="F47" t="s">
        <v>129</v>
      </c>
      <c r="G47" t="s">
        <v>283</v>
      </c>
      <c r="H47">
        <v>0</v>
      </c>
      <c r="I47">
        <v>0</v>
      </c>
      <c r="J47">
        <v>264</v>
      </c>
      <c r="K47">
        <v>288</v>
      </c>
      <c r="L47">
        <v>360</v>
      </c>
      <c r="M47">
        <v>252</v>
      </c>
      <c r="N47">
        <v>72</v>
      </c>
      <c r="O47">
        <v>216</v>
      </c>
      <c r="P47">
        <v>48</v>
      </c>
      <c r="Q47">
        <v>0</v>
      </c>
      <c r="R47">
        <v>0</v>
      </c>
      <c r="S47">
        <v>0</v>
      </c>
      <c r="T47">
        <v>0</v>
      </c>
      <c r="U47">
        <v>60</v>
      </c>
      <c r="V47">
        <v>84</v>
      </c>
      <c r="W47">
        <v>456</v>
      </c>
      <c r="X47">
        <v>360</v>
      </c>
      <c r="Y47">
        <v>0</v>
      </c>
      <c r="Z47">
        <v>156</v>
      </c>
      <c r="AA47">
        <v>3000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5">
      <c r="A48" t="s">
        <v>119</v>
      </c>
      <c r="B48" t="s">
        <v>68</v>
      </c>
      <c r="C48" t="s">
        <v>285</v>
      </c>
      <c r="D48" t="s">
        <v>67</v>
      </c>
      <c r="E48" t="s">
        <v>55</v>
      </c>
      <c r="F48" t="s">
        <v>130</v>
      </c>
      <c r="G48" t="s">
        <v>283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60</v>
      </c>
      <c r="W48">
        <v>216</v>
      </c>
      <c r="X48">
        <v>0</v>
      </c>
      <c r="Y48">
        <v>0</v>
      </c>
      <c r="Z48">
        <v>0</v>
      </c>
      <c r="AA48">
        <v>0</v>
      </c>
      <c r="AB48">
        <v>0</v>
      </c>
      <c r="AC48">
        <v>60</v>
      </c>
      <c r="AD48">
        <v>0</v>
      </c>
      <c r="AE48">
        <v>0</v>
      </c>
      <c r="AF48">
        <v>0</v>
      </c>
      <c r="AG48">
        <v>0</v>
      </c>
      <c r="AH48">
        <v>672</v>
      </c>
    </row>
    <row r="49" spans="1:34" x14ac:dyDescent="0.25">
      <c r="A49" t="s">
        <v>131</v>
      </c>
      <c r="B49" t="s">
        <v>68</v>
      </c>
      <c r="C49" t="s">
        <v>285</v>
      </c>
      <c r="D49" t="s">
        <v>67</v>
      </c>
      <c r="E49" t="s">
        <v>60</v>
      </c>
      <c r="F49" t="s">
        <v>132</v>
      </c>
      <c r="G49" t="s">
        <v>283</v>
      </c>
      <c r="H49">
        <v>756</v>
      </c>
      <c r="I49">
        <v>48</v>
      </c>
      <c r="J49">
        <v>1824</v>
      </c>
      <c r="K49">
        <v>4020</v>
      </c>
      <c r="L49">
        <v>2472</v>
      </c>
      <c r="M49">
        <v>1032</v>
      </c>
      <c r="N49">
        <v>792</v>
      </c>
      <c r="O49">
        <v>960</v>
      </c>
      <c r="P49">
        <v>1428</v>
      </c>
      <c r="Q49">
        <v>1068</v>
      </c>
      <c r="R49">
        <v>516</v>
      </c>
      <c r="S49">
        <v>300</v>
      </c>
      <c r="T49">
        <v>300</v>
      </c>
      <c r="U49">
        <v>636</v>
      </c>
      <c r="V49">
        <v>1560</v>
      </c>
      <c r="W49">
        <v>4824</v>
      </c>
      <c r="X49">
        <v>2724</v>
      </c>
      <c r="Y49">
        <v>1716</v>
      </c>
      <c r="Z49">
        <v>2232</v>
      </c>
      <c r="AA49">
        <v>2328</v>
      </c>
      <c r="AB49">
        <v>1116</v>
      </c>
      <c r="AC49">
        <v>2076</v>
      </c>
      <c r="AD49">
        <v>780</v>
      </c>
      <c r="AE49">
        <v>564</v>
      </c>
      <c r="AF49">
        <v>120</v>
      </c>
      <c r="AG49">
        <v>120</v>
      </c>
      <c r="AH49">
        <v>3720</v>
      </c>
    </row>
    <row r="50" spans="1:34" x14ac:dyDescent="0.25">
      <c r="A50" t="s">
        <v>131</v>
      </c>
      <c r="B50" t="s">
        <v>68</v>
      </c>
      <c r="C50" t="s">
        <v>285</v>
      </c>
      <c r="D50" t="s">
        <v>67</v>
      </c>
      <c r="E50" t="s">
        <v>55</v>
      </c>
      <c r="F50" t="s">
        <v>133</v>
      </c>
      <c r="G50" t="s">
        <v>283</v>
      </c>
      <c r="H50">
        <v>48</v>
      </c>
      <c r="I50">
        <v>0</v>
      </c>
      <c r="J50">
        <v>528</v>
      </c>
      <c r="K50">
        <v>1068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 t="s">
        <v>131</v>
      </c>
      <c r="B51" t="s">
        <v>68</v>
      </c>
      <c r="C51" t="s">
        <v>285</v>
      </c>
      <c r="D51" t="s">
        <v>67</v>
      </c>
      <c r="E51" t="s">
        <v>55</v>
      </c>
      <c r="F51" t="s">
        <v>134</v>
      </c>
      <c r="G51" t="s">
        <v>283</v>
      </c>
      <c r="H51">
        <v>864</v>
      </c>
      <c r="I51">
        <v>120</v>
      </c>
      <c r="J51">
        <v>5304</v>
      </c>
      <c r="K51">
        <v>6396</v>
      </c>
      <c r="L51">
        <v>4896</v>
      </c>
      <c r="M51">
        <v>3180</v>
      </c>
      <c r="N51">
        <v>3096</v>
      </c>
      <c r="O51">
        <v>3012</v>
      </c>
      <c r="P51">
        <v>3672</v>
      </c>
      <c r="Q51">
        <v>2688</v>
      </c>
      <c r="R51">
        <v>1368</v>
      </c>
      <c r="S51">
        <v>756</v>
      </c>
      <c r="T51">
        <v>936</v>
      </c>
      <c r="U51">
        <v>1152</v>
      </c>
      <c r="V51">
        <v>5640</v>
      </c>
      <c r="W51">
        <v>10740</v>
      </c>
      <c r="X51">
        <v>4320</v>
      </c>
      <c r="Y51">
        <v>2616</v>
      </c>
      <c r="Z51">
        <v>3936</v>
      </c>
      <c r="AA51">
        <v>5448</v>
      </c>
      <c r="AB51">
        <v>3660</v>
      </c>
      <c r="AC51">
        <v>4512</v>
      </c>
      <c r="AD51">
        <v>2052</v>
      </c>
      <c r="AE51">
        <v>456</v>
      </c>
      <c r="AF51">
        <v>504</v>
      </c>
      <c r="AG51">
        <v>456</v>
      </c>
      <c r="AH51">
        <v>11592</v>
      </c>
    </row>
    <row r="52" spans="1:34" x14ac:dyDescent="0.25">
      <c r="A52" t="s">
        <v>131</v>
      </c>
      <c r="B52" t="s">
        <v>68</v>
      </c>
      <c r="C52" t="s">
        <v>285</v>
      </c>
      <c r="D52" t="s">
        <v>67</v>
      </c>
      <c r="E52" t="s">
        <v>55</v>
      </c>
      <c r="F52" t="s">
        <v>135</v>
      </c>
      <c r="G52" t="s">
        <v>283</v>
      </c>
      <c r="H52">
        <v>576</v>
      </c>
      <c r="I52">
        <v>156</v>
      </c>
      <c r="J52">
        <v>2280</v>
      </c>
      <c r="K52">
        <v>2220</v>
      </c>
      <c r="L52">
        <v>3300</v>
      </c>
      <c r="M52">
        <v>2184</v>
      </c>
      <c r="N52">
        <v>3072</v>
      </c>
      <c r="O52">
        <v>852</v>
      </c>
      <c r="P52">
        <v>1644</v>
      </c>
      <c r="Q52">
        <v>1824</v>
      </c>
      <c r="R52">
        <v>1296</v>
      </c>
      <c r="S52">
        <v>852</v>
      </c>
      <c r="T52">
        <v>804</v>
      </c>
      <c r="U52">
        <v>816</v>
      </c>
      <c r="V52">
        <v>1776</v>
      </c>
      <c r="W52">
        <v>4440</v>
      </c>
      <c r="X52">
        <v>4164</v>
      </c>
      <c r="Y52">
        <v>1140</v>
      </c>
      <c r="Z52">
        <v>1740</v>
      </c>
      <c r="AA52">
        <v>3096</v>
      </c>
      <c r="AB52">
        <v>1632</v>
      </c>
      <c r="AC52">
        <v>2100</v>
      </c>
      <c r="AD52">
        <v>1140</v>
      </c>
      <c r="AE52">
        <v>324</v>
      </c>
      <c r="AF52">
        <v>132</v>
      </c>
      <c r="AG52">
        <v>276</v>
      </c>
      <c r="AH52">
        <v>4536</v>
      </c>
    </row>
    <row r="53" spans="1:34" x14ac:dyDescent="0.25">
      <c r="A53" t="s">
        <v>131</v>
      </c>
      <c r="B53" t="s">
        <v>68</v>
      </c>
      <c r="C53" t="s">
        <v>285</v>
      </c>
      <c r="D53" t="s">
        <v>67</v>
      </c>
      <c r="E53" t="s">
        <v>55</v>
      </c>
      <c r="F53" t="s">
        <v>136</v>
      </c>
      <c r="G53" t="s">
        <v>283</v>
      </c>
      <c r="H53">
        <v>0</v>
      </c>
      <c r="I53">
        <v>0</v>
      </c>
      <c r="J53">
        <v>480</v>
      </c>
      <c r="K53">
        <v>168</v>
      </c>
      <c r="L53">
        <v>240</v>
      </c>
      <c r="M53">
        <v>84</v>
      </c>
      <c r="N53">
        <v>132</v>
      </c>
      <c r="O53">
        <v>300</v>
      </c>
      <c r="P53">
        <v>48</v>
      </c>
      <c r="Q53">
        <v>60</v>
      </c>
      <c r="R53">
        <v>0</v>
      </c>
      <c r="S53">
        <v>0</v>
      </c>
      <c r="T53">
        <v>0</v>
      </c>
      <c r="U53">
        <v>0</v>
      </c>
      <c r="V53">
        <v>0</v>
      </c>
      <c r="W53">
        <v>444</v>
      </c>
      <c r="X53">
        <v>564</v>
      </c>
      <c r="Y53">
        <v>0</v>
      </c>
      <c r="Z53">
        <v>24</v>
      </c>
      <c r="AA53">
        <v>8268</v>
      </c>
      <c r="AB53">
        <v>1716</v>
      </c>
      <c r="AC53">
        <v>1104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 t="s">
        <v>131</v>
      </c>
      <c r="B54" t="s">
        <v>68</v>
      </c>
      <c r="C54" t="s">
        <v>285</v>
      </c>
      <c r="D54" t="s">
        <v>67</v>
      </c>
      <c r="E54" t="s">
        <v>55</v>
      </c>
      <c r="F54" t="s">
        <v>137</v>
      </c>
      <c r="G54" t="s">
        <v>283</v>
      </c>
      <c r="H54">
        <v>36</v>
      </c>
      <c r="I54">
        <v>30</v>
      </c>
      <c r="J54">
        <v>570</v>
      </c>
      <c r="K54">
        <v>804</v>
      </c>
      <c r="L54">
        <v>726</v>
      </c>
      <c r="M54">
        <v>534</v>
      </c>
      <c r="N54">
        <v>1002</v>
      </c>
      <c r="O54">
        <v>330</v>
      </c>
      <c r="P54">
        <v>384</v>
      </c>
      <c r="Q54">
        <v>450</v>
      </c>
      <c r="R54">
        <v>318</v>
      </c>
      <c r="S54">
        <v>120</v>
      </c>
      <c r="T54">
        <v>72</v>
      </c>
      <c r="U54">
        <v>180</v>
      </c>
      <c r="V54">
        <v>444</v>
      </c>
      <c r="W54">
        <v>1344</v>
      </c>
      <c r="X54">
        <v>672</v>
      </c>
      <c r="Y54">
        <v>516</v>
      </c>
      <c r="Z54">
        <v>348</v>
      </c>
      <c r="AA54">
        <v>582</v>
      </c>
      <c r="AB54">
        <v>384</v>
      </c>
      <c r="AC54">
        <v>450</v>
      </c>
      <c r="AD54">
        <v>264</v>
      </c>
      <c r="AE54">
        <v>60</v>
      </c>
      <c r="AF54">
        <v>66</v>
      </c>
      <c r="AG54">
        <v>90</v>
      </c>
      <c r="AH54">
        <v>1236</v>
      </c>
    </row>
    <row r="55" spans="1:34" x14ac:dyDescent="0.25">
      <c r="A55" t="s">
        <v>131</v>
      </c>
      <c r="B55" t="s">
        <v>68</v>
      </c>
      <c r="C55" t="s">
        <v>285</v>
      </c>
      <c r="D55" t="s">
        <v>67</v>
      </c>
      <c r="E55" t="s">
        <v>55</v>
      </c>
      <c r="F55" t="s">
        <v>139</v>
      </c>
      <c r="G55" t="s">
        <v>283</v>
      </c>
      <c r="H55">
        <v>96</v>
      </c>
      <c r="I55">
        <v>168</v>
      </c>
      <c r="J55">
        <v>1512</v>
      </c>
      <c r="K55">
        <v>2580</v>
      </c>
      <c r="L55">
        <v>2256</v>
      </c>
      <c r="M55">
        <v>2328</v>
      </c>
      <c r="N55">
        <v>1716</v>
      </c>
      <c r="O55">
        <v>1176</v>
      </c>
      <c r="P55">
        <v>1380</v>
      </c>
      <c r="Q55">
        <v>864</v>
      </c>
      <c r="R55">
        <v>636</v>
      </c>
      <c r="S55">
        <v>360</v>
      </c>
      <c r="T55">
        <v>192</v>
      </c>
      <c r="U55">
        <v>852</v>
      </c>
      <c r="V55">
        <v>1416</v>
      </c>
      <c r="W55">
        <v>4044</v>
      </c>
      <c r="X55">
        <v>3108</v>
      </c>
      <c r="Y55">
        <v>1632</v>
      </c>
      <c r="Z55">
        <v>1716</v>
      </c>
      <c r="AA55">
        <v>2304</v>
      </c>
      <c r="AB55">
        <v>840</v>
      </c>
      <c r="AC55">
        <v>1500</v>
      </c>
      <c r="AD55">
        <v>780</v>
      </c>
      <c r="AE55">
        <v>36</v>
      </c>
      <c r="AF55">
        <v>216</v>
      </c>
      <c r="AG55">
        <v>336</v>
      </c>
      <c r="AH55">
        <v>3840</v>
      </c>
    </row>
    <row r="56" spans="1:34" x14ac:dyDescent="0.25">
      <c r="A56" t="s">
        <v>141</v>
      </c>
      <c r="B56" t="s">
        <v>68</v>
      </c>
      <c r="C56" t="s">
        <v>285</v>
      </c>
      <c r="D56" t="s">
        <v>67</v>
      </c>
      <c r="E56" t="s">
        <v>55</v>
      </c>
      <c r="F56" t="s">
        <v>142</v>
      </c>
      <c r="G56" t="s">
        <v>283</v>
      </c>
      <c r="H56">
        <v>276</v>
      </c>
      <c r="I56">
        <v>60</v>
      </c>
      <c r="J56">
        <v>816</v>
      </c>
      <c r="K56">
        <v>1176</v>
      </c>
      <c r="L56">
        <v>924</v>
      </c>
      <c r="M56">
        <v>1212</v>
      </c>
      <c r="N56">
        <v>696</v>
      </c>
      <c r="O56">
        <v>600</v>
      </c>
      <c r="P56">
        <v>444</v>
      </c>
      <c r="Q56">
        <v>636</v>
      </c>
      <c r="R56">
        <v>144</v>
      </c>
      <c r="S56">
        <v>84</v>
      </c>
      <c r="T56">
        <v>60</v>
      </c>
      <c r="U56">
        <v>264</v>
      </c>
      <c r="V56">
        <v>768</v>
      </c>
      <c r="W56">
        <v>1848</v>
      </c>
      <c r="X56">
        <v>1260</v>
      </c>
      <c r="Y56">
        <v>576</v>
      </c>
      <c r="Z56">
        <v>492</v>
      </c>
      <c r="AA56">
        <v>852</v>
      </c>
      <c r="AB56">
        <v>216</v>
      </c>
      <c r="AC56">
        <v>624</v>
      </c>
      <c r="AD56">
        <v>420</v>
      </c>
      <c r="AE56">
        <v>312</v>
      </c>
      <c r="AF56">
        <v>24</v>
      </c>
      <c r="AG56">
        <v>120</v>
      </c>
      <c r="AH56">
        <v>972</v>
      </c>
    </row>
    <row r="57" spans="1:34" x14ac:dyDescent="0.25">
      <c r="A57" t="s">
        <v>143</v>
      </c>
      <c r="B57" t="s">
        <v>68</v>
      </c>
      <c r="C57" t="s">
        <v>285</v>
      </c>
      <c r="D57" t="s">
        <v>67</v>
      </c>
      <c r="E57" t="s">
        <v>55</v>
      </c>
      <c r="F57" t="s">
        <v>144</v>
      </c>
      <c r="G57" t="s">
        <v>283</v>
      </c>
      <c r="H57">
        <v>336</v>
      </c>
      <c r="I57">
        <v>132</v>
      </c>
      <c r="J57">
        <v>900</v>
      </c>
      <c r="K57">
        <v>1320</v>
      </c>
      <c r="L57">
        <v>1320</v>
      </c>
      <c r="M57">
        <v>732</v>
      </c>
      <c r="N57">
        <v>396</v>
      </c>
      <c r="O57">
        <v>972</v>
      </c>
      <c r="P57">
        <v>276</v>
      </c>
      <c r="Q57">
        <v>480</v>
      </c>
      <c r="R57">
        <v>144</v>
      </c>
      <c r="S57">
        <v>228</v>
      </c>
      <c r="T57">
        <v>144</v>
      </c>
      <c r="U57">
        <v>144</v>
      </c>
      <c r="V57">
        <v>1044</v>
      </c>
      <c r="W57">
        <v>2112</v>
      </c>
      <c r="X57">
        <v>1548</v>
      </c>
      <c r="Y57">
        <v>108</v>
      </c>
      <c r="Z57">
        <v>660</v>
      </c>
      <c r="AA57">
        <v>756</v>
      </c>
      <c r="AB57">
        <v>396</v>
      </c>
      <c r="AC57">
        <v>540</v>
      </c>
      <c r="AD57">
        <v>312</v>
      </c>
      <c r="AE57">
        <v>72</v>
      </c>
      <c r="AF57">
        <v>0</v>
      </c>
      <c r="AG57">
        <v>84</v>
      </c>
      <c r="AH57">
        <v>1236</v>
      </c>
    </row>
    <row r="58" spans="1:34" x14ac:dyDescent="0.25">
      <c r="A58" t="s">
        <v>145</v>
      </c>
      <c r="B58" t="s">
        <v>68</v>
      </c>
      <c r="C58" t="s">
        <v>285</v>
      </c>
      <c r="D58" t="s">
        <v>67</v>
      </c>
      <c r="E58" t="s">
        <v>55</v>
      </c>
      <c r="F58" t="s">
        <v>146</v>
      </c>
      <c r="G58" t="s">
        <v>283</v>
      </c>
      <c r="H58">
        <v>300</v>
      </c>
      <c r="I58">
        <v>132</v>
      </c>
      <c r="J58">
        <v>1704</v>
      </c>
      <c r="K58">
        <v>1680</v>
      </c>
      <c r="L58">
        <v>1812</v>
      </c>
      <c r="M58">
        <v>1020</v>
      </c>
      <c r="N58">
        <v>456</v>
      </c>
      <c r="O58">
        <v>444</v>
      </c>
      <c r="P58">
        <v>552</v>
      </c>
      <c r="Q58">
        <v>564</v>
      </c>
      <c r="R58">
        <v>288</v>
      </c>
      <c r="S58">
        <v>300</v>
      </c>
      <c r="T58">
        <v>168</v>
      </c>
      <c r="U58">
        <v>372</v>
      </c>
      <c r="V58">
        <v>1332</v>
      </c>
      <c r="W58">
        <v>2304</v>
      </c>
      <c r="X58">
        <v>1248</v>
      </c>
      <c r="Y58">
        <v>636</v>
      </c>
      <c r="Z58">
        <v>732</v>
      </c>
      <c r="AA58">
        <v>672</v>
      </c>
      <c r="AB58">
        <v>552</v>
      </c>
      <c r="AC58">
        <v>732</v>
      </c>
      <c r="AD58">
        <v>120</v>
      </c>
      <c r="AE58">
        <v>120</v>
      </c>
      <c r="AF58">
        <v>192</v>
      </c>
      <c r="AG58">
        <v>156</v>
      </c>
      <c r="AH58">
        <v>1668</v>
      </c>
    </row>
    <row r="59" spans="1:34" x14ac:dyDescent="0.25">
      <c r="A59" t="s">
        <v>147</v>
      </c>
      <c r="B59" t="s">
        <v>68</v>
      </c>
      <c r="C59" t="s">
        <v>285</v>
      </c>
      <c r="D59" t="s">
        <v>67</v>
      </c>
      <c r="E59" t="s">
        <v>55</v>
      </c>
      <c r="F59" t="s">
        <v>148</v>
      </c>
      <c r="G59" t="s">
        <v>283</v>
      </c>
      <c r="H59">
        <v>0</v>
      </c>
      <c r="I59">
        <v>0</v>
      </c>
      <c r="J59">
        <v>144</v>
      </c>
      <c r="K59">
        <v>24</v>
      </c>
      <c r="L59">
        <v>84</v>
      </c>
      <c r="M59">
        <v>60</v>
      </c>
      <c r="N59">
        <v>24</v>
      </c>
      <c r="O59">
        <v>72</v>
      </c>
      <c r="P59">
        <v>132</v>
      </c>
      <c r="Q59">
        <v>12</v>
      </c>
      <c r="R59">
        <v>0</v>
      </c>
      <c r="S59">
        <v>12</v>
      </c>
      <c r="T59">
        <v>12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 t="s">
        <v>69</v>
      </c>
      <c r="B60" t="s">
        <v>68</v>
      </c>
      <c r="C60" t="s">
        <v>285</v>
      </c>
      <c r="D60" t="s">
        <v>59</v>
      </c>
      <c r="E60" t="s">
        <v>55</v>
      </c>
      <c r="F60" t="s">
        <v>70</v>
      </c>
      <c r="G60" t="s">
        <v>283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24</v>
      </c>
      <c r="AG60">
        <v>0</v>
      </c>
      <c r="AH60">
        <v>0</v>
      </c>
    </row>
    <row r="61" spans="1:34" x14ac:dyDescent="0.25">
      <c r="A61" t="s">
        <v>74</v>
      </c>
      <c r="B61" t="s">
        <v>68</v>
      </c>
      <c r="C61" t="s">
        <v>285</v>
      </c>
      <c r="D61" t="s">
        <v>59</v>
      </c>
      <c r="E61" t="s">
        <v>55</v>
      </c>
      <c r="F61" t="s">
        <v>78</v>
      </c>
      <c r="G61" t="s">
        <v>283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240</v>
      </c>
      <c r="Z61">
        <v>222</v>
      </c>
      <c r="AA61">
        <v>366</v>
      </c>
      <c r="AB61">
        <v>12</v>
      </c>
      <c r="AC61">
        <v>156</v>
      </c>
      <c r="AD61">
        <v>0</v>
      </c>
      <c r="AE61">
        <v>0</v>
      </c>
      <c r="AF61">
        <v>12</v>
      </c>
      <c r="AG61">
        <v>0</v>
      </c>
      <c r="AH61">
        <v>0</v>
      </c>
    </row>
    <row r="62" spans="1:34" x14ac:dyDescent="0.25">
      <c r="A62" t="s">
        <v>74</v>
      </c>
      <c r="B62" t="s">
        <v>68</v>
      </c>
      <c r="C62" t="s">
        <v>285</v>
      </c>
      <c r="D62" t="s">
        <v>59</v>
      </c>
      <c r="E62" t="s">
        <v>55</v>
      </c>
      <c r="F62" t="s">
        <v>79</v>
      </c>
      <c r="G62" t="s">
        <v>283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72</v>
      </c>
      <c r="Y62">
        <v>132</v>
      </c>
      <c r="Z62">
        <v>60</v>
      </c>
      <c r="AA62">
        <v>24</v>
      </c>
      <c r="AB62">
        <v>144</v>
      </c>
      <c r="AC62">
        <v>348</v>
      </c>
      <c r="AD62">
        <v>24</v>
      </c>
      <c r="AE62">
        <v>0</v>
      </c>
      <c r="AF62">
        <v>24</v>
      </c>
      <c r="AG62">
        <v>0</v>
      </c>
      <c r="AH62">
        <v>60</v>
      </c>
    </row>
    <row r="63" spans="1:34" x14ac:dyDescent="0.25">
      <c r="A63" t="s">
        <v>74</v>
      </c>
      <c r="B63" t="s">
        <v>68</v>
      </c>
      <c r="C63" t="s">
        <v>285</v>
      </c>
      <c r="D63" t="s">
        <v>59</v>
      </c>
      <c r="E63" t="s">
        <v>55</v>
      </c>
      <c r="F63" t="s">
        <v>80</v>
      </c>
      <c r="G63" t="s">
        <v>283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</v>
      </c>
      <c r="X63">
        <v>132</v>
      </c>
      <c r="Y63">
        <v>126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5">
      <c r="A64" t="s">
        <v>83</v>
      </c>
      <c r="B64" t="s">
        <v>68</v>
      </c>
      <c r="C64" t="s">
        <v>285</v>
      </c>
      <c r="D64" t="s">
        <v>59</v>
      </c>
      <c r="E64" t="s">
        <v>53</v>
      </c>
      <c r="F64" t="s">
        <v>84</v>
      </c>
      <c r="G64" t="s">
        <v>283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20</v>
      </c>
      <c r="AG64">
        <v>0</v>
      </c>
      <c r="AH64">
        <v>0</v>
      </c>
    </row>
    <row r="65" spans="1:34" x14ac:dyDescent="0.25">
      <c r="A65" t="s">
        <v>83</v>
      </c>
      <c r="B65" t="s">
        <v>68</v>
      </c>
      <c r="C65" t="s">
        <v>285</v>
      </c>
      <c r="D65" t="s">
        <v>59</v>
      </c>
      <c r="E65" t="s">
        <v>53</v>
      </c>
      <c r="F65" t="s">
        <v>86</v>
      </c>
      <c r="G65" t="s">
        <v>283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160</v>
      </c>
      <c r="AB65">
        <v>880</v>
      </c>
      <c r="AC65">
        <v>0</v>
      </c>
      <c r="AD65">
        <v>80</v>
      </c>
      <c r="AE65">
        <v>0</v>
      </c>
      <c r="AF65">
        <v>80</v>
      </c>
      <c r="AG65">
        <v>0</v>
      </c>
      <c r="AH65">
        <v>0</v>
      </c>
    </row>
    <row r="66" spans="1:34" x14ac:dyDescent="0.25">
      <c r="A66" t="s">
        <v>83</v>
      </c>
      <c r="B66" t="s">
        <v>68</v>
      </c>
      <c r="C66" t="s">
        <v>285</v>
      </c>
      <c r="D66" t="s">
        <v>59</v>
      </c>
      <c r="E66" t="s">
        <v>55</v>
      </c>
      <c r="F66" t="s">
        <v>87</v>
      </c>
      <c r="G66" t="s">
        <v>283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6</v>
      </c>
      <c r="AG66">
        <v>0</v>
      </c>
      <c r="AH66">
        <v>0</v>
      </c>
    </row>
    <row r="67" spans="1:34" x14ac:dyDescent="0.25">
      <c r="A67" t="s">
        <v>83</v>
      </c>
      <c r="B67" t="s">
        <v>68</v>
      </c>
      <c r="C67" t="s">
        <v>285</v>
      </c>
      <c r="D67" t="s">
        <v>59</v>
      </c>
      <c r="E67" t="s">
        <v>55</v>
      </c>
      <c r="F67" t="s">
        <v>88</v>
      </c>
      <c r="G67" t="s">
        <v>283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160</v>
      </c>
      <c r="AD67">
        <v>0</v>
      </c>
      <c r="AE67">
        <v>0</v>
      </c>
      <c r="AF67">
        <v>80</v>
      </c>
      <c r="AG67">
        <v>0</v>
      </c>
      <c r="AH67">
        <v>0</v>
      </c>
    </row>
    <row r="68" spans="1:34" x14ac:dyDescent="0.25">
      <c r="A68" t="s">
        <v>83</v>
      </c>
      <c r="B68" t="s">
        <v>68</v>
      </c>
      <c r="C68" t="s">
        <v>285</v>
      </c>
      <c r="D68" t="s">
        <v>59</v>
      </c>
      <c r="E68" t="s">
        <v>55</v>
      </c>
      <c r="F68" t="s">
        <v>89</v>
      </c>
      <c r="G68" t="s">
        <v>283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20</v>
      </c>
      <c r="AG68">
        <v>0</v>
      </c>
      <c r="AH68">
        <v>0</v>
      </c>
    </row>
    <row r="69" spans="1:34" x14ac:dyDescent="0.25">
      <c r="A69" t="s">
        <v>91</v>
      </c>
      <c r="B69" t="s">
        <v>68</v>
      </c>
      <c r="C69" t="s">
        <v>285</v>
      </c>
      <c r="D69" t="s">
        <v>59</v>
      </c>
      <c r="E69" t="s">
        <v>53</v>
      </c>
      <c r="F69" t="s">
        <v>94</v>
      </c>
      <c r="G69" t="s">
        <v>283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384</v>
      </c>
      <c r="X69">
        <v>0</v>
      </c>
      <c r="Y69">
        <v>216</v>
      </c>
      <c r="Z69">
        <v>780</v>
      </c>
      <c r="AA69">
        <v>828</v>
      </c>
      <c r="AB69">
        <v>0</v>
      </c>
      <c r="AC69">
        <v>360</v>
      </c>
      <c r="AD69">
        <v>36</v>
      </c>
      <c r="AE69">
        <v>0</v>
      </c>
      <c r="AF69">
        <v>12</v>
      </c>
      <c r="AG69">
        <v>60</v>
      </c>
      <c r="AH69">
        <v>48</v>
      </c>
    </row>
    <row r="70" spans="1:34" x14ac:dyDescent="0.25">
      <c r="A70" t="s">
        <v>91</v>
      </c>
      <c r="B70" t="s">
        <v>68</v>
      </c>
      <c r="C70" t="s">
        <v>285</v>
      </c>
      <c r="D70" t="s">
        <v>59</v>
      </c>
      <c r="E70" t="s">
        <v>54</v>
      </c>
      <c r="F70" t="s">
        <v>95</v>
      </c>
      <c r="G70" t="s">
        <v>283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480</v>
      </c>
      <c r="Z70">
        <v>3372</v>
      </c>
      <c r="AA70">
        <v>768</v>
      </c>
      <c r="AB70">
        <v>0</v>
      </c>
      <c r="AC70">
        <v>648</v>
      </c>
      <c r="AD70">
        <v>24</v>
      </c>
      <c r="AE70">
        <v>0</v>
      </c>
      <c r="AF70">
        <v>84</v>
      </c>
      <c r="AG70">
        <v>0</v>
      </c>
      <c r="AH70">
        <v>60</v>
      </c>
    </row>
    <row r="71" spans="1:34" x14ac:dyDescent="0.25">
      <c r="A71" t="s">
        <v>91</v>
      </c>
      <c r="B71" t="s">
        <v>68</v>
      </c>
      <c r="C71" t="s">
        <v>285</v>
      </c>
      <c r="D71" t="s">
        <v>59</v>
      </c>
      <c r="E71" t="s">
        <v>54</v>
      </c>
      <c r="F71" t="s">
        <v>97</v>
      </c>
      <c r="G71" t="s">
        <v>283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108</v>
      </c>
      <c r="X71">
        <v>0</v>
      </c>
      <c r="Y71">
        <v>588</v>
      </c>
      <c r="Z71">
        <v>156</v>
      </c>
      <c r="AA71">
        <v>312</v>
      </c>
      <c r="AB71">
        <v>240</v>
      </c>
      <c r="AC71">
        <v>648</v>
      </c>
      <c r="AD71">
        <v>0</v>
      </c>
      <c r="AE71">
        <v>0</v>
      </c>
      <c r="AF71">
        <v>84</v>
      </c>
      <c r="AG71">
        <v>0</v>
      </c>
      <c r="AH71">
        <v>24</v>
      </c>
    </row>
    <row r="72" spans="1:34" x14ac:dyDescent="0.25">
      <c r="A72" t="s">
        <v>101</v>
      </c>
      <c r="B72" t="s">
        <v>68</v>
      </c>
      <c r="C72" t="s">
        <v>285</v>
      </c>
      <c r="D72" t="s">
        <v>59</v>
      </c>
      <c r="E72" t="s">
        <v>54</v>
      </c>
      <c r="F72" t="s">
        <v>105</v>
      </c>
      <c r="G72" t="s">
        <v>283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372</v>
      </c>
      <c r="Z72">
        <v>0</v>
      </c>
      <c r="AA72">
        <v>276</v>
      </c>
      <c r="AB72">
        <v>0</v>
      </c>
      <c r="AC72">
        <v>0</v>
      </c>
      <c r="AD72">
        <v>120</v>
      </c>
      <c r="AE72">
        <v>0</v>
      </c>
      <c r="AF72">
        <v>0</v>
      </c>
      <c r="AG72">
        <v>0</v>
      </c>
      <c r="AH72">
        <v>0</v>
      </c>
    </row>
    <row r="73" spans="1:34" x14ac:dyDescent="0.25">
      <c r="A73" t="s">
        <v>101</v>
      </c>
      <c r="B73" t="s">
        <v>68</v>
      </c>
      <c r="C73" t="s">
        <v>285</v>
      </c>
      <c r="D73" t="s">
        <v>59</v>
      </c>
      <c r="E73" t="s">
        <v>54</v>
      </c>
      <c r="F73" t="s">
        <v>107</v>
      </c>
      <c r="G73" t="s">
        <v>283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48</v>
      </c>
      <c r="AC73">
        <v>72</v>
      </c>
      <c r="AD73">
        <v>48</v>
      </c>
      <c r="AE73">
        <v>0</v>
      </c>
      <c r="AF73">
        <v>0</v>
      </c>
      <c r="AG73">
        <v>0</v>
      </c>
      <c r="AH73">
        <v>0</v>
      </c>
    </row>
    <row r="74" spans="1:34" x14ac:dyDescent="0.25">
      <c r="A74" t="s">
        <v>101</v>
      </c>
      <c r="B74" t="s">
        <v>68</v>
      </c>
      <c r="C74" t="s">
        <v>285</v>
      </c>
      <c r="D74" t="s">
        <v>59</v>
      </c>
      <c r="E74" t="s">
        <v>54</v>
      </c>
      <c r="F74" t="s">
        <v>108</v>
      </c>
      <c r="G74" t="s">
        <v>283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24</v>
      </c>
      <c r="AC74">
        <v>12</v>
      </c>
      <c r="AD74">
        <v>0</v>
      </c>
      <c r="AE74">
        <v>0</v>
      </c>
      <c r="AF74">
        <v>84</v>
      </c>
      <c r="AG74">
        <v>0</v>
      </c>
      <c r="AH74">
        <v>0</v>
      </c>
    </row>
    <row r="75" spans="1:34" x14ac:dyDescent="0.25">
      <c r="A75" t="s">
        <v>114</v>
      </c>
      <c r="B75" t="s">
        <v>68</v>
      </c>
      <c r="C75" t="s">
        <v>285</v>
      </c>
      <c r="D75" t="s">
        <v>59</v>
      </c>
      <c r="E75" t="s">
        <v>54</v>
      </c>
      <c r="F75" t="s">
        <v>117</v>
      </c>
      <c r="G75" t="s">
        <v>283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5">
      <c r="A76" t="s">
        <v>119</v>
      </c>
      <c r="B76" t="s">
        <v>68</v>
      </c>
      <c r="C76" t="s">
        <v>285</v>
      </c>
      <c r="D76" t="s">
        <v>59</v>
      </c>
      <c r="E76" t="s">
        <v>60</v>
      </c>
      <c r="F76" t="s">
        <v>120</v>
      </c>
      <c r="G76" t="s">
        <v>283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84</v>
      </c>
      <c r="X76">
        <v>0</v>
      </c>
      <c r="Y76">
        <v>408</v>
      </c>
      <c r="Z76">
        <v>72</v>
      </c>
      <c r="AA76">
        <v>396</v>
      </c>
      <c r="AB76">
        <v>36</v>
      </c>
      <c r="AC76">
        <v>372</v>
      </c>
      <c r="AD76">
        <v>0</v>
      </c>
      <c r="AE76">
        <v>12</v>
      </c>
      <c r="AF76">
        <v>72</v>
      </c>
      <c r="AG76">
        <v>12</v>
      </c>
      <c r="AH76">
        <v>72</v>
      </c>
    </row>
    <row r="77" spans="1:34" x14ac:dyDescent="0.25">
      <c r="A77" t="s">
        <v>119</v>
      </c>
      <c r="B77" t="s">
        <v>68</v>
      </c>
      <c r="C77" t="s">
        <v>285</v>
      </c>
      <c r="D77" t="s">
        <v>59</v>
      </c>
      <c r="E77" t="s">
        <v>53</v>
      </c>
      <c r="F77" t="s">
        <v>121</v>
      </c>
      <c r="G77" t="s">
        <v>283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</v>
      </c>
      <c r="AG77">
        <v>0</v>
      </c>
      <c r="AH77">
        <v>0</v>
      </c>
    </row>
    <row r="78" spans="1:34" x14ac:dyDescent="0.25">
      <c r="A78" t="s">
        <v>119</v>
      </c>
      <c r="B78" t="s">
        <v>68</v>
      </c>
      <c r="C78" t="s">
        <v>285</v>
      </c>
      <c r="D78" t="s">
        <v>59</v>
      </c>
      <c r="E78" t="s">
        <v>53</v>
      </c>
      <c r="F78" t="s">
        <v>122</v>
      </c>
      <c r="G78" t="s">
        <v>283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132</v>
      </c>
      <c r="X78">
        <v>60</v>
      </c>
      <c r="Y78">
        <v>408</v>
      </c>
      <c r="Z78">
        <v>348</v>
      </c>
      <c r="AA78">
        <v>420</v>
      </c>
      <c r="AB78">
        <v>156</v>
      </c>
      <c r="AC78">
        <v>852</v>
      </c>
      <c r="AD78">
        <v>120</v>
      </c>
      <c r="AE78">
        <v>48</v>
      </c>
      <c r="AF78">
        <v>108</v>
      </c>
      <c r="AG78">
        <v>0</v>
      </c>
      <c r="AH78">
        <v>0</v>
      </c>
    </row>
    <row r="79" spans="1:34" x14ac:dyDescent="0.25">
      <c r="A79" t="s">
        <v>119</v>
      </c>
      <c r="B79" t="s">
        <v>68</v>
      </c>
      <c r="C79" t="s">
        <v>285</v>
      </c>
      <c r="D79" t="s">
        <v>59</v>
      </c>
      <c r="E79" t="s">
        <v>55</v>
      </c>
      <c r="F79" t="s">
        <v>124</v>
      </c>
      <c r="G79" t="s">
        <v>283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</v>
      </c>
      <c r="X79">
        <v>12</v>
      </c>
      <c r="Y79">
        <v>0</v>
      </c>
      <c r="Z79">
        <v>0</v>
      </c>
      <c r="AA79">
        <v>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12</v>
      </c>
    </row>
    <row r="80" spans="1:34" x14ac:dyDescent="0.25">
      <c r="A80" t="s">
        <v>119</v>
      </c>
      <c r="B80" t="s">
        <v>68</v>
      </c>
      <c r="C80" t="s">
        <v>285</v>
      </c>
      <c r="D80" t="s">
        <v>59</v>
      </c>
      <c r="E80" t="s">
        <v>55</v>
      </c>
      <c r="F80" t="s">
        <v>125</v>
      </c>
      <c r="G80" t="s">
        <v>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48</v>
      </c>
      <c r="X80">
        <v>24</v>
      </c>
      <c r="Y80">
        <v>36</v>
      </c>
      <c r="Z80">
        <v>0</v>
      </c>
      <c r="AA80">
        <v>60</v>
      </c>
      <c r="AB80">
        <v>156</v>
      </c>
      <c r="AC80">
        <v>720</v>
      </c>
      <c r="AD80">
        <v>0</v>
      </c>
      <c r="AE80">
        <v>24</v>
      </c>
      <c r="AF80">
        <v>96</v>
      </c>
      <c r="AG80">
        <v>0</v>
      </c>
      <c r="AH80">
        <v>0</v>
      </c>
    </row>
    <row r="81" spans="1:34" x14ac:dyDescent="0.25">
      <c r="A81" t="s">
        <v>119</v>
      </c>
      <c r="B81" t="s">
        <v>68</v>
      </c>
      <c r="C81" t="s">
        <v>285</v>
      </c>
      <c r="D81" t="s">
        <v>59</v>
      </c>
      <c r="E81" t="s">
        <v>55</v>
      </c>
      <c r="F81" t="s">
        <v>126</v>
      </c>
      <c r="G81" t="s">
        <v>283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6</v>
      </c>
      <c r="AG81">
        <v>0</v>
      </c>
      <c r="AH81">
        <v>0</v>
      </c>
    </row>
    <row r="82" spans="1:34" x14ac:dyDescent="0.25">
      <c r="A82" t="s">
        <v>119</v>
      </c>
      <c r="B82" t="s">
        <v>68</v>
      </c>
      <c r="C82" t="s">
        <v>285</v>
      </c>
      <c r="D82" t="s">
        <v>59</v>
      </c>
      <c r="E82" t="s">
        <v>55</v>
      </c>
      <c r="F82" t="s">
        <v>128</v>
      </c>
      <c r="G82" t="s">
        <v>283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72</v>
      </c>
      <c r="X82">
        <v>120</v>
      </c>
      <c r="Y82">
        <v>492</v>
      </c>
      <c r="Z82">
        <v>0</v>
      </c>
      <c r="AA82">
        <v>252</v>
      </c>
      <c r="AB82">
        <v>576</v>
      </c>
      <c r="AC82">
        <v>1020</v>
      </c>
      <c r="AD82">
        <v>192</v>
      </c>
      <c r="AE82">
        <v>36</v>
      </c>
      <c r="AF82">
        <v>204</v>
      </c>
      <c r="AG82">
        <v>216</v>
      </c>
      <c r="AH82">
        <v>0</v>
      </c>
    </row>
    <row r="83" spans="1:34" x14ac:dyDescent="0.25">
      <c r="A83" t="s">
        <v>131</v>
      </c>
      <c r="B83" t="s">
        <v>68</v>
      </c>
      <c r="C83" t="s">
        <v>285</v>
      </c>
      <c r="D83" t="s">
        <v>59</v>
      </c>
      <c r="E83" t="s">
        <v>60</v>
      </c>
      <c r="F83" t="s">
        <v>132</v>
      </c>
      <c r="G83" t="s">
        <v>283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372</v>
      </c>
      <c r="Z83">
        <v>0</v>
      </c>
      <c r="AA83">
        <v>240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A84" t="s">
        <v>131</v>
      </c>
      <c r="B84" t="s">
        <v>68</v>
      </c>
      <c r="C84" t="s">
        <v>285</v>
      </c>
      <c r="D84" t="s">
        <v>59</v>
      </c>
      <c r="E84" t="s">
        <v>55</v>
      </c>
      <c r="F84" t="s">
        <v>134</v>
      </c>
      <c r="G84" t="s">
        <v>283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372</v>
      </c>
      <c r="Z84">
        <v>180</v>
      </c>
      <c r="AA84">
        <v>360</v>
      </c>
      <c r="AB84">
        <v>0</v>
      </c>
      <c r="AC84">
        <v>120</v>
      </c>
      <c r="AD84">
        <v>0</v>
      </c>
      <c r="AE84">
        <v>0</v>
      </c>
      <c r="AF84">
        <v>12</v>
      </c>
      <c r="AG84">
        <v>0</v>
      </c>
      <c r="AH84">
        <v>48</v>
      </c>
    </row>
    <row r="85" spans="1:34" x14ac:dyDescent="0.25">
      <c r="A85" t="s">
        <v>131</v>
      </c>
      <c r="B85" t="s">
        <v>68</v>
      </c>
      <c r="C85" t="s">
        <v>285</v>
      </c>
      <c r="D85" t="s">
        <v>59</v>
      </c>
      <c r="E85" t="s">
        <v>55</v>
      </c>
      <c r="F85" t="s">
        <v>135</v>
      </c>
      <c r="G85" t="s">
        <v>283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12</v>
      </c>
      <c r="X85">
        <v>12</v>
      </c>
      <c r="Y85">
        <v>36</v>
      </c>
      <c r="Z85">
        <v>48</v>
      </c>
      <c r="AA85">
        <v>12</v>
      </c>
      <c r="AB85">
        <v>12</v>
      </c>
      <c r="AC85">
        <v>0</v>
      </c>
      <c r="AD85">
        <v>12</v>
      </c>
      <c r="AE85">
        <v>12</v>
      </c>
      <c r="AF85">
        <v>12</v>
      </c>
      <c r="AG85">
        <v>0</v>
      </c>
      <c r="AH85">
        <v>24</v>
      </c>
    </row>
    <row r="86" spans="1:34" x14ac:dyDescent="0.25">
      <c r="A86" t="s">
        <v>131</v>
      </c>
      <c r="B86" t="s">
        <v>68</v>
      </c>
      <c r="C86" t="s">
        <v>285</v>
      </c>
      <c r="D86" t="s">
        <v>59</v>
      </c>
      <c r="E86" t="s">
        <v>55</v>
      </c>
      <c r="F86" t="s">
        <v>136</v>
      </c>
      <c r="G86" t="s">
        <v>283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 t="s">
        <v>131</v>
      </c>
      <c r="B87" t="s">
        <v>68</v>
      </c>
      <c r="C87" t="s">
        <v>285</v>
      </c>
      <c r="D87" t="s">
        <v>59</v>
      </c>
      <c r="E87" t="s">
        <v>55</v>
      </c>
      <c r="F87" t="s">
        <v>137</v>
      </c>
      <c r="G87" t="s">
        <v>283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6</v>
      </c>
      <c r="AG87">
        <v>0</v>
      </c>
      <c r="AH87">
        <v>0</v>
      </c>
    </row>
    <row r="88" spans="1:34" x14ac:dyDescent="0.25">
      <c r="A88" t="s">
        <v>131</v>
      </c>
      <c r="B88" t="s">
        <v>68</v>
      </c>
      <c r="C88" t="s">
        <v>285</v>
      </c>
      <c r="D88" t="s">
        <v>59</v>
      </c>
      <c r="E88" t="s">
        <v>55</v>
      </c>
      <c r="F88" t="s">
        <v>139</v>
      </c>
      <c r="G88" t="s">
        <v>283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12</v>
      </c>
      <c r="AG88">
        <v>0</v>
      </c>
      <c r="AH88">
        <v>0</v>
      </c>
    </row>
    <row r="89" spans="1:34" x14ac:dyDescent="0.25">
      <c r="A89" t="s">
        <v>141</v>
      </c>
      <c r="B89" t="s">
        <v>68</v>
      </c>
      <c r="C89" t="s">
        <v>285</v>
      </c>
      <c r="D89" t="s">
        <v>59</v>
      </c>
      <c r="E89" t="s">
        <v>55</v>
      </c>
      <c r="F89" t="s">
        <v>142</v>
      </c>
      <c r="G89" t="s">
        <v>283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</v>
      </c>
      <c r="X89">
        <v>0</v>
      </c>
      <c r="Y89">
        <v>24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12</v>
      </c>
    </row>
    <row r="90" spans="1:34" x14ac:dyDescent="0.25">
      <c r="A90" t="s">
        <v>143</v>
      </c>
      <c r="B90" t="s">
        <v>68</v>
      </c>
      <c r="C90" t="s">
        <v>285</v>
      </c>
      <c r="D90" t="s">
        <v>59</v>
      </c>
      <c r="E90" t="s">
        <v>55</v>
      </c>
      <c r="F90" t="s">
        <v>144</v>
      </c>
      <c r="G90" t="s">
        <v>283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12</v>
      </c>
      <c r="AG90">
        <v>0</v>
      </c>
      <c r="AH90">
        <v>24</v>
      </c>
    </row>
    <row r="91" spans="1:34" x14ac:dyDescent="0.25">
      <c r="A91" t="s">
        <v>145</v>
      </c>
      <c r="B91" t="s">
        <v>68</v>
      </c>
      <c r="C91" t="s">
        <v>285</v>
      </c>
      <c r="D91" t="s">
        <v>59</v>
      </c>
      <c r="E91" t="s">
        <v>55</v>
      </c>
      <c r="F91" t="s">
        <v>146</v>
      </c>
      <c r="G91" t="s">
        <v>283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12</v>
      </c>
      <c r="AD91">
        <v>48</v>
      </c>
      <c r="AE91">
        <v>0</v>
      </c>
      <c r="AF91">
        <v>12</v>
      </c>
      <c r="AG91">
        <v>12</v>
      </c>
      <c r="AH91">
        <v>0</v>
      </c>
    </row>
    <row r="92" spans="1:34" x14ac:dyDescent="0.25">
      <c r="A92" t="s">
        <v>69</v>
      </c>
      <c r="B92" t="s">
        <v>68</v>
      </c>
      <c r="C92" t="s">
        <v>285</v>
      </c>
      <c r="D92" t="s">
        <v>149</v>
      </c>
      <c r="E92" t="s">
        <v>55</v>
      </c>
      <c r="F92" t="s">
        <v>70</v>
      </c>
      <c r="G92" t="s">
        <v>283</v>
      </c>
      <c r="H92">
        <v>0</v>
      </c>
      <c r="I92">
        <v>1848</v>
      </c>
      <c r="J92">
        <v>5208</v>
      </c>
      <c r="K92">
        <v>5520</v>
      </c>
      <c r="L92">
        <v>11016</v>
      </c>
      <c r="M92">
        <v>3144</v>
      </c>
      <c r="N92">
        <v>1032</v>
      </c>
      <c r="O92">
        <v>6288</v>
      </c>
      <c r="P92">
        <v>1680</v>
      </c>
      <c r="Q92">
        <v>48</v>
      </c>
      <c r="R92">
        <v>0</v>
      </c>
      <c r="S92">
        <v>0</v>
      </c>
      <c r="T92">
        <v>48</v>
      </c>
      <c r="U92">
        <v>408</v>
      </c>
      <c r="V92">
        <v>6960</v>
      </c>
      <c r="W92">
        <v>5640</v>
      </c>
      <c r="X92">
        <v>1680</v>
      </c>
      <c r="Y92">
        <v>6720</v>
      </c>
      <c r="Z92">
        <v>4368</v>
      </c>
      <c r="AA92">
        <v>2928</v>
      </c>
      <c r="AB92">
        <v>1992</v>
      </c>
      <c r="AC92">
        <v>1128</v>
      </c>
      <c r="AD92">
        <v>0</v>
      </c>
      <c r="AE92">
        <v>0</v>
      </c>
      <c r="AF92">
        <v>792</v>
      </c>
      <c r="AG92">
        <v>48</v>
      </c>
      <c r="AH92">
        <v>7224</v>
      </c>
    </row>
    <row r="93" spans="1:34" x14ac:dyDescent="0.25">
      <c r="A93" t="s">
        <v>69</v>
      </c>
      <c r="B93" t="s">
        <v>68</v>
      </c>
      <c r="C93" t="s">
        <v>285</v>
      </c>
      <c r="D93" t="s">
        <v>149</v>
      </c>
      <c r="E93" t="s">
        <v>55</v>
      </c>
      <c r="F93" t="s">
        <v>72</v>
      </c>
      <c r="G93" t="s">
        <v>283</v>
      </c>
      <c r="H93">
        <v>0</v>
      </c>
      <c r="I93">
        <v>0</v>
      </c>
      <c r="J93">
        <v>4920</v>
      </c>
      <c r="K93">
        <v>5040</v>
      </c>
      <c r="L93">
        <v>3528</v>
      </c>
      <c r="M93">
        <v>1968</v>
      </c>
      <c r="N93">
        <v>1080</v>
      </c>
      <c r="O93">
        <v>2568</v>
      </c>
      <c r="P93">
        <v>960</v>
      </c>
      <c r="Q93">
        <v>408</v>
      </c>
      <c r="R93">
        <v>0</v>
      </c>
      <c r="S93">
        <v>48</v>
      </c>
      <c r="T93">
        <v>24</v>
      </c>
      <c r="U93">
        <v>168</v>
      </c>
      <c r="V93">
        <v>7224</v>
      </c>
      <c r="W93">
        <v>4176</v>
      </c>
      <c r="X93">
        <v>3048</v>
      </c>
      <c r="Y93">
        <v>6384</v>
      </c>
      <c r="Z93">
        <v>2760</v>
      </c>
      <c r="AA93">
        <v>480</v>
      </c>
      <c r="AB93">
        <v>1848</v>
      </c>
      <c r="AC93">
        <v>0</v>
      </c>
      <c r="AD93">
        <v>1488</v>
      </c>
      <c r="AE93">
        <v>24</v>
      </c>
      <c r="AF93">
        <v>0</v>
      </c>
      <c r="AG93">
        <v>24</v>
      </c>
      <c r="AH93">
        <v>4896</v>
      </c>
    </row>
    <row r="94" spans="1:34" x14ac:dyDescent="0.25">
      <c r="A94" t="s">
        <v>69</v>
      </c>
      <c r="B94" t="s">
        <v>68</v>
      </c>
      <c r="C94" t="s">
        <v>285</v>
      </c>
      <c r="D94" t="s">
        <v>149</v>
      </c>
      <c r="E94" t="s">
        <v>55</v>
      </c>
      <c r="F94" t="s">
        <v>73</v>
      </c>
      <c r="G94" t="s">
        <v>283</v>
      </c>
      <c r="H94">
        <v>0</v>
      </c>
      <c r="I94">
        <v>0</v>
      </c>
      <c r="J94">
        <v>48</v>
      </c>
      <c r="K94">
        <v>240</v>
      </c>
      <c r="L94">
        <v>456</v>
      </c>
      <c r="M94">
        <v>0</v>
      </c>
      <c r="N94">
        <v>0</v>
      </c>
      <c r="O94">
        <v>0</v>
      </c>
      <c r="P94">
        <v>240</v>
      </c>
      <c r="Q94">
        <v>0</v>
      </c>
      <c r="R94">
        <v>0</v>
      </c>
      <c r="S94">
        <v>0</v>
      </c>
      <c r="T94">
        <v>0</v>
      </c>
      <c r="U94">
        <v>0</v>
      </c>
      <c r="V94">
        <v>1584</v>
      </c>
      <c r="W94">
        <v>120</v>
      </c>
      <c r="X94">
        <v>0</v>
      </c>
      <c r="Y94">
        <v>0</v>
      </c>
      <c r="Z94">
        <v>0</v>
      </c>
      <c r="AA94">
        <v>0</v>
      </c>
      <c r="AB94">
        <v>0</v>
      </c>
      <c r="AC94">
        <v>96</v>
      </c>
      <c r="AD94">
        <v>0</v>
      </c>
      <c r="AE94">
        <v>0</v>
      </c>
      <c r="AF94">
        <v>0</v>
      </c>
      <c r="AG94">
        <v>48</v>
      </c>
      <c r="AH94">
        <v>0</v>
      </c>
    </row>
    <row r="95" spans="1:34" x14ac:dyDescent="0.25">
      <c r="A95" t="s">
        <v>74</v>
      </c>
      <c r="B95" t="s">
        <v>68</v>
      </c>
      <c r="C95" t="s">
        <v>285</v>
      </c>
      <c r="D95" t="s">
        <v>149</v>
      </c>
      <c r="E95" t="s">
        <v>53</v>
      </c>
      <c r="F95" t="s">
        <v>75</v>
      </c>
      <c r="G95" t="s">
        <v>283</v>
      </c>
      <c r="H95">
        <v>0</v>
      </c>
      <c r="I95">
        <v>0</v>
      </c>
      <c r="J95">
        <v>630</v>
      </c>
      <c r="K95">
        <v>870</v>
      </c>
      <c r="L95">
        <v>780</v>
      </c>
      <c r="M95">
        <v>588</v>
      </c>
      <c r="N95">
        <v>60</v>
      </c>
      <c r="O95">
        <v>102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600</v>
      </c>
      <c r="X95">
        <v>300</v>
      </c>
      <c r="Y95">
        <v>1062</v>
      </c>
      <c r="Z95">
        <v>420</v>
      </c>
      <c r="AA95">
        <v>192</v>
      </c>
      <c r="AB95">
        <v>90</v>
      </c>
      <c r="AC95">
        <v>312</v>
      </c>
      <c r="AD95">
        <v>0</v>
      </c>
      <c r="AE95">
        <v>0</v>
      </c>
      <c r="AF95">
        <v>0</v>
      </c>
      <c r="AG95">
        <v>0</v>
      </c>
      <c r="AH95">
        <v>672</v>
      </c>
    </row>
    <row r="96" spans="1:34" x14ac:dyDescent="0.25">
      <c r="A96" t="s">
        <v>74</v>
      </c>
      <c r="B96" t="s">
        <v>68</v>
      </c>
      <c r="C96" t="s">
        <v>285</v>
      </c>
      <c r="D96" t="s">
        <v>149</v>
      </c>
      <c r="E96" t="s">
        <v>53</v>
      </c>
      <c r="F96" t="s">
        <v>77</v>
      </c>
      <c r="G96" t="s">
        <v>283</v>
      </c>
      <c r="H96">
        <v>0</v>
      </c>
      <c r="I96">
        <v>0</v>
      </c>
      <c r="J96">
        <v>1080</v>
      </c>
      <c r="K96">
        <v>2712</v>
      </c>
      <c r="L96">
        <v>3060</v>
      </c>
      <c r="M96">
        <v>1428</v>
      </c>
      <c r="N96">
        <v>2772</v>
      </c>
      <c r="O96">
        <v>420</v>
      </c>
      <c r="P96">
        <v>660</v>
      </c>
      <c r="Q96">
        <v>108</v>
      </c>
      <c r="R96">
        <v>0</v>
      </c>
      <c r="S96">
        <v>0</v>
      </c>
      <c r="T96">
        <v>0</v>
      </c>
      <c r="U96">
        <v>0</v>
      </c>
      <c r="V96">
        <v>2040</v>
      </c>
      <c r="W96">
        <v>2028</v>
      </c>
      <c r="X96">
        <v>2304</v>
      </c>
      <c r="Y96">
        <v>1236</v>
      </c>
      <c r="Z96">
        <v>2412</v>
      </c>
      <c r="AA96">
        <v>1128</v>
      </c>
      <c r="AB96">
        <v>1380</v>
      </c>
      <c r="AC96">
        <v>864</v>
      </c>
      <c r="AD96">
        <v>756</v>
      </c>
      <c r="AE96">
        <v>0</v>
      </c>
      <c r="AF96">
        <v>0</v>
      </c>
      <c r="AG96">
        <v>0</v>
      </c>
      <c r="AH96">
        <v>1884</v>
      </c>
    </row>
    <row r="97" spans="1:34" x14ac:dyDescent="0.25">
      <c r="A97" t="s">
        <v>74</v>
      </c>
      <c r="B97" t="s">
        <v>68</v>
      </c>
      <c r="C97" t="s">
        <v>285</v>
      </c>
      <c r="D97" t="s">
        <v>149</v>
      </c>
      <c r="E97" t="s">
        <v>55</v>
      </c>
      <c r="F97" t="s">
        <v>78</v>
      </c>
      <c r="G97" t="s">
        <v>283</v>
      </c>
      <c r="H97">
        <v>0</v>
      </c>
      <c r="I97">
        <v>0</v>
      </c>
      <c r="J97">
        <v>1404</v>
      </c>
      <c r="K97">
        <v>222</v>
      </c>
      <c r="L97">
        <v>0</v>
      </c>
      <c r="M97">
        <v>0</v>
      </c>
      <c r="N97">
        <v>1200</v>
      </c>
      <c r="O97">
        <v>240</v>
      </c>
      <c r="P97">
        <v>240</v>
      </c>
      <c r="Q97">
        <v>174</v>
      </c>
      <c r="R97">
        <v>0</v>
      </c>
      <c r="S97">
        <v>0</v>
      </c>
      <c r="T97">
        <v>0</v>
      </c>
      <c r="U97">
        <v>0</v>
      </c>
      <c r="V97">
        <v>0</v>
      </c>
      <c r="W97">
        <v>24</v>
      </c>
      <c r="X97">
        <v>0</v>
      </c>
      <c r="Y97">
        <v>0</v>
      </c>
      <c r="Z97">
        <v>1590</v>
      </c>
      <c r="AA97">
        <v>732</v>
      </c>
      <c r="AB97">
        <v>324</v>
      </c>
      <c r="AC97">
        <v>900</v>
      </c>
      <c r="AD97">
        <v>0</v>
      </c>
      <c r="AE97">
        <v>0</v>
      </c>
      <c r="AF97">
        <v>0</v>
      </c>
      <c r="AG97">
        <v>0</v>
      </c>
      <c r="AH97">
        <v>144</v>
      </c>
    </row>
    <row r="98" spans="1:34" x14ac:dyDescent="0.25">
      <c r="A98" t="s">
        <v>74</v>
      </c>
      <c r="B98" t="s">
        <v>68</v>
      </c>
      <c r="C98" t="s">
        <v>285</v>
      </c>
      <c r="D98" t="s">
        <v>149</v>
      </c>
      <c r="E98" t="s">
        <v>55</v>
      </c>
      <c r="F98" t="s">
        <v>79</v>
      </c>
      <c r="G98" t="s">
        <v>283</v>
      </c>
      <c r="H98">
        <v>48</v>
      </c>
      <c r="I98">
        <v>0</v>
      </c>
      <c r="J98">
        <v>2304</v>
      </c>
      <c r="K98">
        <v>6840</v>
      </c>
      <c r="L98">
        <v>2676</v>
      </c>
      <c r="M98">
        <v>3156</v>
      </c>
      <c r="N98">
        <v>4344</v>
      </c>
      <c r="O98">
        <v>2352</v>
      </c>
      <c r="P98">
        <v>2784</v>
      </c>
      <c r="Q98">
        <v>912</v>
      </c>
      <c r="R98">
        <v>36</v>
      </c>
      <c r="S98">
        <v>60</v>
      </c>
      <c r="T98">
        <v>0</v>
      </c>
      <c r="U98">
        <v>0</v>
      </c>
      <c r="V98">
        <v>1992</v>
      </c>
      <c r="W98">
        <v>4572</v>
      </c>
      <c r="X98">
        <v>4680</v>
      </c>
      <c r="Y98">
        <v>2712</v>
      </c>
      <c r="Z98">
        <v>5856</v>
      </c>
      <c r="AA98">
        <v>1572</v>
      </c>
      <c r="AB98">
        <v>2700</v>
      </c>
      <c r="AC98">
        <v>2628</v>
      </c>
      <c r="AD98">
        <v>1068</v>
      </c>
      <c r="AE98">
        <v>84</v>
      </c>
      <c r="AF98">
        <v>1128</v>
      </c>
      <c r="AG98">
        <v>36</v>
      </c>
      <c r="AH98">
        <v>3936</v>
      </c>
    </row>
    <row r="99" spans="1:34" x14ac:dyDescent="0.25">
      <c r="A99" t="s">
        <v>74</v>
      </c>
      <c r="B99" t="s">
        <v>68</v>
      </c>
      <c r="C99" t="s">
        <v>285</v>
      </c>
      <c r="D99" t="s">
        <v>149</v>
      </c>
      <c r="E99" t="s">
        <v>55</v>
      </c>
      <c r="F99" t="s">
        <v>80</v>
      </c>
      <c r="G99" t="s">
        <v>283</v>
      </c>
      <c r="H99">
        <v>0</v>
      </c>
      <c r="I99">
        <v>0</v>
      </c>
      <c r="J99">
        <v>840</v>
      </c>
      <c r="K99">
        <v>5862</v>
      </c>
      <c r="L99">
        <v>5154</v>
      </c>
      <c r="M99">
        <v>4044</v>
      </c>
      <c r="N99">
        <v>3276</v>
      </c>
      <c r="O99">
        <v>1740</v>
      </c>
      <c r="P99">
        <v>126</v>
      </c>
      <c r="Q99">
        <v>60</v>
      </c>
      <c r="R99">
        <v>0</v>
      </c>
      <c r="S99">
        <v>0</v>
      </c>
      <c r="T99">
        <v>0</v>
      </c>
      <c r="U99">
        <v>36</v>
      </c>
      <c r="V99">
        <v>5670</v>
      </c>
      <c r="W99">
        <v>5664</v>
      </c>
      <c r="X99">
        <v>5988</v>
      </c>
      <c r="Y99">
        <v>1050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4212</v>
      </c>
    </row>
    <row r="100" spans="1:34" x14ac:dyDescent="0.25">
      <c r="A100" t="s">
        <v>74</v>
      </c>
      <c r="B100" t="s">
        <v>68</v>
      </c>
      <c r="C100" t="s">
        <v>285</v>
      </c>
      <c r="D100" t="s">
        <v>149</v>
      </c>
      <c r="E100" t="s">
        <v>55</v>
      </c>
      <c r="F100" t="s">
        <v>81</v>
      </c>
      <c r="G100" t="s">
        <v>283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888</v>
      </c>
      <c r="W100">
        <v>180</v>
      </c>
      <c r="X100">
        <v>2340</v>
      </c>
      <c r="Y100">
        <v>1272</v>
      </c>
      <c r="Z100">
        <v>1584</v>
      </c>
      <c r="AA100">
        <v>0</v>
      </c>
      <c r="AB100">
        <v>576</v>
      </c>
      <c r="AC100">
        <v>72</v>
      </c>
      <c r="AD100">
        <v>288</v>
      </c>
      <c r="AE100">
        <v>0</v>
      </c>
      <c r="AF100">
        <v>0</v>
      </c>
      <c r="AG100">
        <v>0</v>
      </c>
      <c r="AH100">
        <v>1872</v>
      </c>
    </row>
    <row r="101" spans="1:34" x14ac:dyDescent="0.25">
      <c r="A101" t="s">
        <v>74</v>
      </c>
      <c r="B101" t="s">
        <v>68</v>
      </c>
      <c r="C101" t="s">
        <v>285</v>
      </c>
      <c r="D101" t="s">
        <v>149</v>
      </c>
      <c r="E101" t="s">
        <v>53</v>
      </c>
      <c r="F101" t="s">
        <v>82</v>
      </c>
      <c r="G101" t="s">
        <v>283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300</v>
      </c>
    </row>
    <row r="102" spans="1:34" x14ac:dyDescent="0.25">
      <c r="A102" t="s">
        <v>83</v>
      </c>
      <c r="B102" t="s">
        <v>68</v>
      </c>
      <c r="C102" t="s">
        <v>285</v>
      </c>
      <c r="D102" t="s">
        <v>149</v>
      </c>
      <c r="E102" t="s">
        <v>53</v>
      </c>
      <c r="F102" t="s">
        <v>84</v>
      </c>
      <c r="G102" t="s">
        <v>283</v>
      </c>
      <c r="H102">
        <v>0</v>
      </c>
      <c r="I102">
        <v>0</v>
      </c>
      <c r="J102">
        <v>4300</v>
      </c>
      <c r="K102">
        <v>11600</v>
      </c>
      <c r="L102">
        <v>19200</v>
      </c>
      <c r="M102">
        <v>7340</v>
      </c>
      <c r="N102">
        <v>2540</v>
      </c>
      <c r="O102">
        <v>4220</v>
      </c>
      <c r="P102">
        <v>1920</v>
      </c>
      <c r="Q102">
        <v>400</v>
      </c>
      <c r="R102">
        <v>0</v>
      </c>
      <c r="S102">
        <v>40</v>
      </c>
      <c r="T102">
        <v>0</v>
      </c>
      <c r="U102">
        <v>100</v>
      </c>
      <c r="V102">
        <v>6120</v>
      </c>
      <c r="W102">
        <v>11700</v>
      </c>
      <c r="X102">
        <v>13300</v>
      </c>
      <c r="Y102">
        <v>6540</v>
      </c>
      <c r="Z102">
        <v>5860</v>
      </c>
      <c r="AA102">
        <v>3200</v>
      </c>
      <c r="AB102">
        <v>4120</v>
      </c>
      <c r="AC102">
        <v>2960</v>
      </c>
      <c r="AD102">
        <v>320</v>
      </c>
      <c r="AE102">
        <v>0</v>
      </c>
      <c r="AF102">
        <v>0</v>
      </c>
      <c r="AG102">
        <v>0</v>
      </c>
      <c r="AH102">
        <v>9380</v>
      </c>
    </row>
    <row r="103" spans="1:34" x14ac:dyDescent="0.25">
      <c r="A103" t="s">
        <v>83</v>
      </c>
      <c r="B103" t="s">
        <v>68</v>
      </c>
      <c r="C103" t="s">
        <v>285</v>
      </c>
      <c r="D103" t="s">
        <v>149</v>
      </c>
      <c r="E103" t="s">
        <v>53</v>
      </c>
      <c r="F103" t="s">
        <v>86</v>
      </c>
      <c r="G103" t="s">
        <v>283</v>
      </c>
      <c r="H103">
        <v>0</v>
      </c>
      <c r="I103">
        <v>1040</v>
      </c>
      <c r="J103">
        <v>8560</v>
      </c>
      <c r="K103">
        <v>15040</v>
      </c>
      <c r="L103">
        <v>12480</v>
      </c>
      <c r="M103">
        <v>9120</v>
      </c>
      <c r="N103">
        <v>4640</v>
      </c>
      <c r="O103">
        <v>4640</v>
      </c>
      <c r="P103">
        <v>2400</v>
      </c>
      <c r="Q103">
        <v>1600</v>
      </c>
      <c r="R103">
        <v>160</v>
      </c>
      <c r="S103">
        <v>0</v>
      </c>
      <c r="T103">
        <v>0</v>
      </c>
      <c r="U103">
        <v>480</v>
      </c>
      <c r="V103">
        <v>8800</v>
      </c>
      <c r="W103">
        <v>18240</v>
      </c>
      <c r="X103">
        <v>8640</v>
      </c>
      <c r="Y103">
        <v>4320</v>
      </c>
      <c r="Z103">
        <v>5280</v>
      </c>
      <c r="AA103">
        <v>560</v>
      </c>
      <c r="AB103">
        <v>2400</v>
      </c>
      <c r="AC103">
        <v>240</v>
      </c>
      <c r="AD103">
        <v>640</v>
      </c>
      <c r="AE103">
        <v>400</v>
      </c>
      <c r="AF103">
        <v>80</v>
      </c>
      <c r="AG103">
        <v>320</v>
      </c>
      <c r="AH103">
        <v>15040</v>
      </c>
    </row>
    <row r="104" spans="1:34" x14ac:dyDescent="0.25">
      <c r="A104" t="s">
        <v>83</v>
      </c>
      <c r="B104" t="s">
        <v>68</v>
      </c>
      <c r="C104" t="s">
        <v>285</v>
      </c>
      <c r="D104" t="s">
        <v>149</v>
      </c>
      <c r="E104" t="s">
        <v>55</v>
      </c>
      <c r="F104" t="s">
        <v>87</v>
      </c>
      <c r="G104" t="s">
        <v>283</v>
      </c>
      <c r="H104">
        <v>0</v>
      </c>
      <c r="I104">
        <v>0</v>
      </c>
      <c r="J104">
        <v>2286</v>
      </c>
      <c r="K104">
        <v>3438</v>
      </c>
      <c r="L104">
        <v>3270</v>
      </c>
      <c r="M104">
        <v>2820</v>
      </c>
      <c r="N104">
        <v>858</v>
      </c>
      <c r="O104">
        <v>342</v>
      </c>
      <c r="P104">
        <v>120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3330</v>
      </c>
      <c r="W104">
        <v>2958</v>
      </c>
      <c r="X104">
        <v>1704</v>
      </c>
      <c r="Y104">
        <v>720</v>
      </c>
      <c r="Z104">
        <v>2196</v>
      </c>
      <c r="AA104">
        <v>372</v>
      </c>
      <c r="AB104">
        <v>0</v>
      </c>
      <c r="AC104">
        <v>540</v>
      </c>
      <c r="AD104">
        <v>24</v>
      </c>
      <c r="AE104">
        <v>0</v>
      </c>
      <c r="AF104">
        <v>0</v>
      </c>
      <c r="AG104">
        <v>0</v>
      </c>
      <c r="AH104">
        <v>1668</v>
      </c>
    </row>
    <row r="105" spans="1:34" x14ac:dyDescent="0.25">
      <c r="A105" t="s">
        <v>83</v>
      </c>
      <c r="B105" t="s">
        <v>68</v>
      </c>
      <c r="C105" t="s">
        <v>285</v>
      </c>
      <c r="D105" t="s">
        <v>149</v>
      </c>
      <c r="E105" t="s">
        <v>55</v>
      </c>
      <c r="F105" t="s">
        <v>88</v>
      </c>
      <c r="G105" t="s">
        <v>283</v>
      </c>
      <c r="H105">
        <v>80</v>
      </c>
      <c r="I105">
        <v>80</v>
      </c>
      <c r="J105">
        <v>15680</v>
      </c>
      <c r="K105">
        <v>13600</v>
      </c>
      <c r="L105">
        <v>21040</v>
      </c>
      <c r="M105">
        <v>7520</v>
      </c>
      <c r="N105">
        <v>2640</v>
      </c>
      <c r="O105">
        <v>3600</v>
      </c>
      <c r="P105">
        <v>4320</v>
      </c>
      <c r="Q105">
        <v>720</v>
      </c>
      <c r="R105">
        <v>0</v>
      </c>
      <c r="S105">
        <v>640</v>
      </c>
      <c r="T105">
        <v>320</v>
      </c>
      <c r="U105">
        <v>0</v>
      </c>
      <c r="V105">
        <v>10400</v>
      </c>
      <c r="W105">
        <v>19760</v>
      </c>
      <c r="X105">
        <v>13440</v>
      </c>
      <c r="Y105">
        <v>11520</v>
      </c>
      <c r="Z105">
        <v>3920</v>
      </c>
      <c r="AA105">
        <v>0</v>
      </c>
      <c r="AB105">
        <v>640</v>
      </c>
      <c r="AC105">
        <v>3040</v>
      </c>
      <c r="AD105">
        <v>240</v>
      </c>
      <c r="AE105">
        <v>320</v>
      </c>
      <c r="AF105">
        <v>0</v>
      </c>
      <c r="AG105">
        <v>160</v>
      </c>
      <c r="AH105">
        <v>12240</v>
      </c>
    </row>
    <row r="106" spans="1:34" x14ac:dyDescent="0.25">
      <c r="A106" t="s">
        <v>83</v>
      </c>
      <c r="B106" t="s">
        <v>68</v>
      </c>
      <c r="C106" t="s">
        <v>285</v>
      </c>
      <c r="D106" t="s">
        <v>149</v>
      </c>
      <c r="E106" t="s">
        <v>55</v>
      </c>
      <c r="F106" t="s">
        <v>89</v>
      </c>
      <c r="G106" t="s">
        <v>283</v>
      </c>
      <c r="H106">
        <v>0</v>
      </c>
      <c r="I106">
        <v>0</v>
      </c>
      <c r="J106">
        <v>14940</v>
      </c>
      <c r="K106">
        <v>32960</v>
      </c>
      <c r="L106">
        <v>15280</v>
      </c>
      <c r="M106">
        <v>1240</v>
      </c>
      <c r="N106">
        <v>520</v>
      </c>
      <c r="O106">
        <v>400</v>
      </c>
      <c r="P106">
        <v>0</v>
      </c>
      <c r="Q106">
        <v>100</v>
      </c>
      <c r="R106">
        <v>0</v>
      </c>
      <c r="S106">
        <v>0</v>
      </c>
      <c r="T106">
        <v>0</v>
      </c>
      <c r="U106">
        <v>0</v>
      </c>
      <c r="V106">
        <v>40</v>
      </c>
      <c r="W106">
        <v>15320</v>
      </c>
      <c r="X106">
        <v>6440</v>
      </c>
      <c r="Y106">
        <v>2400</v>
      </c>
      <c r="Z106">
        <v>5800</v>
      </c>
      <c r="AA106">
        <v>1120</v>
      </c>
      <c r="AB106">
        <v>640</v>
      </c>
      <c r="AC106">
        <v>360</v>
      </c>
      <c r="AD106">
        <v>0</v>
      </c>
      <c r="AE106">
        <v>100</v>
      </c>
      <c r="AF106">
        <v>0</v>
      </c>
      <c r="AG106">
        <v>20</v>
      </c>
      <c r="AH106">
        <v>5960</v>
      </c>
    </row>
    <row r="107" spans="1:34" x14ac:dyDescent="0.25">
      <c r="A107" t="s">
        <v>83</v>
      </c>
      <c r="B107" t="s">
        <v>68</v>
      </c>
      <c r="C107" t="s">
        <v>285</v>
      </c>
      <c r="D107" t="s">
        <v>149</v>
      </c>
      <c r="E107" t="s">
        <v>55</v>
      </c>
      <c r="F107" t="s">
        <v>90</v>
      </c>
      <c r="G107" t="s">
        <v>283</v>
      </c>
      <c r="H107">
        <v>0</v>
      </c>
      <c r="I107">
        <v>24</v>
      </c>
      <c r="J107">
        <v>51</v>
      </c>
      <c r="K107">
        <v>62</v>
      </c>
      <c r="L107">
        <v>63</v>
      </c>
      <c r="M107">
        <v>219</v>
      </c>
      <c r="N107">
        <v>58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130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5">
      <c r="A108" t="s">
        <v>91</v>
      </c>
      <c r="B108" t="s">
        <v>68</v>
      </c>
      <c r="C108" t="s">
        <v>285</v>
      </c>
      <c r="D108" t="s">
        <v>149</v>
      </c>
      <c r="E108" t="s">
        <v>53</v>
      </c>
      <c r="F108" t="s">
        <v>92</v>
      </c>
      <c r="G108" t="s">
        <v>283</v>
      </c>
      <c r="H108">
        <v>0</v>
      </c>
      <c r="I108">
        <v>0</v>
      </c>
      <c r="J108">
        <v>1800</v>
      </c>
      <c r="K108">
        <v>636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5">
      <c r="A109" t="s">
        <v>91</v>
      </c>
      <c r="B109" t="s">
        <v>68</v>
      </c>
      <c r="C109" t="s">
        <v>285</v>
      </c>
      <c r="D109" t="s">
        <v>149</v>
      </c>
      <c r="E109" t="s">
        <v>53</v>
      </c>
      <c r="F109" t="s">
        <v>94</v>
      </c>
      <c r="G109" t="s">
        <v>283</v>
      </c>
      <c r="H109">
        <v>0</v>
      </c>
      <c r="I109">
        <v>0</v>
      </c>
      <c r="J109">
        <v>0</v>
      </c>
      <c r="K109">
        <v>6300</v>
      </c>
      <c r="L109">
        <v>2940</v>
      </c>
      <c r="M109">
        <v>5064</v>
      </c>
      <c r="N109">
        <v>3588</v>
      </c>
      <c r="O109">
        <v>840</v>
      </c>
      <c r="P109">
        <v>540</v>
      </c>
      <c r="Q109">
        <v>60</v>
      </c>
      <c r="R109">
        <v>0</v>
      </c>
      <c r="S109">
        <v>0</v>
      </c>
      <c r="T109">
        <v>0</v>
      </c>
      <c r="U109">
        <v>0</v>
      </c>
      <c r="V109">
        <v>2208</v>
      </c>
      <c r="W109">
        <v>5088</v>
      </c>
      <c r="X109">
        <v>4404</v>
      </c>
      <c r="Y109">
        <v>9000</v>
      </c>
      <c r="Z109">
        <v>17916</v>
      </c>
      <c r="AA109">
        <v>5988</v>
      </c>
      <c r="AB109">
        <v>13296</v>
      </c>
      <c r="AC109">
        <v>12312</v>
      </c>
      <c r="AD109">
        <v>2460</v>
      </c>
      <c r="AE109">
        <v>672</v>
      </c>
      <c r="AF109">
        <v>240</v>
      </c>
      <c r="AG109">
        <v>5760</v>
      </c>
      <c r="AH109">
        <v>3288</v>
      </c>
    </row>
    <row r="110" spans="1:34" x14ac:dyDescent="0.25">
      <c r="A110" t="s">
        <v>91</v>
      </c>
      <c r="B110" t="s">
        <v>68</v>
      </c>
      <c r="C110" t="s">
        <v>285</v>
      </c>
      <c r="D110" t="s">
        <v>149</v>
      </c>
      <c r="E110" t="s">
        <v>54</v>
      </c>
      <c r="F110" t="s">
        <v>95</v>
      </c>
      <c r="G110" t="s">
        <v>283</v>
      </c>
      <c r="H110">
        <v>0</v>
      </c>
      <c r="I110">
        <v>0</v>
      </c>
      <c r="J110">
        <v>2568</v>
      </c>
      <c r="K110">
        <v>11472</v>
      </c>
      <c r="L110">
        <v>6672</v>
      </c>
      <c r="M110">
        <v>5856</v>
      </c>
      <c r="N110">
        <v>3912</v>
      </c>
      <c r="O110">
        <v>1092</v>
      </c>
      <c r="P110">
        <v>276</v>
      </c>
      <c r="Q110">
        <v>120</v>
      </c>
      <c r="R110">
        <v>0</v>
      </c>
      <c r="S110">
        <v>0</v>
      </c>
      <c r="T110">
        <v>0</v>
      </c>
      <c r="U110">
        <v>0</v>
      </c>
      <c r="V110">
        <v>3336</v>
      </c>
      <c r="W110">
        <v>6312</v>
      </c>
      <c r="X110">
        <v>6516</v>
      </c>
      <c r="Y110">
        <v>9696</v>
      </c>
      <c r="Z110">
        <v>17064</v>
      </c>
      <c r="AA110">
        <v>9360</v>
      </c>
      <c r="AB110">
        <v>9324</v>
      </c>
      <c r="AC110">
        <v>13428</v>
      </c>
      <c r="AD110">
        <v>0</v>
      </c>
      <c r="AE110">
        <v>2316</v>
      </c>
      <c r="AF110">
        <v>144</v>
      </c>
      <c r="AG110">
        <v>12060</v>
      </c>
      <c r="AH110">
        <v>3300</v>
      </c>
    </row>
    <row r="111" spans="1:34" x14ac:dyDescent="0.25">
      <c r="A111" t="s">
        <v>91</v>
      </c>
      <c r="B111" t="s">
        <v>68</v>
      </c>
      <c r="C111" t="s">
        <v>285</v>
      </c>
      <c r="D111" t="s">
        <v>149</v>
      </c>
      <c r="E111" t="s">
        <v>54</v>
      </c>
      <c r="F111" t="s">
        <v>96</v>
      </c>
      <c r="G111" t="s">
        <v>283</v>
      </c>
      <c r="H111">
        <v>0</v>
      </c>
      <c r="I111">
        <v>0</v>
      </c>
      <c r="J111">
        <v>288</v>
      </c>
      <c r="K111">
        <v>612</v>
      </c>
      <c r="L111">
        <v>744</v>
      </c>
      <c r="M111">
        <v>1560</v>
      </c>
      <c r="N111">
        <v>3420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120</v>
      </c>
      <c r="V111">
        <v>360</v>
      </c>
      <c r="W111">
        <v>2472</v>
      </c>
      <c r="X111">
        <v>1116</v>
      </c>
      <c r="Y111">
        <v>2496</v>
      </c>
      <c r="Z111">
        <v>5580</v>
      </c>
      <c r="AA111">
        <v>2232</v>
      </c>
      <c r="AB111">
        <v>0</v>
      </c>
      <c r="AC111">
        <v>0</v>
      </c>
      <c r="AD111">
        <v>0</v>
      </c>
      <c r="AE111">
        <v>0</v>
      </c>
      <c r="AF111">
        <v>48</v>
      </c>
      <c r="AG111">
        <v>1272</v>
      </c>
      <c r="AH111">
        <v>3300</v>
      </c>
    </row>
    <row r="112" spans="1:34" x14ac:dyDescent="0.25">
      <c r="A112" t="s">
        <v>91</v>
      </c>
      <c r="B112" t="s">
        <v>68</v>
      </c>
      <c r="C112" t="s">
        <v>285</v>
      </c>
      <c r="D112" t="s">
        <v>149</v>
      </c>
      <c r="E112" t="s">
        <v>54</v>
      </c>
      <c r="F112" t="s">
        <v>97</v>
      </c>
      <c r="G112" t="s">
        <v>283</v>
      </c>
      <c r="H112">
        <v>3360</v>
      </c>
      <c r="I112">
        <v>372</v>
      </c>
      <c r="J112">
        <v>5736</v>
      </c>
      <c r="K112">
        <v>16116</v>
      </c>
      <c r="L112">
        <v>4236</v>
      </c>
      <c r="M112">
        <v>6048</v>
      </c>
      <c r="N112">
        <v>5568</v>
      </c>
      <c r="O112">
        <v>384</v>
      </c>
      <c r="P112">
        <v>348</v>
      </c>
      <c r="Q112">
        <v>192</v>
      </c>
      <c r="R112">
        <v>0</v>
      </c>
      <c r="S112">
        <v>0</v>
      </c>
      <c r="T112">
        <v>0</v>
      </c>
      <c r="U112">
        <v>0</v>
      </c>
      <c r="V112">
        <v>6432</v>
      </c>
      <c r="W112">
        <v>9384</v>
      </c>
      <c r="X112">
        <v>10464</v>
      </c>
      <c r="Y112">
        <v>13908</v>
      </c>
      <c r="Z112">
        <v>38220</v>
      </c>
      <c r="AA112">
        <v>15444</v>
      </c>
      <c r="AB112">
        <v>9600</v>
      </c>
      <c r="AC112">
        <v>20400</v>
      </c>
      <c r="AD112">
        <v>6120</v>
      </c>
      <c r="AE112">
        <v>1524</v>
      </c>
      <c r="AF112">
        <v>300</v>
      </c>
      <c r="AG112">
        <v>24060</v>
      </c>
      <c r="AH112">
        <v>4116</v>
      </c>
    </row>
    <row r="113" spans="1:34" x14ac:dyDescent="0.25">
      <c r="A113" t="s">
        <v>91</v>
      </c>
      <c r="B113" t="s">
        <v>68</v>
      </c>
      <c r="C113" t="s">
        <v>285</v>
      </c>
      <c r="D113" t="s">
        <v>149</v>
      </c>
      <c r="E113" t="s">
        <v>54</v>
      </c>
      <c r="F113" t="s">
        <v>98</v>
      </c>
      <c r="G113" t="s">
        <v>283</v>
      </c>
      <c r="H113">
        <v>0</v>
      </c>
      <c r="I113">
        <v>372</v>
      </c>
      <c r="J113">
        <v>2832</v>
      </c>
      <c r="K113">
        <v>240</v>
      </c>
      <c r="L113">
        <v>3852</v>
      </c>
      <c r="M113">
        <v>2232</v>
      </c>
      <c r="N113">
        <v>3720</v>
      </c>
      <c r="O113">
        <v>0</v>
      </c>
      <c r="P113">
        <v>372</v>
      </c>
      <c r="Q113">
        <v>0</v>
      </c>
      <c r="R113">
        <v>0</v>
      </c>
      <c r="S113">
        <v>0</v>
      </c>
      <c r="T113">
        <v>0</v>
      </c>
      <c r="U113">
        <v>144</v>
      </c>
      <c r="V113">
        <v>372</v>
      </c>
      <c r="W113">
        <v>4824</v>
      </c>
      <c r="X113">
        <v>516</v>
      </c>
      <c r="Y113">
        <v>3696</v>
      </c>
      <c r="Z113">
        <v>5988</v>
      </c>
      <c r="AA113">
        <v>10740</v>
      </c>
      <c r="AB113">
        <v>2040</v>
      </c>
      <c r="AC113">
        <v>0</v>
      </c>
      <c r="AD113">
        <v>0</v>
      </c>
      <c r="AE113">
        <v>0</v>
      </c>
      <c r="AF113">
        <v>0</v>
      </c>
      <c r="AG113">
        <v>1272</v>
      </c>
      <c r="AH113">
        <v>3408</v>
      </c>
    </row>
    <row r="114" spans="1:34" x14ac:dyDescent="0.25">
      <c r="A114" t="s">
        <v>91</v>
      </c>
      <c r="B114" t="s">
        <v>68</v>
      </c>
      <c r="C114" t="s">
        <v>285</v>
      </c>
      <c r="D114" t="s">
        <v>149</v>
      </c>
      <c r="E114" t="s">
        <v>54</v>
      </c>
      <c r="F114" t="s">
        <v>99</v>
      </c>
      <c r="G114" t="s">
        <v>283</v>
      </c>
      <c r="H114">
        <v>0</v>
      </c>
      <c r="I114">
        <v>0</v>
      </c>
      <c r="J114">
        <v>780</v>
      </c>
      <c r="K114">
        <v>504</v>
      </c>
      <c r="L114">
        <v>1452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25">
      <c r="A115" t="s">
        <v>91</v>
      </c>
      <c r="B115" t="s">
        <v>68</v>
      </c>
      <c r="C115" t="s">
        <v>285</v>
      </c>
      <c r="D115" t="s">
        <v>149</v>
      </c>
      <c r="E115" t="s">
        <v>54</v>
      </c>
      <c r="F115" t="s">
        <v>100</v>
      </c>
      <c r="G115" t="s">
        <v>283</v>
      </c>
      <c r="H115">
        <v>0</v>
      </c>
      <c r="I115">
        <v>0</v>
      </c>
      <c r="J115">
        <v>0</v>
      </c>
      <c r="K115">
        <v>360</v>
      </c>
      <c r="L115">
        <v>600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780</v>
      </c>
      <c r="W115">
        <v>360</v>
      </c>
      <c r="X115">
        <v>828</v>
      </c>
      <c r="Y115">
        <v>360</v>
      </c>
      <c r="Z115">
        <v>5136</v>
      </c>
      <c r="AA115">
        <v>588</v>
      </c>
      <c r="AB115">
        <v>0</v>
      </c>
      <c r="AC115">
        <v>0</v>
      </c>
      <c r="AD115">
        <v>1752</v>
      </c>
      <c r="AE115">
        <v>0</v>
      </c>
      <c r="AF115">
        <v>0</v>
      </c>
      <c r="AG115">
        <v>0</v>
      </c>
      <c r="AH115">
        <v>672</v>
      </c>
    </row>
    <row r="116" spans="1:34" x14ac:dyDescent="0.25">
      <c r="A116" t="s">
        <v>101</v>
      </c>
      <c r="B116" t="s">
        <v>68</v>
      </c>
      <c r="C116" t="s">
        <v>285</v>
      </c>
      <c r="D116" t="s">
        <v>149</v>
      </c>
      <c r="E116" t="s">
        <v>54</v>
      </c>
      <c r="F116" t="s">
        <v>102</v>
      </c>
      <c r="G116" t="s">
        <v>283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768</v>
      </c>
      <c r="O116">
        <v>0</v>
      </c>
      <c r="P116">
        <v>12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972</v>
      </c>
      <c r="W116">
        <v>420</v>
      </c>
      <c r="X116">
        <v>0</v>
      </c>
      <c r="Y116">
        <v>1800</v>
      </c>
      <c r="Z116">
        <v>840</v>
      </c>
      <c r="AA116">
        <v>840</v>
      </c>
      <c r="AB116">
        <v>840</v>
      </c>
      <c r="AC116">
        <v>1308</v>
      </c>
      <c r="AD116">
        <v>0</v>
      </c>
      <c r="AE116">
        <v>0</v>
      </c>
      <c r="AF116">
        <v>36</v>
      </c>
      <c r="AG116">
        <v>0</v>
      </c>
      <c r="AH116">
        <v>0</v>
      </c>
    </row>
    <row r="117" spans="1:34" x14ac:dyDescent="0.25">
      <c r="A117" t="s">
        <v>101</v>
      </c>
      <c r="B117" t="s">
        <v>68</v>
      </c>
      <c r="C117" t="s">
        <v>285</v>
      </c>
      <c r="D117" t="s">
        <v>149</v>
      </c>
      <c r="E117" t="s">
        <v>54</v>
      </c>
      <c r="F117" t="s">
        <v>104</v>
      </c>
      <c r="G117" t="s">
        <v>283</v>
      </c>
      <c r="H117">
        <v>0</v>
      </c>
      <c r="I117">
        <v>0</v>
      </c>
      <c r="J117">
        <v>1416</v>
      </c>
      <c r="K117">
        <v>1188</v>
      </c>
      <c r="L117">
        <v>240</v>
      </c>
      <c r="M117">
        <v>0</v>
      </c>
      <c r="N117">
        <v>60</v>
      </c>
      <c r="O117">
        <v>0</v>
      </c>
      <c r="P117">
        <v>60</v>
      </c>
      <c r="Q117">
        <v>180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180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5">
      <c r="A118" t="s">
        <v>101</v>
      </c>
      <c r="B118" t="s">
        <v>68</v>
      </c>
      <c r="C118" t="s">
        <v>285</v>
      </c>
      <c r="D118" t="s">
        <v>149</v>
      </c>
      <c r="E118" t="s">
        <v>54</v>
      </c>
      <c r="F118" t="s">
        <v>105</v>
      </c>
      <c r="G118" t="s">
        <v>283</v>
      </c>
      <c r="H118">
        <v>0</v>
      </c>
      <c r="I118">
        <v>0</v>
      </c>
      <c r="J118">
        <v>0</v>
      </c>
      <c r="K118">
        <v>0</v>
      </c>
      <c r="L118">
        <v>3300</v>
      </c>
      <c r="M118">
        <v>2280</v>
      </c>
      <c r="N118">
        <v>3120</v>
      </c>
      <c r="O118">
        <v>0</v>
      </c>
      <c r="P118">
        <v>96</v>
      </c>
      <c r="Q118">
        <v>36</v>
      </c>
      <c r="R118">
        <v>0</v>
      </c>
      <c r="S118">
        <v>0</v>
      </c>
      <c r="T118">
        <v>0</v>
      </c>
      <c r="U118">
        <v>0</v>
      </c>
      <c r="V118">
        <v>2436</v>
      </c>
      <c r="W118">
        <v>4032</v>
      </c>
      <c r="X118">
        <v>3744</v>
      </c>
      <c r="Y118">
        <v>3744</v>
      </c>
      <c r="Z118">
        <v>7632</v>
      </c>
      <c r="AA118">
        <v>5076</v>
      </c>
      <c r="AB118">
        <v>1800</v>
      </c>
      <c r="AC118">
        <v>9564</v>
      </c>
      <c r="AD118">
        <v>720</v>
      </c>
      <c r="AE118">
        <v>0</v>
      </c>
      <c r="AF118">
        <v>0</v>
      </c>
      <c r="AG118">
        <v>0</v>
      </c>
      <c r="AH118">
        <v>1620</v>
      </c>
    </row>
    <row r="119" spans="1:34" x14ac:dyDescent="0.25">
      <c r="A119" t="s">
        <v>101</v>
      </c>
      <c r="B119" t="s">
        <v>68</v>
      </c>
      <c r="C119" t="s">
        <v>285</v>
      </c>
      <c r="D119" t="s">
        <v>149</v>
      </c>
      <c r="E119" t="s">
        <v>54</v>
      </c>
      <c r="F119" t="s">
        <v>106</v>
      </c>
      <c r="G119" t="s">
        <v>283</v>
      </c>
      <c r="H119">
        <v>0</v>
      </c>
      <c r="I119">
        <v>0</v>
      </c>
      <c r="J119">
        <v>1404</v>
      </c>
      <c r="K119">
        <v>624</v>
      </c>
      <c r="L119">
        <v>2124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5">
      <c r="A120" t="s">
        <v>101</v>
      </c>
      <c r="B120" t="s">
        <v>68</v>
      </c>
      <c r="C120" t="s">
        <v>285</v>
      </c>
      <c r="D120" t="s">
        <v>149</v>
      </c>
      <c r="E120" t="s">
        <v>54</v>
      </c>
      <c r="F120" t="s">
        <v>107</v>
      </c>
      <c r="G120" t="s">
        <v>283</v>
      </c>
      <c r="H120">
        <v>0</v>
      </c>
      <c r="I120">
        <v>0</v>
      </c>
      <c r="J120">
        <v>2280</v>
      </c>
      <c r="K120">
        <v>4236</v>
      </c>
      <c r="L120">
        <v>5820</v>
      </c>
      <c r="M120">
        <v>6768</v>
      </c>
      <c r="N120">
        <v>6636</v>
      </c>
      <c r="O120">
        <v>3780</v>
      </c>
      <c r="P120">
        <v>1128</v>
      </c>
      <c r="Q120">
        <v>24</v>
      </c>
      <c r="R120">
        <v>0</v>
      </c>
      <c r="S120">
        <v>0</v>
      </c>
      <c r="T120">
        <v>0</v>
      </c>
      <c r="U120">
        <v>0</v>
      </c>
      <c r="V120">
        <v>1824</v>
      </c>
      <c r="W120">
        <v>4656</v>
      </c>
      <c r="X120">
        <v>5040</v>
      </c>
      <c r="Y120">
        <v>3744</v>
      </c>
      <c r="Z120">
        <v>12936</v>
      </c>
      <c r="AA120">
        <v>11040</v>
      </c>
      <c r="AB120">
        <v>9816</v>
      </c>
      <c r="AC120">
        <v>3180</v>
      </c>
      <c r="AD120">
        <v>2400</v>
      </c>
      <c r="AE120">
        <v>768</v>
      </c>
      <c r="AF120">
        <v>96</v>
      </c>
      <c r="AG120">
        <v>36</v>
      </c>
      <c r="AH120">
        <v>5676</v>
      </c>
    </row>
    <row r="121" spans="1:34" x14ac:dyDescent="0.25">
      <c r="A121" t="s">
        <v>101</v>
      </c>
      <c r="B121" t="s">
        <v>68</v>
      </c>
      <c r="C121" t="s">
        <v>285</v>
      </c>
      <c r="D121" t="s">
        <v>149</v>
      </c>
      <c r="E121" t="s">
        <v>54</v>
      </c>
      <c r="F121" t="s">
        <v>108</v>
      </c>
      <c r="G121" t="s">
        <v>283</v>
      </c>
      <c r="H121">
        <v>0</v>
      </c>
      <c r="I121">
        <v>0</v>
      </c>
      <c r="J121">
        <v>0</v>
      </c>
      <c r="K121">
        <v>0</v>
      </c>
      <c r="L121">
        <v>1632</v>
      </c>
      <c r="M121">
        <v>1692</v>
      </c>
      <c r="N121">
        <v>672</v>
      </c>
      <c r="O121">
        <v>300</v>
      </c>
      <c r="P121">
        <v>108</v>
      </c>
      <c r="Q121">
        <v>36</v>
      </c>
      <c r="R121">
        <v>0</v>
      </c>
      <c r="S121">
        <v>0</v>
      </c>
      <c r="T121">
        <v>0</v>
      </c>
      <c r="U121">
        <v>0</v>
      </c>
      <c r="V121">
        <v>1656</v>
      </c>
      <c r="W121">
        <v>3108</v>
      </c>
      <c r="X121">
        <v>660</v>
      </c>
      <c r="Y121">
        <v>2292</v>
      </c>
      <c r="Z121">
        <v>7608</v>
      </c>
      <c r="AA121">
        <v>0</v>
      </c>
      <c r="AB121">
        <v>36</v>
      </c>
      <c r="AC121">
        <v>360</v>
      </c>
      <c r="AD121">
        <v>0</v>
      </c>
      <c r="AE121">
        <v>0</v>
      </c>
      <c r="AF121">
        <v>12</v>
      </c>
      <c r="AG121">
        <v>204</v>
      </c>
      <c r="AH121">
        <v>2424</v>
      </c>
    </row>
    <row r="122" spans="1:34" x14ac:dyDescent="0.25">
      <c r="A122" t="s">
        <v>101</v>
      </c>
      <c r="B122" t="s">
        <v>68</v>
      </c>
      <c r="C122" t="s">
        <v>285</v>
      </c>
      <c r="D122" t="s">
        <v>149</v>
      </c>
      <c r="E122" t="s">
        <v>54</v>
      </c>
      <c r="F122" t="s">
        <v>109</v>
      </c>
      <c r="G122" t="s">
        <v>283</v>
      </c>
      <c r="H122">
        <v>0</v>
      </c>
      <c r="I122">
        <v>0</v>
      </c>
      <c r="J122">
        <v>1392</v>
      </c>
      <c r="K122">
        <v>1632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5">
      <c r="A123" t="s">
        <v>101</v>
      </c>
      <c r="B123" t="s">
        <v>68</v>
      </c>
      <c r="C123" t="s">
        <v>285</v>
      </c>
      <c r="D123" t="s">
        <v>149</v>
      </c>
      <c r="E123" t="s">
        <v>54</v>
      </c>
      <c r="F123" t="s">
        <v>110</v>
      </c>
      <c r="G123" t="s">
        <v>283</v>
      </c>
      <c r="H123">
        <v>0</v>
      </c>
      <c r="I123">
        <v>0</v>
      </c>
      <c r="J123">
        <v>0</v>
      </c>
      <c r="K123">
        <v>0</v>
      </c>
      <c r="L123">
        <v>600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1800</v>
      </c>
      <c r="Y123">
        <v>504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5">
      <c r="A124" t="s">
        <v>111</v>
      </c>
      <c r="B124" t="s">
        <v>68</v>
      </c>
      <c r="C124" t="s">
        <v>285</v>
      </c>
      <c r="D124" t="s">
        <v>149</v>
      </c>
      <c r="E124" t="s">
        <v>54</v>
      </c>
      <c r="F124" t="s">
        <v>112</v>
      </c>
      <c r="G124" t="s">
        <v>283</v>
      </c>
      <c r="H124">
        <v>0</v>
      </c>
      <c r="I124">
        <v>0</v>
      </c>
      <c r="J124">
        <v>360</v>
      </c>
      <c r="K124">
        <v>1500</v>
      </c>
      <c r="L124">
        <v>792</v>
      </c>
      <c r="M124">
        <v>1020</v>
      </c>
      <c r="N124">
        <v>900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2400</v>
      </c>
      <c r="X124">
        <v>1500</v>
      </c>
      <c r="Y124">
        <v>1824</v>
      </c>
      <c r="Z124">
        <v>4116</v>
      </c>
      <c r="AA124">
        <v>1500</v>
      </c>
      <c r="AB124">
        <v>300</v>
      </c>
      <c r="AC124">
        <v>4452</v>
      </c>
      <c r="AD124">
        <v>0</v>
      </c>
      <c r="AE124">
        <v>0</v>
      </c>
      <c r="AF124">
        <v>0</v>
      </c>
      <c r="AG124">
        <v>0</v>
      </c>
      <c r="AH124">
        <v>1344</v>
      </c>
    </row>
    <row r="125" spans="1:34" x14ac:dyDescent="0.25">
      <c r="A125" t="s">
        <v>114</v>
      </c>
      <c r="B125" t="s">
        <v>68</v>
      </c>
      <c r="C125" t="s">
        <v>285</v>
      </c>
      <c r="D125" t="s">
        <v>149</v>
      </c>
      <c r="E125" t="s">
        <v>54</v>
      </c>
      <c r="F125" t="s">
        <v>115</v>
      </c>
      <c r="G125" t="s">
        <v>283</v>
      </c>
      <c r="H125">
        <v>0</v>
      </c>
      <c r="I125">
        <v>0</v>
      </c>
      <c r="J125">
        <v>480</v>
      </c>
      <c r="K125">
        <v>1500</v>
      </c>
      <c r="L125">
        <v>1692</v>
      </c>
      <c r="M125">
        <v>264</v>
      </c>
      <c r="N125">
        <v>36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2340</v>
      </c>
      <c r="X125">
        <v>1500</v>
      </c>
      <c r="Y125">
        <v>2160</v>
      </c>
      <c r="Z125">
        <v>2436</v>
      </c>
      <c r="AA125">
        <v>72</v>
      </c>
      <c r="AB125">
        <v>2400</v>
      </c>
      <c r="AC125">
        <v>3024</v>
      </c>
      <c r="AD125">
        <v>24</v>
      </c>
      <c r="AE125">
        <v>0</v>
      </c>
      <c r="AF125">
        <v>0</v>
      </c>
      <c r="AG125">
        <v>0</v>
      </c>
      <c r="AH125">
        <v>1344</v>
      </c>
    </row>
    <row r="126" spans="1:34" x14ac:dyDescent="0.25">
      <c r="A126" t="s">
        <v>114</v>
      </c>
      <c r="B126" t="s">
        <v>68</v>
      </c>
      <c r="C126" t="s">
        <v>285</v>
      </c>
      <c r="D126" t="s">
        <v>149</v>
      </c>
      <c r="E126" t="s">
        <v>54</v>
      </c>
      <c r="F126" t="s">
        <v>117</v>
      </c>
      <c r="G126" t="s">
        <v>283</v>
      </c>
      <c r="H126">
        <v>0</v>
      </c>
      <c r="I126">
        <v>0</v>
      </c>
      <c r="J126">
        <v>1368</v>
      </c>
      <c r="K126">
        <v>1248</v>
      </c>
      <c r="L126">
        <v>1440</v>
      </c>
      <c r="M126">
        <v>96</v>
      </c>
      <c r="N126">
        <v>1416</v>
      </c>
      <c r="O126">
        <v>0</v>
      </c>
      <c r="P126">
        <v>96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996</v>
      </c>
      <c r="W126">
        <v>540</v>
      </c>
      <c r="X126">
        <v>168</v>
      </c>
      <c r="Y126">
        <v>0</v>
      </c>
      <c r="Z126">
        <v>0</v>
      </c>
      <c r="AA126">
        <v>1296</v>
      </c>
      <c r="AB126">
        <v>2700</v>
      </c>
      <c r="AC126">
        <v>4440</v>
      </c>
      <c r="AD126">
        <v>840</v>
      </c>
      <c r="AE126">
        <v>0</v>
      </c>
      <c r="AF126">
        <v>0</v>
      </c>
      <c r="AG126">
        <v>0</v>
      </c>
      <c r="AH126">
        <v>1176</v>
      </c>
    </row>
    <row r="127" spans="1:34" x14ac:dyDescent="0.25">
      <c r="A127" t="s">
        <v>114</v>
      </c>
      <c r="B127" t="s">
        <v>68</v>
      </c>
      <c r="C127" t="s">
        <v>285</v>
      </c>
      <c r="D127" t="s">
        <v>149</v>
      </c>
      <c r="E127" t="s">
        <v>54</v>
      </c>
      <c r="F127" t="s">
        <v>118</v>
      </c>
      <c r="G127" t="s">
        <v>283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528</v>
      </c>
    </row>
    <row r="128" spans="1:34" x14ac:dyDescent="0.25">
      <c r="A128" t="s">
        <v>119</v>
      </c>
      <c r="B128" t="s">
        <v>68</v>
      </c>
      <c r="C128" t="s">
        <v>285</v>
      </c>
      <c r="D128" t="s">
        <v>149</v>
      </c>
      <c r="E128" t="s">
        <v>60</v>
      </c>
      <c r="F128" t="s">
        <v>120</v>
      </c>
      <c r="G128" t="s">
        <v>283</v>
      </c>
      <c r="H128">
        <v>0</v>
      </c>
      <c r="I128">
        <v>11700</v>
      </c>
      <c r="J128">
        <v>61812</v>
      </c>
      <c r="K128">
        <v>58152</v>
      </c>
      <c r="L128">
        <v>31308</v>
      </c>
      <c r="M128">
        <v>12120</v>
      </c>
      <c r="N128">
        <v>60</v>
      </c>
      <c r="O128">
        <v>2376</v>
      </c>
      <c r="P128">
        <v>180</v>
      </c>
      <c r="Q128">
        <v>720</v>
      </c>
      <c r="R128">
        <v>0</v>
      </c>
      <c r="S128">
        <v>600</v>
      </c>
      <c r="T128">
        <v>300</v>
      </c>
      <c r="U128">
        <v>10200</v>
      </c>
      <c r="V128">
        <v>50472</v>
      </c>
      <c r="W128">
        <v>57984</v>
      </c>
      <c r="X128">
        <v>24048</v>
      </c>
      <c r="Y128">
        <v>0</v>
      </c>
      <c r="Z128">
        <v>1008</v>
      </c>
      <c r="AA128">
        <v>0</v>
      </c>
      <c r="AB128">
        <v>1320</v>
      </c>
      <c r="AC128">
        <v>2940</v>
      </c>
      <c r="AD128">
        <v>2028</v>
      </c>
      <c r="AE128">
        <v>108</v>
      </c>
      <c r="AF128">
        <v>1800</v>
      </c>
      <c r="AG128">
        <v>3168</v>
      </c>
      <c r="AH128">
        <v>35784</v>
      </c>
    </row>
    <row r="129" spans="1:34" x14ac:dyDescent="0.25">
      <c r="A129" t="s">
        <v>119</v>
      </c>
      <c r="B129" t="s">
        <v>68</v>
      </c>
      <c r="C129" t="s">
        <v>285</v>
      </c>
      <c r="D129" t="s">
        <v>149</v>
      </c>
      <c r="E129" t="s">
        <v>53</v>
      </c>
      <c r="F129" t="s">
        <v>121</v>
      </c>
      <c r="G129" t="s">
        <v>283</v>
      </c>
      <c r="H129">
        <v>0</v>
      </c>
      <c r="I129">
        <v>0</v>
      </c>
      <c r="J129">
        <v>8700</v>
      </c>
      <c r="K129">
        <v>12570</v>
      </c>
      <c r="L129">
        <v>10956</v>
      </c>
      <c r="M129">
        <v>17904</v>
      </c>
      <c r="N129">
        <v>4590</v>
      </c>
      <c r="O129">
        <v>2436</v>
      </c>
      <c r="P129">
        <v>5292</v>
      </c>
      <c r="Q129">
        <v>450</v>
      </c>
      <c r="R129">
        <v>0</v>
      </c>
      <c r="S129">
        <v>180</v>
      </c>
      <c r="T129">
        <v>0</v>
      </c>
      <c r="U129">
        <v>660</v>
      </c>
      <c r="V129">
        <v>8940</v>
      </c>
      <c r="W129">
        <v>16236</v>
      </c>
      <c r="X129">
        <v>16668</v>
      </c>
      <c r="Y129">
        <v>8154</v>
      </c>
      <c r="Z129">
        <v>4620</v>
      </c>
      <c r="AA129">
        <v>540</v>
      </c>
      <c r="AB129">
        <v>2160</v>
      </c>
      <c r="AC129">
        <v>1032</v>
      </c>
      <c r="AD129">
        <v>1206</v>
      </c>
      <c r="AE129">
        <v>378</v>
      </c>
      <c r="AF129">
        <v>0</v>
      </c>
      <c r="AG129">
        <v>174</v>
      </c>
      <c r="AH129">
        <v>13350</v>
      </c>
    </row>
    <row r="130" spans="1:34" x14ac:dyDescent="0.25">
      <c r="A130" t="s">
        <v>119</v>
      </c>
      <c r="B130" t="s">
        <v>68</v>
      </c>
      <c r="C130" t="s">
        <v>285</v>
      </c>
      <c r="D130" t="s">
        <v>149</v>
      </c>
      <c r="E130" t="s">
        <v>53</v>
      </c>
      <c r="F130" t="s">
        <v>122</v>
      </c>
      <c r="G130" t="s">
        <v>283</v>
      </c>
      <c r="H130">
        <v>60</v>
      </c>
      <c r="I130">
        <v>120</v>
      </c>
      <c r="J130">
        <v>38316</v>
      </c>
      <c r="K130">
        <v>43860</v>
      </c>
      <c r="L130">
        <v>34080</v>
      </c>
      <c r="M130">
        <v>4632</v>
      </c>
      <c r="N130">
        <v>108</v>
      </c>
      <c r="O130">
        <v>0</v>
      </c>
      <c r="P130">
        <v>288</v>
      </c>
      <c r="Q130">
        <v>240</v>
      </c>
      <c r="R130">
        <v>360</v>
      </c>
      <c r="S130">
        <v>360</v>
      </c>
      <c r="T130">
        <v>120</v>
      </c>
      <c r="U130">
        <v>60</v>
      </c>
      <c r="V130">
        <v>1620</v>
      </c>
      <c r="W130">
        <v>9600</v>
      </c>
      <c r="X130">
        <v>1860</v>
      </c>
      <c r="Y130">
        <v>1800</v>
      </c>
      <c r="Z130">
        <v>4860</v>
      </c>
      <c r="AA130">
        <v>780</v>
      </c>
      <c r="AB130">
        <v>840</v>
      </c>
      <c r="AC130">
        <v>3000</v>
      </c>
      <c r="AD130">
        <v>1500</v>
      </c>
      <c r="AE130">
        <v>840</v>
      </c>
      <c r="AF130">
        <v>72</v>
      </c>
      <c r="AG130">
        <v>120</v>
      </c>
      <c r="AH130">
        <v>18720</v>
      </c>
    </row>
    <row r="131" spans="1:34" x14ac:dyDescent="0.25">
      <c r="A131" t="s">
        <v>119</v>
      </c>
      <c r="B131" t="s">
        <v>68</v>
      </c>
      <c r="C131" t="s">
        <v>285</v>
      </c>
      <c r="D131" t="s">
        <v>149</v>
      </c>
      <c r="E131" t="s">
        <v>55</v>
      </c>
      <c r="F131" t="s">
        <v>123</v>
      </c>
      <c r="G131" t="s">
        <v>283</v>
      </c>
      <c r="H131">
        <v>168</v>
      </c>
      <c r="I131">
        <v>36</v>
      </c>
      <c r="J131">
        <v>276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25">
      <c r="A132" t="s">
        <v>119</v>
      </c>
      <c r="B132" t="s">
        <v>68</v>
      </c>
      <c r="C132" t="s">
        <v>285</v>
      </c>
      <c r="D132" t="s">
        <v>149</v>
      </c>
      <c r="E132" t="s">
        <v>55</v>
      </c>
      <c r="F132" t="s">
        <v>124</v>
      </c>
      <c r="G132" t="s">
        <v>283</v>
      </c>
      <c r="H132">
        <v>0</v>
      </c>
      <c r="I132">
        <v>0</v>
      </c>
      <c r="J132">
        <v>6504</v>
      </c>
      <c r="K132">
        <v>5040</v>
      </c>
      <c r="L132">
        <v>3288</v>
      </c>
      <c r="M132">
        <v>1032</v>
      </c>
      <c r="N132">
        <v>1536</v>
      </c>
      <c r="O132">
        <v>2316</v>
      </c>
      <c r="P132">
        <v>948</v>
      </c>
      <c r="Q132">
        <v>336</v>
      </c>
      <c r="R132">
        <v>180</v>
      </c>
      <c r="S132">
        <v>48</v>
      </c>
      <c r="T132">
        <v>0</v>
      </c>
      <c r="U132">
        <v>180</v>
      </c>
      <c r="V132">
        <v>5028</v>
      </c>
      <c r="W132">
        <v>3720</v>
      </c>
      <c r="X132">
        <v>2808</v>
      </c>
      <c r="Y132">
        <v>1992</v>
      </c>
      <c r="Z132">
        <v>1536</v>
      </c>
      <c r="AA132">
        <v>1272</v>
      </c>
      <c r="AB132">
        <v>1044</v>
      </c>
      <c r="AC132">
        <v>2052</v>
      </c>
      <c r="AD132">
        <v>600</v>
      </c>
      <c r="AE132">
        <v>432</v>
      </c>
      <c r="AF132">
        <v>528</v>
      </c>
      <c r="AG132">
        <v>144</v>
      </c>
      <c r="AH132">
        <v>4584</v>
      </c>
    </row>
    <row r="133" spans="1:34" x14ac:dyDescent="0.25">
      <c r="A133" t="s">
        <v>119</v>
      </c>
      <c r="B133" t="s">
        <v>68</v>
      </c>
      <c r="C133" t="s">
        <v>285</v>
      </c>
      <c r="D133" t="s">
        <v>149</v>
      </c>
      <c r="E133" t="s">
        <v>55</v>
      </c>
      <c r="F133" t="s">
        <v>125</v>
      </c>
      <c r="G133" t="s">
        <v>283</v>
      </c>
      <c r="H133">
        <v>4560</v>
      </c>
      <c r="I133">
        <v>5832</v>
      </c>
      <c r="J133">
        <v>38412</v>
      </c>
      <c r="K133">
        <v>26400</v>
      </c>
      <c r="L133">
        <v>26436</v>
      </c>
      <c r="M133">
        <v>720</v>
      </c>
      <c r="N133">
        <v>0</v>
      </c>
      <c r="O133">
        <v>480</v>
      </c>
      <c r="P133">
        <v>84</v>
      </c>
      <c r="Q133">
        <v>0</v>
      </c>
      <c r="R133">
        <v>780</v>
      </c>
      <c r="S133">
        <v>0</v>
      </c>
      <c r="T133">
        <v>144</v>
      </c>
      <c r="U133">
        <v>13200</v>
      </c>
      <c r="V133">
        <v>10752</v>
      </c>
      <c r="W133">
        <v>10200</v>
      </c>
      <c r="X133">
        <v>4860</v>
      </c>
      <c r="Y133">
        <v>300</v>
      </c>
      <c r="Z133">
        <v>3000</v>
      </c>
      <c r="AA133">
        <v>0</v>
      </c>
      <c r="AB133">
        <v>2280</v>
      </c>
      <c r="AC133">
        <v>3192</v>
      </c>
      <c r="AD133">
        <v>912</v>
      </c>
      <c r="AE133">
        <v>1164</v>
      </c>
      <c r="AF133">
        <v>312</v>
      </c>
      <c r="AG133">
        <v>84</v>
      </c>
      <c r="AH133">
        <v>16704</v>
      </c>
    </row>
    <row r="134" spans="1:34" x14ac:dyDescent="0.25">
      <c r="A134" t="s">
        <v>119</v>
      </c>
      <c r="B134" t="s">
        <v>68</v>
      </c>
      <c r="C134" t="s">
        <v>285</v>
      </c>
      <c r="D134" t="s">
        <v>149</v>
      </c>
      <c r="E134" t="s">
        <v>55</v>
      </c>
      <c r="F134" t="s">
        <v>126</v>
      </c>
      <c r="G134" t="s">
        <v>283</v>
      </c>
      <c r="H134">
        <v>0</v>
      </c>
      <c r="I134">
        <v>0</v>
      </c>
      <c r="J134">
        <v>6930</v>
      </c>
      <c r="K134">
        <v>14550</v>
      </c>
      <c r="L134">
        <v>11184</v>
      </c>
      <c r="M134">
        <v>17178</v>
      </c>
      <c r="N134">
        <v>4014</v>
      </c>
      <c r="O134">
        <v>2370</v>
      </c>
      <c r="P134">
        <v>3654</v>
      </c>
      <c r="Q134">
        <v>90</v>
      </c>
      <c r="R134">
        <v>690</v>
      </c>
      <c r="S134">
        <v>0</v>
      </c>
      <c r="T134">
        <v>240</v>
      </c>
      <c r="U134">
        <v>1020</v>
      </c>
      <c r="V134">
        <v>16698</v>
      </c>
      <c r="W134">
        <v>12420</v>
      </c>
      <c r="X134">
        <v>15990</v>
      </c>
      <c r="Y134">
        <v>8130</v>
      </c>
      <c r="Z134">
        <v>4380</v>
      </c>
      <c r="AA134">
        <v>780</v>
      </c>
      <c r="AB134">
        <v>1380</v>
      </c>
      <c r="AC134">
        <v>480</v>
      </c>
      <c r="AD134">
        <v>1026</v>
      </c>
      <c r="AE134">
        <v>378</v>
      </c>
      <c r="AF134">
        <v>780</v>
      </c>
      <c r="AG134">
        <v>606</v>
      </c>
      <c r="AH134">
        <v>18006</v>
      </c>
    </row>
    <row r="135" spans="1:34" x14ac:dyDescent="0.25">
      <c r="A135" t="s">
        <v>119</v>
      </c>
      <c r="B135" t="s">
        <v>68</v>
      </c>
      <c r="C135" t="s">
        <v>285</v>
      </c>
      <c r="D135" t="s">
        <v>149</v>
      </c>
      <c r="E135" t="s">
        <v>55</v>
      </c>
      <c r="F135" t="s">
        <v>127</v>
      </c>
      <c r="G135" t="s">
        <v>283</v>
      </c>
      <c r="H135">
        <v>0</v>
      </c>
      <c r="I135">
        <v>0</v>
      </c>
      <c r="J135">
        <v>1176</v>
      </c>
      <c r="K135">
        <v>912</v>
      </c>
      <c r="L135">
        <v>576</v>
      </c>
      <c r="M135">
        <v>336</v>
      </c>
      <c r="N135">
        <v>0</v>
      </c>
      <c r="O135">
        <v>0</v>
      </c>
      <c r="P135">
        <v>0</v>
      </c>
      <c r="Q135">
        <v>216</v>
      </c>
      <c r="R135">
        <v>480</v>
      </c>
      <c r="S135">
        <v>0</v>
      </c>
      <c r="T135">
        <v>0</v>
      </c>
      <c r="U135">
        <v>0</v>
      </c>
      <c r="V135">
        <v>1020</v>
      </c>
      <c r="W135">
        <v>0</v>
      </c>
      <c r="X135">
        <v>612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x14ac:dyDescent="0.25">
      <c r="A136" t="s">
        <v>119</v>
      </c>
      <c r="B136" t="s">
        <v>68</v>
      </c>
      <c r="C136" t="s">
        <v>285</v>
      </c>
      <c r="D136" t="s">
        <v>149</v>
      </c>
      <c r="E136" t="s">
        <v>55</v>
      </c>
      <c r="F136" t="s">
        <v>128</v>
      </c>
      <c r="G136" t="s">
        <v>283</v>
      </c>
      <c r="H136">
        <v>12396</v>
      </c>
      <c r="I136">
        <v>14820</v>
      </c>
      <c r="J136">
        <v>87612</v>
      </c>
      <c r="K136">
        <v>73584</v>
      </c>
      <c r="L136">
        <v>45264</v>
      </c>
      <c r="M136">
        <v>9372</v>
      </c>
      <c r="N136">
        <v>1860</v>
      </c>
      <c r="O136">
        <v>3564</v>
      </c>
      <c r="P136">
        <v>7740</v>
      </c>
      <c r="Q136">
        <v>6084</v>
      </c>
      <c r="R136">
        <v>3204</v>
      </c>
      <c r="S136">
        <v>1560</v>
      </c>
      <c r="T136">
        <v>720</v>
      </c>
      <c r="U136">
        <v>13140</v>
      </c>
      <c r="V136">
        <v>35400</v>
      </c>
      <c r="W136">
        <v>41808</v>
      </c>
      <c r="X136">
        <v>33360</v>
      </c>
      <c r="Y136">
        <v>33624</v>
      </c>
      <c r="Z136">
        <v>10800</v>
      </c>
      <c r="AA136">
        <v>7344</v>
      </c>
      <c r="AB136">
        <v>5544</v>
      </c>
      <c r="AC136">
        <v>11040</v>
      </c>
      <c r="AD136">
        <v>4464</v>
      </c>
      <c r="AE136">
        <v>1524</v>
      </c>
      <c r="AF136">
        <v>2280</v>
      </c>
      <c r="AG136">
        <v>5088</v>
      </c>
      <c r="AH136">
        <v>36120</v>
      </c>
    </row>
    <row r="137" spans="1:34" x14ac:dyDescent="0.25">
      <c r="A137" t="s">
        <v>119</v>
      </c>
      <c r="B137" t="s">
        <v>68</v>
      </c>
      <c r="C137" t="s">
        <v>285</v>
      </c>
      <c r="D137" t="s">
        <v>149</v>
      </c>
      <c r="E137" t="s">
        <v>55</v>
      </c>
      <c r="F137" t="s">
        <v>129</v>
      </c>
      <c r="G137" t="s">
        <v>283</v>
      </c>
      <c r="H137">
        <v>0</v>
      </c>
      <c r="I137">
        <v>0</v>
      </c>
      <c r="J137">
        <v>5760</v>
      </c>
      <c r="K137">
        <v>4080</v>
      </c>
      <c r="L137">
        <v>0</v>
      </c>
      <c r="M137">
        <v>0</v>
      </c>
      <c r="N137">
        <v>120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180</v>
      </c>
      <c r="W137">
        <v>0</v>
      </c>
      <c r="X137">
        <v>0</v>
      </c>
      <c r="Y137">
        <v>0</v>
      </c>
      <c r="Z137">
        <v>156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25">
      <c r="A138" t="s">
        <v>119</v>
      </c>
      <c r="B138" t="s">
        <v>68</v>
      </c>
      <c r="C138" t="s">
        <v>285</v>
      </c>
      <c r="D138" t="s">
        <v>149</v>
      </c>
      <c r="E138" t="s">
        <v>55</v>
      </c>
      <c r="F138" t="s">
        <v>130</v>
      </c>
      <c r="G138" t="s">
        <v>283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636</v>
      </c>
    </row>
    <row r="139" spans="1:34" x14ac:dyDescent="0.25">
      <c r="A139" t="s">
        <v>131</v>
      </c>
      <c r="B139" t="s">
        <v>68</v>
      </c>
      <c r="C139" t="s">
        <v>285</v>
      </c>
      <c r="D139" t="s">
        <v>149</v>
      </c>
      <c r="E139" t="s">
        <v>60</v>
      </c>
      <c r="F139" t="s">
        <v>132</v>
      </c>
      <c r="G139" t="s">
        <v>283</v>
      </c>
      <c r="H139">
        <v>1512</v>
      </c>
      <c r="I139">
        <v>336</v>
      </c>
      <c r="J139">
        <v>3888</v>
      </c>
      <c r="K139">
        <v>3972</v>
      </c>
      <c r="L139">
        <v>4104</v>
      </c>
      <c r="M139">
        <v>1272</v>
      </c>
      <c r="N139">
        <v>180</v>
      </c>
      <c r="O139">
        <v>792</v>
      </c>
      <c r="P139">
        <v>0</v>
      </c>
      <c r="Q139">
        <v>876</v>
      </c>
      <c r="R139">
        <v>168</v>
      </c>
      <c r="S139">
        <v>0</v>
      </c>
      <c r="T139">
        <v>180</v>
      </c>
      <c r="U139">
        <v>0</v>
      </c>
      <c r="V139">
        <v>5292</v>
      </c>
      <c r="W139">
        <v>1356</v>
      </c>
      <c r="X139">
        <v>1560</v>
      </c>
      <c r="Y139">
        <v>1104</v>
      </c>
      <c r="Z139">
        <v>0</v>
      </c>
      <c r="AA139">
        <v>516</v>
      </c>
      <c r="AB139">
        <v>456</v>
      </c>
      <c r="AC139">
        <v>1080</v>
      </c>
      <c r="AD139">
        <v>468</v>
      </c>
      <c r="AE139">
        <v>0</v>
      </c>
      <c r="AF139">
        <v>552</v>
      </c>
      <c r="AG139">
        <v>60</v>
      </c>
      <c r="AH139">
        <v>2064</v>
      </c>
    </row>
    <row r="140" spans="1:34" x14ac:dyDescent="0.25">
      <c r="A140" t="s">
        <v>131</v>
      </c>
      <c r="B140" t="s">
        <v>68</v>
      </c>
      <c r="C140" t="s">
        <v>285</v>
      </c>
      <c r="D140" t="s">
        <v>149</v>
      </c>
      <c r="E140" t="s">
        <v>55</v>
      </c>
      <c r="F140" t="s">
        <v>133</v>
      </c>
      <c r="G140" t="s">
        <v>283</v>
      </c>
      <c r="H140">
        <v>36</v>
      </c>
      <c r="I140">
        <v>336</v>
      </c>
      <c r="J140">
        <v>3072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5">
      <c r="A141" t="s">
        <v>131</v>
      </c>
      <c r="B141" t="s">
        <v>68</v>
      </c>
      <c r="C141" t="s">
        <v>285</v>
      </c>
      <c r="D141" t="s">
        <v>149</v>
      </c>
      <c r="E141" t="s">
        <v>55</v>
      </c>
      <c r="F141" t="s">
        <v>134</v>
      </c>
      <c r="G141" t="s">
        <v>283</v>
      </c>
      <c r="H141">
        <v>1860</v>
      </c>
      <c r="I141">
        <v>252</v>
      </c>
      <c r="J141">
        <v>4716</v>
      </c>
      <c r="K141">
        <v>8736</v>
      </c>
      <c r="L141">
        <v>7860</v>
      </c>
      <c r="M141">
        <v>2412</v>
      </c>
      <c r="N141">
        <v>1008</v>
      </c>
      <c r="O141">
        <v>3552</v>
      </c>
      <c r="P141">
        <v>3444</v>
      </c>
      <c r="Q141">
        <v>1500</v>
      </c>
      <c r="R141">
        <v>1548</v>
      </c>
      <c r="S141">
        <v>360</v>
      </c>
      <c r="T141">
        <v>816</v>
      </c>
      <c r="U141">
        <v>2580</v>
      </c>
      <c r="V141">
        <v>9012</v>
      </c>
      <c r="W141">
        <v>4824</v>
      </c>
      <c r="X141">
        <v>4524</v>
      </c>
      <c r="Y141">
        <v>2760</v>
      </c>
      <c r="Z141">
        <v>2796</v>
      </c>
      <c r="AA141">
        <v>2184</v>
      </c>
      <c r="AB141">
        <v>2940</v>
      </c>
      <c r="AC141">
        <v>3564</v>
      </c>
      <c r="AD141">
        <v>480</v>
      </c>
      <c r="AE141">
        <v>300</v>
      </c>
      <c r="AF141">
        <v>456</v>
      </c>
      <c r="AG141">
        <v>552</v>
      </c>
      <c r="AH141">
        <v>9480</v>
      </c>
    </row>
    <row r="142" spans="1:34" x14ac:dyDescent="0.25">
      <c r="A142" t="s">
        <v>131</v>
      </c>
      <c r="B142" t="s">
        <v>68</v>
      </c>
      <c r="C142" t="s">
        <v>285</v>
      </c>
      <c r="D142" t="s">
        <v>149</v>
      </c>
      <c r="E142" t="s">
        <v>55</v>
      </c>
      <c r="F142" t="s">
        <v>135</v>
      </c>
      <c r="G142" t="s">
        <v>283</v>
      </c>
      <c r="H142">
        <v>2184</v>
      </c>
      <c r="I142">
        <v>396</v>
      </c>
      <c r="J142">
        <v>5808</v>
      </c>
      <c r="K142">
        <v>4368</v>
      </c>
      <c r="L142">
        <v>6492</v>
      </c>
      <c r="M142">
        <v>2832</v>
      </c>
      <c r="N142">
        <v>2280</v>
      </c>
      <c r="O142">
        <v>1932</v>
      </c>
      <c r="P142">
        <v>2688</v>
      </c>
      <c r="Q142">
        <v>1044</v>
      </c>
      <c r="R142">
        <v>1680</v>
      </c>
      <c r="S142">
        <v>480</v>
      </c>
      <c r="T142">
        <v>660</v>
      </c>
      <c r="U142">
        <v>1296</v>
      </c>
      <c r="V142">
        <v>10500</v>
      </c>
      <c r="W142">
        <v>852</v>
      </c>
      <c r="X142">
        <v>5196</v>
      </c>
      <c r="Y142">
        <v>2232</v>
      </c>
      <c r="Z142">
        <v>2268</v>
      </c>
      <c r="AA142">
        <v>3096</v>
      </c>
      <c r="AB142">
        <v>3156</v>
      </c>
      <c r="AC142">
        <v>2112</v>
      </c>
      <c r="AD142">
        <v>684</v>
      </c>
      <c r="AE142">
        <v>420</v>
      </c>
      <c r="AF142">
        <v>792</v>
      </c>
      <c r="AG142">
        <v>420</v>
      </c>
      <c r="AH142">
        <v>5784</v>
      </c>
    </row>
    <row r="143" spans="1:34" x14ac:dyDescent="0.25">
      <c r="A143" t="s">
        <v>131</v>
      </c>
      <c r="B143" t="s">
        <v>68</v>
      </c>
      <c r="C143" t="s">
        <v>285</v>
      </c>
      <c r="D143" t="s">
        <v>149</v>
      </c>
      <c r="E143" t="s">
        <v>55</v>
      </c>
      <c r="F143" t="s">
        <v>136</v>
      </c>
      <c r="G143" t="s">
        <v>283</v>
      </c>
      <c r="H143">
        <v>0</v>
      </c>
      <c r="I143">
        <v>0</v>
      </c>
      <c r="J143">
        <v>3396</v>
      </c>
      <c r="K143">
        <v>5880</v>
      </c>
      <c r="L143">
        <v>12</v>
      </c>
      <c r="M143">
        <v>480</v>
      </c>
      <c r="N143">
        <v>0</v>
      </c>
      <c r="O143">
        <v>336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1056</v>
      </c>
      <c r="W143">
        <v>240</v>
      </c>
      <c r="X143">
        <v>336</v>
      </c>
      <c r="Y143">
        <v>0</v>
      </c>
      <c r="Z143">
        <v>420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5">
      <c r="A144" t="s">
        <v>131</v>
      </c>
      <c r="B144" t="s">
        <v>68</v>
      </c>
      <c r="C144" t="s">
        <v>285</v>
      </c>
      <c r="D144" t="s">
        <v>149</v>
      </c>
      <c r="E144" t="s">
        <v>55</v>
      </c>
      <c r="F144" t="s">
        <v>137</v>
      </c>
      <c r="G144" t="s">
        <v>283</v>
      </c>
      <c r="H144">
        <v>360</v>
      </c>
      <c r="I144">
        <v>240</v>
      </c>
      <c r="J144">
        <v>1770</v>
      </c>
      <c r="K144">
        <v>2256</v>
      </c>
      <c r="L144">
        <v>1632</v>
      </c>
      <c r="M144">
        <v>618</v>
      </c>
      <c r="N144">
        <v>546</v>
      </c>
      <c r="O144">
        <v>180</v>
      </c>
      <c r="P144">
        <v>600</v>
      </c>
      <c r="Q144">
        <v>408</v>
      </c>
      <c r="R144">
        <v>150</v>
      </c>
      <c r="S144">
        <v>90</v>
      </c>
      <c r="T144">
        <v>36</v>
      </c>
      <c r="U144">
        <v>576</v>
      </c>
      <c r="V144">
        <v>3006</v>
      </c>
      <c r="W144">
        <v>972</v>
      </c>
      <c r="X144">
        <v>1590</v>
      </c>
      <c r="Y144">
        <v>0</v>
      </c>
      <c r="Z144">
        <v>240</v>
      </c>
      <c r="AA144">
        <v>210</v>
      </c>
      <c r="AB144">
        <v>360</v>
      </c>
      <c r="AC144">
        <v>468</v>
      </c>
      <c r="AD144">
        <v>0</v>
      </c>
      <c r="AE144">
        <v>60</v>
      </c>
      <c r="AF144">
        <v>222</v>
      </c>
      <c r="AG144">
        <v>0</v>
      </c>
      <c r="AH144">
        <v>1572</v>
      </c>
    </row>
    <row r="145" spans="1:34" x14ac:dyDescent="0.25">
      <c r="A145" t="s">
        <v>131</v>
      </c>
      <c r="B145" t="s">
        <v>68</v>
      </c>
      <c r="C145" t="s">
        <v>285</v>
      </c>
      <c r="D145" t="s">
        <v>149</v>
      </c>
      <c r="E145" t="s">
        <v>55</v>
      </c>
      <c r="F145" t="s">
        <v>139</v>
      </c>
      <c r="G145" t="s">
        <v>283</v>
      </c>
      <c r="H145">
        <v>852</v>
      </c>
      <c r="I145">
        <v>120</v>
      </c>
      <c r="J145">
        <v>7920</v>
      </c>
      <c r="K145">
        <v>4944</v>
      </c>
      <c r="L145">
        <v>6540</v>
      </c>
      <c r="M145">
        <v>3792</v>
      </c>
      <c r="N145">
        <v>1356</v>
      </c>
      <c r="O145">
        <v>3408</v>
      </c>
      <c r="P145">
        <v>1284</v>
      </c>
      <c r="Q145">
        <v>1560</v>
      </c>
      <c r="R145">
        <v>900</v>
      </c>
      <c r="S145">
        <v>120</v>
      </c>
      <c r="T145">
        <v>456</v>
      </c>
      <c r="U145">
        <v>840</v>
      </c>
      <c r="V145">
        <v>3960</v>
      </c>
      <c r="W145">
        <v>5580</v>
      </c>
      <c r="X145">
        <v>4284</v>
      </c>
      <c r="Y145">
        <v>3204</v>
      </c>
      <c r="Z145">
        <v>4260</v>
      </c>
      <c r="AA145">
        <v>2340</v>
      </c>
      <c r="AB145">
        <v>1236</v>
      </c>
      <c r="AC145">
        <v>2208</v>
      </c>
      <c r="AD145">
        <v>612</v>
      </c>
      <c r="AE145">
        <v>600</v>
      </c>
      <c r="AF145">
        <v>288</v>
      </c>
      <c r="AG145">
        <v>144</v>
      </c>
      <c r="AH145">
        <v>5040</v>
      </c>
    </row>
    <row r="146" spans="1:34" x14ac:dyDescent="0.25">
      <c r="A146" t="s">
        <v>141</v>
      </c>
      <c r="B146" t="s">
        <v>68</v>
      </c>
      <c r="C146" t="s">
        <v>285</v>
      </c>
      <c r="D146" t="s">
        <v>149</v>
      </c>
      <c r="E146" t="s">
        <v>55</v>
      </c>
      <c r="F146" t="s">
        <v>142</v>
      </c>
      <c r="G146" t="s">
        <v>283</v>
      </c>
      <c r="H146">
        <v>0</v>
      </c>
      <c r="I146">
        <v>60</v>
      </c>
      <c r="J146">
        <v>3048</v>
      </c>
      <c r="K146">
        <v>504</v>
      </c>
      <c r="L146">
        <v>1260</v>
      </c>
      <c r="M146">
        <v>1332</v>
      </c>
      <c r="N146">
        <v>180</v>
      </c>
      <c r="O146">
        <v>936</v>
      </c>
      <c r="P146">
        <v>120</v>
      </c>
      <c r="Q146">
        <v>660</v>
      </c>
      <c r="R146">
        <v>0</v>
      </c>
      <c r="S146">
        <v>300</v>
      </c>
      <c r="T146">
        <v>24</v>
      </c>
      <c r="U146">
        <v>348</v>
      </c>
      <c r="V146">
        <v>732</v>
      </c>
      <c r="W146">
        <v>2604</v>
      </c>
      <c r="X146">
        <v>1392</v>
      </c>
      <c r="Y146">
        <v>72</v>
      </c>
      <c r="Z146">
        <v>372</v>
      </c>
      <c r="AA146">
        <v>0</v>
      </c>
      <c r="AB146">
        <v>12</v>
      </c>
      <c r="AC146">
        <v>360</v>
      </c>
      <c r="AD146">
        <v>0</v>
      </c>
      <c r="AE146">
        <v>0</v>
      </c>
      <c r="AF146">
        <v>0</v>
      </c>
      <c r="AG146">
        <v>0</v>
      </c>
      <c r="AH146">
        <v>2196</v>
      </c>
    </row>
    <row r="147" spans="1:34" x14ac:dyDescent="0.25">
      <c r="A147" t="s">
        <v>143</v>
      </c>
      <c r="B147" t="s">
        <v>68</v>
      </c>
      <c r="C147" t="s">
        <v>285</v>
      </c>
      <c r="D147" t="s">
        <v>149</v>
      </c>
      <c r="E147" t="s">
        <v>55</v>
      </c>
      <c r="F147" t="s">
        <v>144</v>
      </c>
      <c r="G147" t="s">
        <v>283</v>
      </c>
      <c r="H147">
        <v>24</v>
      </c>
      <c r="I147">
        <v>408</v>
      </c>
      <c r="J147">
        <v>3612</v>
      </c>
      <c r="K147">
        <v>3348</v>
      </c>
      <c r="L147">
        <v>3564</v>
      </c>
      <c r="M147">
        <v>1008</v>
      </c>
      <c r="N147">
        <v>60</v>
      </c>
      <c r="O147">
        <v>924</v>
      </c>
      <c r="P147">
        <v>912</v>
      </c>
      <c r="Q147">
        <v>756</v>
      </c>
      <c r="R147">
        <v>420</v>
      </c>
      <c r="S147">
        <v>252</v>
      </c>
      <c r="T147">
        <v>0</v>
      </c>
      <c r="U147">
        <v>300</v>
      </c>
      <c r="V147">
        <v>4764</v>
      </c>
      <c r="W147">
        <v>2724</v>
      </c>
      <c r="X147">
        <v>2172</v>
      </c>
      <c r="Y147">
        <v>348</v>
      </c>
      <c r="Z147">
        <v>396</v>
      </c>
      <c r="AA147">
        <v>264</v>
      </c>
      <c r="AB147">
        <v>996</v>
      </c>
      <c r="AC147">
        <v>444</v>
      </c>
      <c r="AD147">
        <v>0</v>
      </c>
      <c r="AE147">
        <v>0</v>
      </c>
      <c r="AF147">
        <v>372</v>
      </c>
      <c r="AG147">
        <v>0</v>
      </c>
      <c r="AH147">
        <v>3120</v>
      </c>
    </row>
    <row r="148" spans="1:34" x14ac:dyDescent="0.25">
      <c r="A148" t="s">
        <v>145</v>
      </c>
      <c r="B148" t="s">
        <v>68</v>
      </c>
      <c r="C148" t="s">
        <v>285</v>
      </c>
      <c r="D148" t="s">
        <v>149</v>
      </c>
      <c r="E148" t="s">
        <v>55</v>
      </c>
      <c r="F148" t="s">
        <v>146</v>
      </c>
      <c r="G148" t="s">
        <v>283</v>
      </c>
      <c r="H148">
        <v>948</v>
      </c>
      <c r="I148">
        <v>492</v>
      </c>
      <c r="J148">
        <v>6600</v>
      </c>
      <c r="K148">
        <v>4128</v>
      </c>
      <c r="L148">
        <v>4452</v>
      </c>
      <c r="M148">
        <v>828</v>
      </c>
      <c r="N148">
        <v>0</v>
      </c>
      <c r="O148">
        <v>360</v>
      </c>
      <c r="P148">
        <v>0</v>
      </c>
      <c r="Q148">
        <v>816</v>
      </c>
      <c r="R148">
        <v>948</v>
      </c>
      <c r="S148">
        <v>120</v>
      </c>
      <c r="T148">
        <v>408</v>
      </c>
      <c r="U148">
        <v>1272</v>
      </c>
      <c r="V148">
        <v>7560</v>
      </c>
      <c r="W148">
        <v>3504</v>
      </c>
      <c r="X148">
        <v>708</v>
      </c>
      <c r="Y148">
        <v>1500</v>
      </c>
      <c r="Z148">
        <v>1596</v>
      </c>
      <c r="AA148">
        <v>0</v>
      </c>
      <c r="AB148">
        <v>180</v>
      </c>
      <c r="AC148">
        <v>672</v>
      </c>
      <c r="AD148">
        <v>60</v>
      </c>
      <c r="AE148">
        <v>0</v>
      </c>
      <c r="AF148">
        <v>24</v>
      </c>
      <c r="AG148">
        <v>84</v>
      </c>
      <c r="AH148">
        <v>2868</v>
      </c>
    </row>
    <row r="149" spans="1:34" x14ac:dyDescent="0.25">
      <c r="A149" t="s">
        <v>147</v>
      </c>
      <c r="B149" t="s">
        <v>68</v>
      </c>
      <c r="C149" t="s">
        <v>285</v>
      </c>
      <c r="D149" t="s">
        <v>149</v>
      </c>
      <c r="E149" t="s">
        <v>55</v>
      </c>
      <c r="F149" t="s">
        <v>148</v>
      </c>
      <c r="G149" t="s">
        <v>283</v>
      </c>
      <c r="H149">
        <v>120</v>
      </c>
      <c r="I149">
        <v>0</v>
      </c>
      <c r="J149">
        <v>1020</v>
      </c>
      <c r="K149">
        <v>1092</v>
      </c>
      <c r="L149">
        <v>480</v>
      </c>
      <c r="M149">
        <v>360</v>
      </c>
      <c r="N149">
        <v>660</v>
      </c>
      <c r="O149">
        <v>0</v>
      </c>
      <c r="P149">
        <v>0</v>
      </c>
      <c r="Q149">
        <v>0</v>
      </c>
      <c r="R149">
        <v>0</v>
      </c>
      <c r="S149">
        <v>204</v>
      </c>
      <c r="T149">
        <v>0</v>
      </c>
      <c r="U149">
        <v>156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5">
      <c r="A150" t="s">
        <v>69</v>
      </c>
      <c r="B150" t="s">
        <v>68</v>
      </c>
      <c r="C150" t="s">
        <v>285</v>
      </c>
      <c r="D150" t="s">
        <v>6</v>
      </c>
      <c r="E150" t="s">
        <v>55</v>
      </c>
      <c r="F150" t="s">
        <v>70</v>
      </c>
      <c r="G150" t="s">
        <v>283</v>
      </c>
      <c r="H150">
        <v>24</v>
      </c>
      <c r="I150">
        <v>0</v>
      </c>
      <c r="J150">
        <v>4056</v>
      </c>
      <c r="K150">
        <v>648</v>
      </c>
      <c r="L150">
        <v>1440</v>
      </c>
      <c r="M150">
        <v>4032</v>
      </c>
      <c r="N150">
        <v>7944</v>
      </c>
      <c r="O150">
        <v>4032</v>
      </c>
      <c r="P150">
        <v>3528</v>
      </c>
      <c r="Q150">
        <v>744</v>
      </c>
      <c r="R150">
        <v>0</v>
      </c>
      <c r="S150">
        <v>0</v>
      </c>
      <c r="T150">
        <v>120</v>
      </c>
      <c r="U150">
        <v>0</v>
      </c>
      <c r="V150">
        <v>1488</v>
      </c>
      <c r="W150">
        <v>4320</v>
      </c>
      <c r="X150">
        <v>2496</v>
      </c>
      <c r="Y150">
        <v>10680</v>
      </c>
      <c r="Z150">
        <v>14952</v>
      </c>
      <c r="AA150">
        <v>6096</v>
      </c>
      <c r="AB150">
        <v>6528</v>
      </c>
      <c r="AC150">
        <v>4752</v>
      </c>
      <c r="AD150">
        <v>0</v>
      </c>
      <c r="AE150">
        <v>0</v>
      </c>
      <c r="AF150">
        <v>2592</v>
      </c>
      <c r="AG150">
        <v>48</v>
      </c>
      <c r="AH150">
        <v>2136</v>
      </c>
    </row>
    <row r="151" spans="1:34" x14ac:dyDescent="0.25">
      <c r="A151" t="s">
        <v>69</v>
      </c>
      <c r="B151" t="s">
        <v>68</v>
      </c>
      <c r="C151" t="s">
        <v>285</v>
      </c>
      <c r="D151" t="s">
        <v>6</v>
      </c>
      <c r="E151" t="s">
        <v>55</v>
      </c>
      <c r="F151" t="s">
        <v>72</v>
      </c>
      <c r="G151" t="s">
        <v>283</v>
      </c>
      <c r="H151">
        <v>0</v>
      </c>
      <c r="I151">
        <v>0</v>
      </c>
      <c r="J151">
        <v>1560</v>
      </c>
      <c r="K151">
        <v>96</v>
      </c>
      <c r="L151">
        <v>408</v>
      </c>
      <c r="M151">
        <v>3024</v>
      </c>
      <c r="N151">
        <v>4464</v>
      </c>
      <c r="O151">
        <v>2064</v>
      </c>
      <c r="P151">
        <v>432</v>
      </c>
      <c r="Q151">
        <v>168</v>
      </c>
      <c r="R151">
        <v>168</v>
      </c>
      <c r="S151">
        <v>96</v>
      </c>
      <c r="T151">
        <v>96</v>
      </c>
      <c r="U151">
        <v>0</v>
      </c>
      <c r="V151">
        <v>96</v>
      </c>
      <c r="W151">
        <v>624</v>
      </c>
      <c r="X151">
        <v>1752</v>
      </c>
      <c r="Y151">
        <v>6840</v>
      </c>
      <c r="Z151">
        <v>12648</v>
      </c>
      <c r="AA151">
        <v>-552</v>
      </c>
      <c r="AB151">
        <v>2304</v>
      </c>
      <c r="AC151">
        <v>1848</v>
      </c>
      <c r="AD151">
        <v>5520</v>
      </c>
      <c r="AE151">
        <v>312</v>
      </c>
      <c r="AF151">
        <v>144</v>
      </c>
      <c r="AG151">
        <v>0</v>
      </c>
      <c r="AH151">
        <v>1272</v>
      </c>
    </row>
    <row r="152" spans="1:34" x14ac:dyDescent="0.25">
      <c r="A152" t="s">
        <v>74</v>
      </c>
      <c r="B152" t="s">
        <v>68</v>
      </c>
      <c r="C152" t="s">
        <v>285</v>
      </c>
      <c r="D152" t="s">
        <v>6</v>
      </c>
      <c r="E152" t="s">
        <v>53</v>
      </c>
      <c r="F152" t="s">
        <v>75</v>
      </c>
      <c r="G152" t="s">
        <v>283</v>
      </c>
      <c r="H152">
        <v>6</v>
      </c>
      <c r="I152">
        <v>18</v>
      </c>
      <c r="J152">
        <v>756</v>
      </c>
      <c r="K152">
        <v>1866</v>
      </c>
      <c r="L152">
        <v>492</v>
      </c>
      <c r="M152">
        <v>924</v>
      </c>
      <c r="N152">
        <v>768</v>
      </c>
      <c r="O152">
        <v>174</v>
      </c>
      <c r="P152">
        <v>66</v>
      </c>
      <c r="Q152">
        <v>12</v>
      </c>
      <c r="R152">
        <v>12</v>
      </c>
      <c r="S152">
        <v>24</v>
      </c>
      <c r="T152">
        <v>66</v>
      </c>
      <c r="U152">
        <v>0</v>
      </c>
      <c r="V152">
        <v>0</v>
      </c>
      <c r="W152">
        <v>678</v>
      </c>
      <c r="X152">
        <v>96</v>
      </c>
      <c r="Y152">
        <v>1206</v>
      </c>
      <c r="Z152">
        <v>1152</v>
      </c>
      <c r="AA152">
        <v>714</v>
      </c>
      <c r="AB152">
        <v>384</v>
      </c>
      <c r="AC152">
        <v>552</v>
      </c>
      <c r="AD152">
        <v>120</v>
      </c>
      <c r="AE152">
        <v>18</v>
      </c>
      <c r="AF152">
        <v>96</v>
      </c>
      <c r="AG152">
        <v>0</v>
      </c>
      <c r="AH152">
        <v>528</v>
      </c>
    </row>
    <row r="153" spans="1:34" x14ac:dyDescent="0.25">
      <c r="A153" t="s">
        <v>74</v>
      </c>
      <c r="B153" t="s">
        <v>68</v>
      </c>
      <c r="C153" t="s">
        <v>285</v>
      </c>
      <c r="D153" t="s">
        <v>6</v>
      </c>
      <c r="E153" t="s">
        <v>53</v>
      </c>
      <c r="F153" t="s">
        <v>77</v>
      </c>
      <c r="G153" t="s">
        <v>283</v>
      </c>
      <c r="H153">
        <v>24</v>
      </c>
      <c r="I153">
        <v>0</v>
      </c>
      <c r="J153">
        <v>1044</v>
      </c>
      <c r="K153">
        <v>840</v>
      </c>
      <c r="L153">
        <v>2532</v>
      </c>
      <c r="M153">
        <v>2352</v>
      </c>
      <c r="N153">
        <v>1644</v>
      </c>
      <c r="O153">
        <v>744</v>
      </c>
      <c r="P153">
        <v>564</v>
      </c>
      <c r="Q153">
        <v>456</v>
      </c>
      <c r="R153">
        <v>1260</v>
      </c>
      <c r="S153">
        <v>84</v>
      </c>
      <c r="T153">
        <v>84</v>
      </c>
      <c r="U153">
        <v>0</v>
      </c>
      <c r="V153">
        <v>48</v>
      </c>
      <c r="W153">
        <v>1440</v>
      </c>
      <c r="X153">
        <v>984</v>
      </c>
      <c r="Y153">
        <v>2052</v>
      </c>
      <c r="Z153">
        <v>3192</v>
      </c>
      <c r="AA153">
        <v>480</v>
      </c>
      <c r="AB153">
        <v>780</v>
      </c>
      <c r="AC153">
        <v>1740</v>
      </c>
      <c r="AD153">
        <v>360</v>
      </c>
      <c r="AE153">
        <v>120</v>
      </c>
      <c r="AF153">
        <v>156</v>
      </c>
      <c r="AG153">
        <v>0</v>
      </c>
      <c r="AH153">
        <v>0</v>
      </c>
    </row>
    <row r="154" spans="1:34" x14ac:dyDescent="0.25">
      <c r="A154" t="s">
        <v>74</v>
      </c>
      <c r="B154" t="s">
        <v>68</v>
      </c>
      <c r="C154" t="s">
        <v>285</v>
      </c>
      <c r="D154" t="s">
        <v>6</v>
      </c>
      <c r="E154" t="s">
        <v>55</v>
      </c>
      <c r="F154" t="s">
        <v>78</v>
      </c>
      <c r="G154" t="s">
        <v>283</v>
      </c>
      <c r="H154">
        <v>18</v>
      </c>
      <c r="I154">
        <v>12</v>
      </c>
      <c r="J154">
        <v>2874</v>
      </c>
      <c r="K154">
        <v>1224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324</v>
      </c>
      <c r="V154">
        <v>150</v>
      </c>
      <c r="W154">
        <v>84</v>
      </c>
      <c r="X154">
        <v>0</v>
      </c>
      <c r="Y154">
        <v>0</v>
      </c>
      <c r="Z154">
        <v>3498</v>
      </c>
      <c r="AA154">
        <v>1494</v>
      </c>
      <c r="AB154">
        <v>996</v>
      </c>
      <c r="AC154">
        <v>1170</v>
      </c>
      <c r="AD154">
        <v>288</v>
      </c>
      <c r="AE154">
        <v>84</v>
      </c>
      <c r="AF154">
        <v>36</v>
      </c>
      <c r="AG154">
        <v>6</v>
      </c>
      <c r="AH154">
        <v>0</v>
      </c>
    </row>
    <row r="155" spans="1:34" x14ac:dyDescent="0.25">
      <c r="A155" t="s">
        <v>74</v>
      </c>
      <c r="B155" t="s">
        <v>68</v>
      </c>
      <c r="C155" t="s">
        <v>285</v>
      </c>
      <c r="D155" t="s">
        <v>6</v>
      </c>
      <c r="E155" t="s">
        <v>55</v>
      </c>
      <c r="F155" t="s">
        <v>79</v>
      </c>
      <c r="G155" t="s">
        <v>283</v>
      </c>
      <c r="H155">
        <v>24</v>
      </c>
      <c r="I155">
        <v>12</v>
      </c>
      <c r="J155">
        <v>11712</v>
      </c>
      <c r="K155">
        <v>2688</v>
      </c>
      <c r="L155">
        <v>4908</v>
      </c>
      <c r="M155">
        <v>2844</v>
      </c>
      <c r="N155">
        <v>4392</v>
      </c>
      <c r="O155">
        <v>3708</v>
      </c>
      <c r="P155">
        <v>3612</v>
      </c>
      <c r="Q155">
        <v>2040</v>
      </c>
      <c r="R155">
        <v>1020</v>
      </c>
      <c r="S155">
        <v>372</v>
      </c>
      <c r="T155">
        <v>300</v>
      </c>
      <c r="U155">
        <v>504</v>
      </c>
      <c r="V155">
        <v>6612</v>
      </c>
      <c r="W155">
        <v>2904</v>
      </c>
      <c r="X155">
        <v>5844</v>
      </c>
      <c r="Y155">
        <v>5400</v>
      </c>
      <c r="Z155">
        <v>4908</v>
      </c>
      <c r="AA155">
        <v>3996</v>
      </c>
      <c r="AB155">
        <v>5004</v>
      </c>
      <c r="AC155">
        <v>3684</v>
      </c>
      <c r="AD155">
        <v>408</v>
      </c>
      <c r="AE155">
        <v>168</v>
      </c>
      <c r="AF155">
        <v>492</v>
      </c>
      <c r="AG155">
        <v>12</v>
      </c>
      <c r="AH155">
        <v>4632</v>
      </c>
    </row>
    <row r="156" spans="1:34" x14ac:dyDescent="0.25">
      <c r="A156" t="s">
        <v>74</v>
      </c>
      <c r="B156" t="s">
        <v>68</v>
      </c>
      <c r="C156" t="s">
        <v>285</v>
      </c>
      <c r="D156" t="s">
        <v>6</v>
      </c>
      <c r="E156" t="s">
        <v>55</v>
      </c>
      <c r="F156" t="s">
        <v>80</v>
      </c>
      <c r="G156" t="s">
        <v>283</v>
      </c>
      <c r="H156">
        <v>0</v>
      </c>
      <c r="I156">
        <v>0</v>
      </c>
      <c r="J156">
        <v>6606</v>
      </c>
      <c r="K156">
        <v>2802</v>
      </c>
      <c r="L156">
        <v>3780</v>
      </c>
      <c r="M156">
        <v>9108</v>
      </c>
      <c r="N156">
        <v>5028</v>
      </c>
      <c r="O156">
        <v>2184</v>
      </c>
      <c r="P156">
        <v>1134</v>
      </c>
      <c r="Q156">
        <v>468</v>
      </c>
      <c r="R156">
        <v>246</v>
      </c>
      <c r="S156">
        <v>144</v>
      </c>
      <c r="T156">
        <v>432</v>
      </c>
      <c r="U156">
        <v>150</v>
      </c>
      <c r="V156">
        <v>2892</v>
      </c>
      <c r="W156">
        <v>6864</v>
      </c>
      <c r="X156">
        <v>6000</v>
      </c>
      <c r="Y156">
        <v>2556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3222</v>
      </c>
    </row>
    <row r="157" spans="1:34" x14ac:dyDescent="0.25">
      <c r="A157" t="s">
        <v>74</v>
      </c>
      <c r="B157" t="s">
        <v>68</v>
      </c>
      <c r="C157" t="s">
        <v>285</v>
      </c>
      <c r="D157" t="s">
        <v>6</v>
      </c>
      <c r="E157" t="s">
        <v>55</v>
      </c>
      <c r="F157" t="s">
        <v>81</v>
      </c>
      <c r="G157" t="s">
        <v>283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204</v>
      </c>
      <c r="W157">
        <v>2808</v>
      </c>
      <c r="X157">
        <v>2616</v>
      </c>
      <c r="Y157">
        <v>3444</v>
      </c>
      <c r="Z157">
        <v>3204</v>
      </c>
      <c r="AA157">
        <v>2868</v>
      </c>
      <c r="AB157">
        <v>2376</v>
      </c>
      <c r="AC157">
        <v>2736</v>
      </c>
      <c r="AD157">
        <v>324</v>
      </c>
      <c r="AE157">
        <v>108</v>
      </c>
      <c r="AF157">
        <v>264</v>
      </c>
      <c r="AG157">
        <v>0</v>
      </c>
      <c r="AH157">
        <v>1236</v>
      </c>
    </row>
    <row r="158" spans="1:34" x14ac:dyDescent="0.25">
      <c r="A158" t="s">
        <v>74</v>
      </c>
      <c r="B158" t="s">
        <v>68</v>
      </c>
      <c r="C158" t="s">
        <v>285</v>
      </c>
      <c r="D158" t="s">
        <v>6</v>
      </c>
      <c r="E158" t="s">
        <v>53</v>
      </c>
      <c r="F158" t="s">
        <v>82</v>
      </c>
      <c r="G158" t="s">
        <v>283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876</v>
      </c>
    </row>
    <row r="159" spans="1:34" x14ac:dyDescent="0.25">
      <c r="A159" t="s">
        <v>83</v>
      </c>
      <c r="B159" t="s">
        <v>68</v>
      </c>
      <c r="C159" t="s">
        <v>285</v>
      </c>
      <c r="D159" t="s">
        <v>6</v>
      </c>
      <c r="E159" t="s">
        <v>53</v>
      </c>
      <c r="F159" t="s">
        <v>84</v>
      </c>
      <c r="G159" t="s">
        <v>283</v>
      </c>
      <c r="H159">
        <v>80</v>
      </c>
      <c r="I159">
        <v>2900</v>
      </c>
      <c r="J159">
        <v>1500</v>
      </c>
      <c r="K159">
        <v>3780</v>
      </c>
      <c r="L159">
        <v>14240</v>
      </c>
      <c r="M159">
        <v>14980</v>
      </c>
      <c r="N159">
        <v>7360</v>
      </c>
      <c r="O159">
        <v>4380</v>
      </c>
      <c r="P159">
        <v>4040</v>
      </c>
      <c r="Q159">
        <v>4300</v>
      </c>
      <c r="R159">
        <v>2180</v>
      </c>
      <c r="S159">
        <v>220</v>
      </c>
      <c r="T159">
        <v>900</v>
      </c>
      <c r="U159">
        <v>200</v>
      </c>
      <c r="V159">
        <v>7000</v>
      </c>
      <c r="W159">
        <v>2180</v>
      </c>
      <c r="X159">
        <v>7860</v>
      </c>
      <c r="Y159">
        <v>11580</v>
      </c>
      <c r="Z159">
        <v>10980</v>
      </c>
      <c r="AA159">
        <v>4680</v>
      </c>
      <c r="AB159">
        <v>7200</v>
      </c>
      <c r="AC159">
        <v>5480</v>
      </c>
      <c r="AD159">
        <v>820</v>
      </c>
      <c r="AE159">
        <v>0</v>
      </c>
      <c r="AF159">
        <v>1460</v>
      </c>
      <c r="AG159">
        <v>0</v>
      </c>
      <c r="AH159">
        <v>3980</v>
      </c>
    </row>
    <row r="160" spans="1:34" x14ac:dyDescent="0.25">
      <c r="A160" t="s">
        <v>83</v>
      </c>
      <c r="B160" t="s">
        <v>68</v>
      </c>
      <c r="C160" t="s">
        <v>285</v>
      </c>
      <c r="D160" t="s">
        <v>6</v>
      </c>
      <c r="E160" t="s">
        <v>53</v>
      </c>
      <c r="F160" t="s">
        <v>86</v>
      </c>
      <c r="G160" t="s">
        <v>283</v>
      </c>
      <c r="H160">
        <v>160</v>
      </c>
      <c r="I160">
        <v>0</v>
      </c>
      <c r="J160">
        <v>1760</v>
      </c>
      <c r="K160">
        <v>3200</v>
      </c>
      <c r="L160">
        <v>16640</v>
      </c>
      <c r="M160">
        <v>12240</v>
      </c>
      <c r="N160">
        <v>6880</v>
      </c>
      <c r="O160">
        <v>5680</v>
      </c>
      <c r="P160">
        <v>5360</v>
      </c>
      <c r="Q160">
        <v>2880</v>
      </c>
      <c r="R160">
        <v>2560</v>
      </c>
      <c r="S160">
        <v>640</v>
      </c>
      <c r="T160">
        <v>1520</v>
      </c>
      <c r="U160">
        <v>560</v>
      </c>
      <c r="V160">
        <v>6160</v>
      </c>
      <c r="W160">
        <v>4880</v>
      </c>
      <c r="X160">
        <v>9120</v>
      </c>
      <c r="Y160">
        <v>10720</v>
      </c>
      <c r="Z160">
        <v>10400</v>
      </c>
      <c r="AA160">
        <v>3120</v>
      </c>
      <c r="AB160">
        <v>11200</v>
      </c>
      <c r="AC160">
        <v>1920</v>
      </c>
      <c r="AD160">
        <v>80</v>
      </c>
      <c r="AE160">
        <v>1120</v>
      </c>
      <c r="AF160">
        <v>160</v>
      </c>
      <c r="AG160">
        <v>0</v>
      </c>
      <c r="AH160">
        <v>3600</v>
      </c>
    </row>
    <row r="161" spans="1:34" x14ac:dyDescent="0.25">
      <c r="A161" t="s">
        <v>83</v>
      </c>
      <c r="B161" t="s">
        <v>68</v>
      </c>
      <c r="C161" t="s">
        <v>285</v>
      </c>
      <c r="D161" t="s">
        <v>6</v>
      </c>
      <c r="E161" t="s">
        <v>55</v>
      </c>
      <c r="F161" t="s">
        <v>87</v>
      </c>
      <c r="G161" t="s">
        <v>283</v>
      </c>
      <c r="H161">
        <v>18</v>
      </c>
      <c r="I161">
        <v>18</v>
      </c>
      <c r="J161">
        <v>2862</v>
      </c>
      <c r="K161">
        <v>1260</v>
      </c>
      <c r="L161">
        <v>3954</v>
      </c>
      <c r="M161">
        <v>5040</v>
      </c>
      <c r="N161">
        <v>3300</v>
      </c>
      <c r="O161">
        <v>1230</v>
      </c>
      <c r="P161">
        <v>798</v>
      </c>
      <c r="Q161">
        <v>408</v>
      </c>
      <c r="R161">
        <v>900</v>
      </c>
      <c r="S161">
        <v>18</v>
      </c>
      <c r="T161">
        <v>144</v>
      </c>
      <c r="U161">
        <v>24</v>
      </c>
      <c r="V161">
        <v>888</v>
      </c>
      <c r="W161">
        <v>2022</v>
      </c>
      <c r="X161">
        <v>4572</v>
      </c>
      <c r="Y161">
        <v>4446</v>
      </c>
      <c r="Z161">
        <v>4116</v>
      </c>
      <c r="AA161">
        <v>1104</v>
      </c>
      <c r="AB161">
        <v>1656</v>
      </c>
      <c r="AC161">
        <v>1776</v>
      </c>
      <c r="AD161">
        <v>516</v>
      </c>
      <c r="AE161">
        <v>60</v>
      </c>
      <c r="AF161">
        <v>168</v>
      </c>
      <c r="AG161">
        <v>6</v>
      </c>
      <c r="AH161">
        <v>1806</v>
      </c>
    </row>
    <row r="162" spans="1:34" x14ac:dyDescent="0.25">
      <c r="A162" t="s">
        <v>83</v>
      </c>
      <c r="B162" t="s">
        <v>68</v>
      </c>
      <c r="C162" t="s">
        <v>285</v>
      </c>
      <c r="D162" t="s">
        <v>6</v>
      </c>
      <c r="E162" t="s">
        <v>55</v>
      </c>
      <c r="F162" t="s">
        <v>88</v>
      </c>
      <c r="G162" t="s">
        <v>283</v>
      </c>
      <c r="H162">
        <v>320</v>
      </c>
      <c r="I162">
        <v>240</v>
      </c>
      <c r="J162">
        <v>10160</v>
      </c>
      <c r="K162">
        <v>1520</v>
      </c>
      <c r="L162">
        <v>17680</v>
      </c>
      <c r="M162">
        <v>9360</v>
      </c>
      <c r="N162">
        <v>9360</v>
      </c>
      <c r="O162">
        <v>5440</v>
      </c>
      <c r="P162">
        <v>7280</v>
      </c>
      <c r="Q162">
        <v>2400</v>
      </c>
      <c r="R162">
        <v>2080</v>
      </c>
      <c r="S162">
        <v>320</v>
      </c>
      <c r="T162">
        <v>240</v>
      </c>
      <c r="U162">
        <v>2480</v>
      </c>
      <c r="V162">
        <v>2320</v>
      </c>
      <c r="W162">
        <v>12480</v>
      </c>
      <c r="X162">
        <v>10240</v>
      </c>
      <c r="Y162">
        <v>8240</v>
      </c>
      <c r="Z162">
        <v>8000</v>
      </c>
      <c r="AA162">
        <v>6000</v>
      </c>
      <c r="AB162">
        <v>2560</v>
      </c>
      <c r="AC162">
        <v>2480</v>
      </c>
      <c r="AD162">
        <v>1760</v>
      </c>
      <c r="AE162">
        <v>400</v>
      </c>
      <c r="AF162">
        <v>560</v>
      </c>
      <c r="AG162">
        <v>80</v>
      </c>
      <c r="AH162">
        <v>4160</v>
      </c>
    </row>
    <row r="163" spans="1:34" x14ac:dyDescent="0.25">
      <c r="A163" t="s">
        <v>83</v>
      </c>
      <c r="B163" t="s">
        <v>68</v>
      </c>
      <c r="C163" t="s">
        <v>285</v>
      </c>
      <c r="D163" t="s">
        <v>6</v>
      </c>
      <c r="E163" t="s">
        <v>55</v>
      </c>
      <c r="F163" t="s">
        <v>89</v>
      </c>
      <c r="G163" t="s">
        <v>283</v>
      </c>
      <c r="H163">
        <v>0</v>
      </c>
      <c r="I163">
        <v>0</v>
      </c>
      <c r="J163">
        <v>12540</v>
      </c>
      <c r="K163">
        <v>4980</v>
      </c>
      <c r="L163">
        <v>6740</v>
      </c>
      <c r="M163">
        <v>5060</v>
      </c>
      <c r="N163">
        <v>3440</v>
      </c>
      <c r="O163">
        <v>520</v>
      </c>
      <c r="P163">
        <v>2560</v>
      </c>
      <c r="Q163">
        <v>1000</v>
      </c>
      <c r="R163">
        <v>1460</v>
      </c>
      <c r="S163">
        <v>380</v>
      </c>
      <c r="T163">
        <v>600</v>
      </c>
      <c r="U163">
        <v>240</v>
      </c>
      <c r="V163">
        <v>4680</v>
      </c>
      <c r="W163">
        <v>14300</v>
      </c>
      <c r="X163">
        <v>3660</v>
      </c>
      <c r="Y163">
        <v>5500</v>
      </c>
      <c r="Z163">
        <v>12720</v>
      </c>
      <c r="AA163">
        <v>4660</v>
      </c>
      <c r="AB163">
        <v>4900</v>
      </c>
      <c r="AC163">
        <v>4200</v>
      </c>
      <c r="AD163">
        <v>1440</v>
      </c>
      <c r="AE163">
        <v>0</v>
      </c>
      <c r="AF163">
        <v>60</v>
      </c>
      <c r="AG163">
        <v>0</v>
      </c>
      <c r="AH163">
        <v>4980</v>
      </c>
    </row>
    <row r="164" spans="1:34" x14ac:dyDescent="0.25">
      <c r="A164" t="s">
        <v>83</v>
      </c>
      <c r="B164" t="s">
        <v>68</v>
      </c>
      <c r="C164" t="s">
        <v>285</v>
      </c>
      <c r="D164" t="s">
        <v>6</v>
      </c>
      <c r="E164" t="s">
        <v>55</v>
      </c>
      <c r="F164" t="s">
        <v>90</v>
      </c>
      <c r="G164" t="s">
        <v>283</v>
      </c>
      <c r="H164">
        <v>11</v>
      </c>
      <c r="I164">
        <v>1</v>
      </c>
      <c r="J164">
        <v>34</v>
      </c>
      <c r="K164">
        <v>10</v>
      </c>
      <c r="L164">
        <v>71</v>
      </c>
      <c r="M164">
        <v>292</v>
      </c>
      <c r="N164">
        <v>89</v>
      </c>
      <c r="O164">
        <v>5</v>
      </c>
      <c r="P164">
        <v>30</v>
      </c>
      <c r="Q164">
        <v>6</v>
      </c>
      <c r="R164">
        <v>10</v>
      </c>
      <c r="S164">
        <v>0</v>
      </c>
      <c r="T164">
        <v>5</v>
      </c>
      <c r="U164">
        <v>0</v>
      </c>
      <c r="V164">
        <v>17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5">
      <c r="A165" t="s">
        <v>91</v>
      </c>
      <c r="B165" t="s">
        <v>68</v>
      </c>
      <c r="C165" t="s">
        <v>285</v>
      </c>
      <c r="D165" t="s">
        <v>6</v>
      </c>
      <c r="E165" t="s">
        <v>53</v>
      </c>
      <c r="F165" t="s">
        <v>92</v>
      </c>
      <c r="G165" t="s">
        <v>283</v>
      </c>
      <c r="H165">
        <v>0</v>
      </c>
      <c r="I165">
        <v>24</v>
      </c>
      <c r="J165">
        <v>300</v>
      </c>
      <c r="K165">
        <v>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25">
      <c r="A166" t="s">
        <v>91</v>
      </c>
      <c r="B166" t="s">
        <v>68</v>
      </c>
      <c r="C166" t="s">
        <v>285</v>
      </c>
      <c r="D166" t="s">
        <v>6</v>
      </c>
      <c r="E166" t="s">
        <v>53</v>
      </c>
      <c r="F166" t="s">
        <v>94</v>
      </c>
      <c r="G166" t="s">
        <v>283</v>
      </c>
      <c r="H166">
        <v>0</v>
      </c>
      <c r="I166">
        <v>0</v>
      </c>
      <c r="J166">
        <v>5364</v>
      </c>
      <c r="K166">
        <v>300</v>
      </c>
      <c r="L166">
        <v>8052</v>
      </c>
      <c r="M166">
        <v>2712</v>
      </c>
      <c r="N166">
        <v>5472</v>
      </c>
      <c r="O166">
        <v>5388</v>
      </c>
      <c r="P166">
        <v>2232</v>
      </c>
      <c r="Q166">
        <v>936</v>
      </c>
      <c r="R166">
        <v>888</v>
      </c>
      <c r="S166">
        <v>48</v>
      </c>
      <c r="T166">
        <v>48</v>
      </c>
      <c r="U166">
        <v>0</v>
      </c>
      <c r="V166">
        <v>408</v>
      </c>
      <c r="W166">
        <v>5064</v>
      </c>
      <c r="X166">
        <v>6624</v>
      </c>
      <c r="Y166">
        <v>8448</v>
      </c>
      <c r="Z166">
        <v>14940</v>
      </c>
      <c r="AA166">
        <v>13356</v>
      </c>
      <c r="AB166">
        <v>3960</v>
      </c>
      <c r="AC166">
        <v>13320</v>
      </c>
      <c r="AD166">
        <v>2988</v>
      </c>
      <c r="AE166">
        <v>876</v>
      </c>
      <c r="AF166">
        <v>612</v>
      </c>
      <c r="AG166">
        <v>84</v>
      </c>
      <c r="AH166">
        <v>4764</v>
      </c>
    </row>
    <row r="167" spans="1:34" x14ac:dyDescent="0.25">
      <c r="A167" t="s">
        <v>91</v>
      </c>
      <c r="B167" t="s">
        <v>68</v>
      </c>
      <c r="C167" t="s">
        <v>285</v>
      </c>
      <c r="D167" t="s">
        <v>6</v>
      </c>
      <c r="E167" t="s">
        <v>54</v>
      </c>
      <c r="F167" t="s">
        <v>95</v>
      </c>
      <c r="G167" t="s">
        <v>283</v>
      </c>
      <c r="H167">
        <v>12</v>
      </c>
      <c r="I167">
        <v>0</v>
      </c>
      <c r="J167">
        <v>2976</v>
      </c>
      <c r="K167">
        <v>2280</v>
      </c>
      <c r="L167">
        <v>3276</v>
      </c>
      <c r="M167">
        <v>3180</v>
      </c>
      <c r="N167">
        <v>2244</v>
      </c>
      <c r="O167">
        <v>3192</v>
      </c>
      <c r="P167">
        <v>1080</v>
      </c>
      <c r="Q167">
        <v>1260</v>
      </c>
      <c r="R167">
        <v>1176</v>
      </c>
      <c r="S167">
        <v>240</v>
      </c>
      <c r="T167">
        <v>48</v>
      </c>
      <c r="U167">
        <v>0</v>
      </c>
      <c r="V167">
        <v>1224</v>
      </c>
      <c r="W167">
        <v>2580</v>
      </c>
      <c r="X167">
        <v>5256</v>
      </c>
      <c r="Y167">
        <v>5508</v>
      </c>
      <c r="Z167">
        <v>11604</v>
      </c>
      <c r="AA167">
        <v>6756</v>
      </c>
      <c r="AB167">
        <v>12216</v>
      </c>
      <c r="AC167">
        <v>12564</v>
      </c>
      <c r="AD167">
        <v>372</v>
      </c>
      <c r="AE167">
        <v>3780</v>
      </c>
      <c r="AF167">
        <v>2232</v>
      </c>
      <c r="AG167">
        <v>0</v>
      </c>
      <c r="AH167">
        <v>2784</v>
      </c>
    </row>
    <row r="168" spans="1:34" x14ac:dyDescent="0.25">
      <c r="A168" t="s">
        <v>91</v>
      </c>
      <c r="B168" t="s">
        <v>68</v>
      </c>
      <c r="C168" t="s">
        <v>285</v>
      </c>
      <c r="D168" t="s">
        <v>6</v>
      </c>
      <c r="E168" t="s">
        <v>54</v>
      </c>
      <c r="F168" t="s">
        <v>96</v>
      </c>
      <c r="G168" t="s">
        <v>283</v>
      </c>
      <c r="H168">
        <v>12</v>
      </c>
      <c r="I168">
        <v>12</v>
      </c>
      <c r="J168">
        <v>1104</v>
      </c>
      <c r="K168">
        <v>1428</v>
      </c>
      <c r="L168">
        <v>996</v>
      </c>
      <c r="M168">
        <v>1116</v>
      </c>
      <c r="N168">
        <v>276</v>
      </c>
      <c r="O168">
        <v>1092</v>
      </c>
      <c r="P168">
        <v>312</v>
      </c>
      <c r="Q168">
        <v>228</v>
      </c>
      <c r="R168">
        <v>396</v>
      </c>
      <c r="S168">
        <v>36</v>
      </c>
      <c r="T168">
        <v>24</v>
      </c>
      <c r="U168">
        <v>0</v>
      </c>
      <c r="V168">
        <v>720</v>
      </c>
      <c r="W168">
        <v>1836</v>
      </c>
      <c r="X168">
        <v>2448</v>
      </c>
      <c r="Y168">
        <v>2436</v>
      </c>
      <c r="Z168">
        <v>2796</v>
      </c>
      <c r="AA168">
        <v>5148</v>
      </c>
      <c r="AB168">
        <v>216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1812</v>
      </c>
    </row>
    <row r="169" spans="1:34" x14ac:dyDescent="0.25">
      <c r="A169" t="s">
        <v>91</v>
      </c>
      <c r="B169" t="s">
        <v>68</v>
      </c>
      <c r="C169" t="s">
        <v>285</v>
      </c>
      <c r="D169" t="s">
        <v>6</v>
      </c>
      <c r="E169" t="s">
        <v>54</v>
      </c>
      <c r="F169" t="s">
        <v>97</v>
      </c>
      <c r="G169" t="s">
        <v>283</v>
      </c>
      <c r="H169">
        <v>0</v>
      </c>
      <c r="I169">
        <v>504</v>
      </c>
      <c r="J169">
        <v>10704</v>
      </c>
      <c r="K169">
        <v>1512</v>
      </c>
      <c r="L169">
        <v>1560</v>
      </c>
      <c r="M169">
        <v>4368</v>
      </c>
      <c r="N169">
        <v>6324</v>
      </c>
      <c r="O169">
        <v>3204</v>
      </c>
      <c r="P169">
        <v>4512</v>
      </c>
      <c r="Q169">
        <v>1392</v>
      </c>
      <c r="R169">
        <v>1188</v>
      </c>
      <c r="S169">
        <v>384</v>
      </c>
      <c r="T169">
        <v>36</v>
      </c>
      <c r="U169">
        <v>0</v>
      </c>
      <c r="V169">
        <v>5652</v>
      </c>
      <c r="W169">
        <v>1056</v>
      </c>
      <c r="X169">
        <v>7524</v>
      </c>
      <c r="Y169">
        <v>9576</v>
      </c>
      <c r="Z169">
        <v>23424</v>
      </c>
      <c r="AA169">
        <v>7308</v>
      </c>
      <c r="AB169">
        <v>24360</v>
      </c>
      <c r="AC169">
        <v>17688</v>
      </c>
      <c r="AD169">
        <v>6324</v>
      </c>
      <c r="AE169">
        <v>1968</v>
      </c>
      <c r="AF169">
        <v>12</v>
      </c>
      <c r="AG169">
        <v>0</v>
      </c>
      <c r="AH169">
        <v>6240</v>
      </c>
    </row>
    <row r="170" spans="1:34" x14ac:dyDescent="0.25">
      <c r="A170" t="s">
        <v>91</v>
      </c>
      <c r="B170" t="s">
        <v>68</v>
      </c>
      <c r="C170" t="s">
        <v>285</v>
      </c>
      <c r="D170" t="s">
        <v>6</v>
      </c>
      <c r="E170" t="s">
        <v>54</v>
      </c>
      <c r="F170" t="s">
        <v>98</v>
      </c>
      <c r="G170" t="s">
        <v>283</v>
      </c>
      <c r="H170">
        <v>0</v>
      </c>
      <c r="I170">
        <v>24</v>
      </c>
      <c r="J170">
        <v>696</v>
      </c>
      <c r="K170">
        <v>108</v>
      </c>
      <c r="L170">
        <v>1416</v>
      </c>
      <c r="M170">
        <v>2100</v>
      </c>
      <c r="N170">
        <v>2232</v>
      </c>
      <c r="O170">
        <v>1164</v>
      </c>
      <c r="P170">
        <v>564</v>
      </c>
      <c r="Q170">
        <v>228</v>
      </c>
      <c r="R170">
        <v>408</v>
      </c>
      <c r="S170">
        <v>0</v>
      </c>
      <c r="T170">
        <v>60</v>
      </c>
      <c r="U170">
        <v>0</v>
      </c>
      <c r="V170">
        <v>240</v>
      </c>
      <c r="W170">
        <v>2100</v>
      </c>
      <c r="X170">
        <v>2724</v>
      </c>
      <c r="Y170">
        <v>3912</v>
      </c>
      <c r="Z170">
        <v>10716</v>
      </c>
      <c r="AA170">
        <v>3408</v>
      </c>
      <c r="AB170">
        <v>1296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2592</v>
      </c>
    </row>
    <row r="171" spans="1:34" x14ac:dyDescent="0.25">
      <c r="A171" t="s">
        <v>91</v>
      </c>
      <c r="B171" t="s">
        <v>68</v>
      </c>
      <c r="C171" t="s">
        <v>285</v>
      </c>
      <c r="D171" t="s">
        <v>6</v>
      </c>
      <c r="E171" t="s">
        <v>54</v>
      </c>
      <c r="F171" t="s">
        <v>99</v>
      </c>
      <c r="G171" t="s">
        <v>283</v>
      </c>
      <c r="H171">
        <v>0</v>
      </c>
      <c r="I171">
        <v>24</v>
      </c>
      <c r="J171">
        <v>60</v>
      </c>
      <c r="K171">
        <v>0</v>
      </c>
      <c r="L171">
        <v>240</v>
      </c>
      <c r="M171">
        <v>276</v>
      </c>
      <c r="N171">
        <v>312</v>
      </c>
      <c r="O171">
        <v>108</v>
      </c>
      <c r="P171">
        <v>84</v>
      </c>
      <c r="Q171">
        <v>0</v>
      </c>
      <c r="R171">
        <v>12</v>
      </c>
      <c r="S171">
        <v>0</v>
      </c>
      <c r="T171">
        <v>48</v>
      </c>
      <c r="U171">
        <v>372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25">
      <c r="A172" t="s">
        <v>91</v>
      </c>
      <c r="B172" t="s">
        <v>68</v>
      </c>
      <c r="C172" t="s">
        <v>285</v>
      </c>
      <c r="D172" t="s">
        <v>6</v>
      </c>
      <c r="E172" t="s">
        <v>54</v>
      </c>
      <c r="F172" t="s">
        <v>100</v>
      </c>
      <c r="G172" t="s">
        <v>283</v>
      </c>
      <c r="H172">
        <v>0</v>
      </c>
      <c r="I172">
        <v>24</v>
      </c>
      <c r="J172">
        <v>24</v>
      </c>
      <c r="K172">
        <v>36</v>
      </c>
      <c r="L172">
        <v>132</v>
      </c>
      <c r="M172">
        <v>120</v>
      </c>
      <c r="N172">
        <v>120</v>
      </c>
      <c r="O172">
        <v>24</v>
      </c>
      <c r="P172">
        <v>12</v>
      </c>
      <c r="Q172">
        <v>24</v>
      </c>
      <c r="R172">
        <v>132</v>
      </c>
      <c r="S172">
        <v>12</v>
      </c>
      <c r="T172">
        <v>12</v>
      </c>
      <c r="U172">
        <v>0</v>
      </c>
      <c r="V172">
        <v>48</v>
      </c>
      <c r="W172">
        <v>0</v>
      </c>
      <c r="X172">
        <v>396</v>
      </c>
      <c r="Y172">
        <v>1368</v>
      </c>
      <c r="Z172">
        <v>1008</v>
      </c>
      <c r="AA172">
        <v>3348</v>
      </c>
      <c r="AB172">
        <v>336</v>
      </c>
      <c r="AC172">
        <v>0</v>
      </c>
      <c r="AD172">
        <v>924</v>
      </c>
      <c r="AE172">
        <v>0</v>
      </c>
      <c r="AF172">
        <v>0</v>
      </c>
      <c r="AG172">
        <v>0</v>
      </c>
      <c r="AH172">
        <v>720</v>
      </c>
    </row>
    <row r="173" spans="1:34" x14ac:dyDescent="0.25">
      <c r="A173" t="s">
        <v>101</v>
      </c>
      <c r="B173" t="s">
        <v>68</v>
      </c>
      <c r="C173" t="s">
        <v>285</v>
      </c>
      <c r="D173" t="s">
        <v>6</v>
      </c>
      <c r="E173" t="s">
        <v>54</v>
      </c>
      <c r="F173" t="s">
        <v>102</v>
      </c>
      <c r="G173" t="s">
        <v>283</v>
      </c>
      <c r="H173">
        <v>0</v>
      </c>
      <c r="I173">
        <v>0</v>
      </c>
      <c r="J173">
        <v>0</v>
      </c>
      <c r="K173">
        <v>0</v>
      </c>
      <c r="L173">
        <v>528</v>
      </c>
      <c r="M173">
        <v>1008</v>
      </c>
      <c r="N173">
        <v>732</v>
      </c>
      <c r="O173">
        <v>96</v>
      </c>
      <c r="P173">
        <v>384</v>
      </c>
      <c r="Q173">
        <v>156</v>
      </c>
      <c r="R173">
        <v>588</v>
      </c>
      <c r="S173">
        <v>60</v>
      </c>
      <c r="T173">
        <v>48</v>
      </c>
      <c r="U173">
        <v>600</v>
      </c>
      <c r="V173">
        <v>12</v>
      </c>
      <c r="W173">
        <v>552</v>
      </c>
      <c r="X173">
        <v>216</v>
      </c>
      <c r="Y173">
        <v>780</v>
      </c>
      <c r="Z173">
        <v>2496</v>
      </c>
      <c r="AA173">
        <v>2172</v>
      </c>
      <c r="AB173">
        <v>3456</v>
      </c>
      <c r="AC173">
        <v>2304</v>
      </c>
      <c r="AD173">
        <v>0</v>
      </c>
      <c r="AE173">
        <v>0</v>
      </c>
      <c r="AF173">
        <v>420</v>
      </c>
      <c r="AG173">
        <v>12</v>
      </c>
      <c r="AH173">
        <v>0</v>
      </c>
    </row>
    <row r="174" spans="1:34" x14ac:dyDescent="0.25">
      <c r="A174" t="s">
        <v>101</v>
      </c>
      <c r="B174" t="s">
        <v>68</v>
      </c>
      <c r="C174" t="s">
        <v>285</v>
      </c>
      <c r="D174" t="s">
        <v>6</v>
      </c>
      <c r="E174" t="s">
        <v>54</v>
      </c>
      <c r="F174" t="s">
        <v>104</v>
      </c>
      <c r="G174" t="s">
        <v>283</v>
      </c>
      <c r="H174">
        <v>0</v>
      </c>
      <c r="I174">
        <v>12</v>
      </c>
      <c r="J174">
        <v>0</v>
      </c>
      <c r="K174">
        <v>288</v>
      </c>
      <c r="L174">
        <v>36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25">
      <c r="A175" t="s">
        <v>101</v>
      </c>
      <c r="B175" t="s">
        <v>68</v>
      </c>
      <c r="C175" t="s">
        <v>285</v>
      </c>
      <c r="D175" t="s">
        <v>6</v>
      </c>
      <c r="E175" t="s">
        <v>54</v>
      </c>
      <c r="F175" t="s">
        <v>105</v>
      </c>
      <c r="G175" t="s">
        <v>283</v>
      </c>
      <c r="H175">
        <v>0</v>
      </c>
      <c r="I175">
        <v>0</v>
      </c>
      <c r="J175">
        <v>0</v>
      </c>
      <c r="K175">
        <v>0</v>
      </c>
      <c r="L175">
        <v>2832</v>
      </c>
      <c r="M175">
        <v>960</v>
      </c>
      <c r="N175">
        <v>1332</v>
      </c>
      <c r="O175">
        <v>1032</v>
      </c>
      <c r="P175">
        <v>312</v>
      </c>
      <c r="Q175">
        <v>0</v>
      </c>
      <c r="R175">
        <v>636</v>
      </c>
      <c r="S175">
        <v>60</v>
      </c>
      <c r="T175">
        <v>72</v>
      </c>
      <c r="U175">
        <v>0</v>
      </c>
      <c r="V175">
        <v>336</v>
      </c>
      <c r="W175">
        <v>984</v>
      </c>
      <c r="X175">
        <v>1488</v>
      </c>
      <c r="Y175">
        <v>2052</v>
      </c>
      <c r="Z175">
        <v>4464</v>
      </c>
      <c r="AA175">
        <v>1248</v>
      </c>
      <c r="AB175">
        <v>3792</v>
      </c>
      <c r="AC175">
        <v>13104</v>
      </c>
      <c r="AD175">
        <v>540</v>
      </c>
      <c r="AE175">
        <v>36</v>
      </c>
      <c r="AF175">
        <v>72</v>
      </c>
      <c r="AG175">
        <v>0</v>
      </c>
      <c r="AH175">
        <v>540</v>
      </c>
    </row>
    <row r="176" spans="1:34" x14ac:dyDescent="0.25">
      <c r="A176" t="s">
        <v>101</v>
      </c>
      <c r="B176" t="s">
        <v>68</v>
      </c>
      <c r="C176" t="s">
        <v>285</v>
      </c>
      <c r="D176" t="s">
        <v>6</v>
      </c>
      <c r="E176" t="s">
        <v>54</v>
      </c>
      <c r="F176" t="s">
        <v>106</v>
      </c>
      <c r="G176" t="s">
        <v>283</v>
      </c>
      <c r="H176">
        <v>0</v>
      </c>
      <c r="I176">
        <v>12</v>
      </c>
      <c r="J176">
        <v>1260</v>
      </c>
      <c r="K176">
        <v>540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25">
      <c r="A177" t="s">
        <v>101</v>
      </c>
      <c r="B177" t="s">
        <v>68</v>
      </c>
      <c r="C177" t="s">
        <v>285</v>
      </c>
      <c r="D177" t="s">
        <v>6</v>
      </c>
      <c r="E177" t="s">
        <v>54</v>
      </c>
      <c r="F177" t="s">
        <v>107</v>
      </c>
      <c r="G177" t="s">
        <v>283</v>
      </c>
      <c r="H177">
        <v>0</v>
      </c>
      <c r="I177">
        <v>12</v>
      </c>
      <c r="J177">
        <v>2544</v>
      </c>
      <c r="K177">
        <v>516</v>
      </c>
      <c r="L177">
        <v>3084</v>
      </c>
      <c r="M177">
        <v>1200</v>
      </c>
      <c r="N177">
        <v>624</v>
      </c>
      <c r="O177">
        <v>1296</v>
      </c>
      <c r="P177">
        <v>432</v>
      </c>
      <c r="Q177">
        <v>84</v>
      </c>
      <c r="R177">
        <v>132</v>
      </c>
      <c r="S177">
        <v>60</v>
      </c>
      <c r="T177">
        <v>36</v>
      </c>
      <c r="U177">
        <v>0</v>
      </c>
      <c r="V177">
        <v>876</v>
      </c>
      <c r="W177">
        <v>432</v>
      </c>
      <c r="X177">
        <v>3564</v>
      </c>
      <c r="Y177">
        <v>2304</v>
      </c>
      <c r="Z177">
        <v>4488</v>
      </c>
      <c r="AA177">
        <v>2016</v>
      </c>
      <c r="AB177">
        <v>6132</v>
      </c>
      <c r="AC177">
        <v>7500</v>
      </c>
      <c r="AD177">
        <v>2820</v>
      </c>
      <c r="AE177">
        <v>84</v>
      </c>
      <c r="AF177">
        <v>396</v>
      </c>
      <c r="AG177">
        <v>0</v>
      </c>
      <c r="AH177">
        <v>1380</v>
      </c>
    </row>
    <row r="178" spans="1:34" x14ac:dyDescent="0.25">
      <c r="A178" t="s">
        <v>101</v>
      </c>
      <c r="B178" t="s">
        <v>68</v>
      </c>
      <c r="C178" t="s">
        <v>285</v>
      </c>
      <c r="D178" t="s">
        <v>6</v>
      </c>
      <c r="E178" t="s">
        <v>54</v>
      </c>
      <c r="F178" t="s">
        <v>108</v>
      </c>
      <c r="G178" t="s">
        <v>283</v>
      </c>
      <c r="H178">
        <v>0</v>
      </c>
      <c r="I178">
        <v>0</v>
      </c>
      <c r="J178">
        <v>0</v>
      </c>
      <c r="K178">
        <v>0</v>
      </c>
      <c r="L178">
        <v>1164</v>
      </c>
      <c r="M178">
        <v>792</v>
      </c>
      <c r="N178">
        <v>480</v>
      </c>
      <c r="O178">
        <v>468</v>
      </c>
      <c r="P178">
        <v>312</v>
      </c>
      <c r="Q178">
        <v>144</v>
      </c>
      <c r="R178">
        <v>420</v>
      </c>
      <c r="S178">
        <v>48</v>
      </c>
      <c r="T178">
        <v>48</v>
      </c>
      <c r="U178">
        <v>0</v>
      </c>
      <c r="V178">
        <v>0</v>
      </c>
      <c r="W178">
        <v>1116</v>
      </c>
      <c r="X178">
        <v>408</v>
      </c>
      <c r="Y178">
        <v>1236</v>
      </c>
      <c r="Z178">
        <v>2964</v>
      </c>
      <c r="AA178">
        <v>1080</v>
      </c>
      <c r="AB178">
        <v>2460</v>
      </c>
      <c r="AC178">
        <v>3264</v>
      </c>
      <c r="AD178">
        <v>0</v>
      </c>
      <c r="AE178">
        <v>0</v>
      </c>
      <c r="AF178">
        <v>756</v>
      </c>
      <c r="AG178">
        <v>372</v>
      </c>
      <c r="AH178">
        <v>792</v>
      </c>
    </row>
    <row r="179" spans="1:34" x14ac:dyDescent="0.25">
      <c r="A179" t="s">
        <v>101</v>
      </c>
      <c r="B179" t="s">
        <v>68</v>
      </c>
      <c r="C179" t="s">
        <v>285</v>
      </c>
      <c r="D179" t="s">
        <v>6</v>
      </c>
      <c r="E179" t="s">
        <v>54</v>
      </c>
      <c r="F179" t="s">
        <v>109</v>
      </c>
      <c r="G179" t="s">
        <v>283</v>
      </c>
      <c r="H179">
        <v>12</v>
      </c>
      <c r="I179">
        <v>12</v>
      </c>
      <c r="J179">
        <v>612</v>
      </c>
      <c r="K179">
        <v>696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25">
      <c r="A180" t="s">
        <v>101</v>
      </c>
      <c r="B180" t="s">
        <v>68</v>
      </c>
      <c r="C180" t="s">
        <v>285</v>
      </c>
      <c r="D180" t="s">
        <v>6</v>
      </c>
      <c r="E180" t="s">
        <v>54</v>
      </c>
      <c r="F180" t="s">
        <v>110</v>
      </c>
      <c r="G180" t="s">
        <v>283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828</v>
      </c>
      <c r="N180">
        <v>324</v>
      </c>
      <c r="O180">
        <v>0</v>
      </c>
      <c r="P180">
        <v>12</v>
      </c>
      <c r="Q180">
        <v>0</v>
      </c>
      <c r="R180">
        <v>0</v>
      </c>
      <c r="S180">
        <v>0</v>
      </c>
      <c r="T180">
        <v>36</v>
      </c>
      <c r="U180">
        <v>0</v>
      </c>
      <c r="V180">
        <v>1380</v>
      </c>
      <c r="W180">
        <v>804</v>
      </c>
      <c r="X180">
        <v>672</v>
      </c>
      <c r="Y180">
        <v>252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5">
      <c r="A181" t="s">
        <v>111</v>
      </c>
      <c r="B181" t="s">
        <v>68</v>
      </c>
      <c r="C181" t="s">
        <v>285</v>
      </c>
      <c r="D181" t="s">
        <v>6</v>
      </c>
      <c r="E181" t="s">
        <v>54</v>
      </c>
      <c r="F181" t="s">
        <v>112</v>
      </c>
      <c r="G181" t="s">
        <v>283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24</v>
      </c>
      <c r="Y181">
        <v>36</v>
      </c>
      <c r="Z181">
        <v>0</v>
      </c>
      <c r="AA181">
        <v>0</v>
      </c>
      <c r="AB181">
        <v>0</v>
      </c>
      <c r="AC181">
        <v>564</v>
      </c>
      <c r="AD181">
        <v>192</v>
      </c>
      <c r="AE181">
        <v>0</v>
      </c>
      <c r="AF181">
        <v>0</v>
      </c>
      <c r="AG181">
        <v>0</v>
      </c>
      <c r="AH181">
        <v>540</v>
      </c>
    </row>
    <row r="182" spans="1:34" x14ac:dyDescent="0.25">
      <c r="A182" t="s">
        <v>114</v>
      </c>
      <c r="B182" t="s">
        <v>68</v>
      </c>
      <c r="C182" t="s">
        <v>285</v>
      </c>
      <c r="D182" t="s">
        <v>6</v>
      </c>
      <c r="E182" t="s">
        <v>54</v>
      </c>
      <c r="F182" t="s">
        <v>115</v>
      </c>
      <c r="G182" t="s">
        <v>283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24</v>
      </c>
      <c r="Y182">
        <v>12</v>
      </c>
      <c r="Z182">
        <v>84</v>
      </c>
      <c r="AA182">
        <v>0</v>
      </c>
      <c r="AB182">
        <v>12</v>
      </c>
      <c r="AC182">
        <v>672</v>
      </c>
      <c r="AD182">
        <v>0</v>
      </c>
      <c r="AE182">
        <v>0</v>
      </c>
      <c r="AF182">
        <v>0</v>
      </c>
      <c r="AG182">
        <v>0</v>
      </c>
      <c r="AH182">
        <v>576</v>
      </c>
    </row>
    <row r="183" spans="1:34" x14ac:dyDescent="0.25">
      <c r="A183" t="s">
        <v>114</v>
      </c>
      <c r="B183" t="s">
        <v>68</v>
      </c>
      <c r="C183" t="s">
        <v>285</v>
      </c>
      <c r="D183" t="s">
        <v>6</v>
      </c>
      <c r="E183" t="s">
        <v>54</v>
      </c>
      <c r="F183" t="s">
        <v>117</v>
      </c>
      <c r="G183" t="s">
        <v>283</v>
      </c>
      <c r="H183">
        <v>0</v>
      </c>
      <c r="I183">
        <v>24</v>
      </c>
      <c r="J183">
        <v>756</v>
      </c>
      <c r="K183">
        <v>492</v>
      </c>
      <c r="L183">
        <v>816</v>
      </c>
      <c r="M183">
        <v>1704</v>
      </c>
      <c r="N183">
        <v>372</v>
      </c>
      <c r="O183">
        <v>912</v>
      </c>
      <c r="P183">
        <v>144</v>
      </c>
      <c r="Q183">
        <v>24</v>
      </c>
      <c r="R183">
        <v>504</v>
      </c>
      <c r="S183">
        <v>24</v>
      </c>
      <c r="T183">
        <v>24</v>
      </c>
      <c r="U183">
        <v>0</v>
      </c>
      <c r="V183">
        <v>132</v>
      </c>
      <c r="W183">
        <v>672</v>
      </c>
      <c r="X183">
        <v>0</v>
      </c>
      <c r="Y183">
        <v>0</v>
      </c>
      <c r="Z183">
        <v>0</v>
      </c>
      <c r="AA183">
        <v>120</v>
      </c>
      <c r="AB183">
        <v>0</v>
      </c>
      <c r="AC183">
        <v>3072</v>
      </c>
      <c r="AD183">
        <v>0</v>
      </c>
      <c r="AE183">
        <v>0</v>
      </c>
      <c r="AF183">
        <v>0</v>
      </c>
      <c r="AG183">
        <v>0</v>
      </c>
      <c r="AH183">
        <v>516</v>
      </c>
    </row>
    <row r="184" spans="1:34" x14ac:dyDescent="0.25">
      <c r="A184" t="s">
        <v>114</v>
      </c>
      <c r="B184" t="s">
        <v>68</v>
      </c>
      <c r="C184" t="s">
        <v>285</v>
      </c>
      <c r="D184" t="s">
        <v>6</v>
      </c>
      <c r="E184" t="s">
        <v>54</v>
      </c>
      <c r="F184" t="s">
        <v>118</v>
      </c>
      <c r="G184" t="s">
        <v>283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1536</v>
      </c>
      <c r="X184">
        <v>1584</v>
      </c>
      <c r="Y184">
        <v>1668</v>
      </c>
      <c r="Z184">
        <v>1200</v>
      </c>
      <c r="AA184">
        <v>1608</v>
      </c>
      <c r="AB184">
        <v>2436</v>
      </c>
      <c r="AC184">
        <v>0</v>
      </c>
      <c r="AD184">
        <v>1548</v>
      </c>
      <c r="AE184">
        <v>144</v>
      </c>
      <c r="AF184">
        <v>84</v>
      </c>
      <c r="AG184">
        <v>0</v>
      </c>
      <c r="AH184">
        <v>912</v>
      </c>
    </row>
    <row r="185" spans="1:34" x14ac:dyDescent="0.25">
      <c r="A185" t="s">
        <v>119</v>
      </c>
      <c r="B185" t="s">
        <v>68</v>
      </c>
      <c r="C185" t="s">
        <v>285</v>
      </c>
      <c r="D185" t="s">
        <v>6</v>
      </c>
      <c r="E185" t="s">
        <v>60</v>
      </c>
      <c r="F185" t="s">
        <v>120</v>
      </c>
      <c r="G185" t="s">
        <v>283</v>
      </c>
      <c r="H185">
        <v>84</v>
      </c>
      <c r="I185">
        <v>20592</v>
      </c>
      <c r="J185">
        <v>22080</v>
      </c>
      <c r="K185">
        <v>4920</v>
      </c>
      <c r="L185">
        <v>36348</v>
      </c>
      <c r="M185">
        <v>23904</v>
      </c>
      <c r="N185">
        <v>6348</v>
      </c>
      <c r="O185">
        <v>8124</v>
      </c>
      <c r="P185">
        <v>7092</v>
      </c>
      <c r="Q185">
        <v>4080</v>
      </c>
      <c r="R185">
        <v>3552</v>
      </c>
      <c r="S185">
        <v>420</v>
      </c>
      <c r="T185">
        <v>1320</v>
      </c>
      <c r="U185">
        <v>60</v>
      </c>
      <c r="V185">
        <v>1584</v>
      </c>
      <c r="W185">
        <v>18360</v>
      </c>
      <c r="X185">
        <v>18768</v>
      </c>
      <c r="Y185">
        <v>15948</v>
      </c>
      <c r="Z185">
        <v>14124</v>
      </c>
      <c r="AA185">
        <v>11388</v>
      </c>
      <c r="AB185">
        <v>13104</v>
      </c>
      <c r="AC185">
        <v>7188</v>
      </c>
      <c r="AD185">
        <v>4788</v>
      </c>
      <c r="AE185">
        <v>1092</v>
      </c>
      <c r="AF185">
        <v>228</v>
      </c>
      <c r="AG185">
        <v>540</v>
      </c>
      <c r="AH185">
        <v>10656</v>
      </c>
    </row>
    <row r="186" spans="1:34" x14ac:dyDescent="0.25">
      <c r="A186" t="s">
        <v>119</v>
      </c>
      <c r="B186" t="s">
        <v>68</v>
      </c>
      <c r="C186" t="s">
        <v>285</v>
      </c>
      <c r="D186" t="s">
        <v>6</v>
      </c>
      <c r="E186" t="s">
        <v>53</v>
      </c>
      <c r="F186" t="s">
        <v>121</v>
      </c>
      <c r="G186" t="s">
        <v>283</v>
      </c>
      <c r="H186">
        <v>0</v>
      </c>
      <c r="I186">
        <v>0</v>
      </c>
      <c r="J186">
        <v>2118</v>
      </c>
      <c r="K186">
        <v>12054</v>
      </c>
      <c r="L186">
        <v>7050</v>
      </c>
      <c r="M186">
        <v>8214</v>
      </c>
      <c r="N186">
        <v>1698</v>
      </c>
      <c r="O186">
        <v>1782</v>
      </c>
      <c r="P186">
        <v>1638</v>
      </c>
      <c r="Q186">
        <v>822</v>
      </c>
      <c r="R186">
        <v>624</v>
      </c>
      <c r="S186">
        <v>1812</v>
      </c>
      <c r="T186">
        <v>66</v>
      </c>
      <c r="U186">
        <v>0</v>
      </c>
      <c r="V186">
        <v>1374</v>
      </c>
      <c r="W186">
        <v>7956</v>
      </c>
      <c r="X186">
        <v>8448</v>
      </c>
      <c r="Y186">
        <v>4752</v>
      </c>
      <c r="Z186">
        <v>5466</v>
      </c>
      <c r="AA186">
        <v>2004</v>
      </c>
      <c r="AB186">
        <v>4914</v>
      </c>
      <c r="AC186">
        <v>1092</v>
      </c>
      <c r="AD186">
        <v>498</v>
      </c>
      <c r="AE186">
        <v>0</v>
      </c>
      <c r="AF186">
        <v>540</v>
      </c>
      <c r="AG186">
        <v>324</v>
      </c>
      <c r="AH186">
        <v>2562</v>
      </c>
    </row>
    <row r="187" spans="1:34" x14ac:dyDescent="0.25">
      <c r="A187" t="s">
        <v>119</v>
      </c>
      <c r="B187" t="s">
        <v>68</v>
      </c>
      <c r="C187" t="s">
        <v>285</v>
      </c>
      <c r="D187" t="s">
        <v>6</v>
      </c>
      <c r="E187" t="s">
        <v>53</v>
      </c>
      <c r="F187" t="s">
        <v>122</v>
      </c>
      <c r="G187" t="s">
        <v>283</v>
      </c>
      <c r="H187">
        <v>84</v>
      </c>
      <c r="I187">
        <v>1416</v>
      </c>
      <c r="J187">
        <v>24912</v>
      </c>
      <c r="K187">
        <v>11400</v>
      </c>
      <c r="L187">
        <v>10068</v>
      </c>
      <c r="M187">
        <v>4092</v>
      </c>
      <c r="N187">
        <v>3936</v>
      </c>
      <c r="O187">
        <v>4968</v>
      </c>
      <c r="P187">
        <v>5472</v>
      </c>
      <c r="Q187">
        <v>4884</v>
      </c>
      <c r="R187">
        <v>2880</v>
      </c>
      <c r="S187">
        <v>972</v>
      </c>
      <c r="T187">
        <v>996</v>
      </c>
      <c r="U187">
        <v>240</v>
      </c>
      <c r="V187">
        <v>11352</v>
      </c>
      <c r="W187">
        <v>3372</v>
      </c>
      <c r="X187">
        <v>11268</v>
      </c>
      <c r="Y187">
        <v>20100</v>
      </c>
      <c r="Z187">
        <v>7368</v>
      </c>
      <c r="AA187">
        <v>8664</v>
      </c>
      <c r="AB187">
        <v>13464</v>
      </c>
      <c r="AC187">
        <v>8472</v>
      </c>
      <c r="AD187">
        <v>2400</v>
      </c>
      <c r="AE187">
        <v>552</v>
      </c>
      <c r="AF187">
        <v>720</v>
      </c>
      <c r="AG187">
        <v>12</v>
      </c>
      <c r="AH187">
        <v>8580</v>
      </c>
    </row>
    <row r="188" spans="1:34" x14ac:dyDescent="0.25">
      <c r="A188" t="s">
        <v>119</v>
      </c>
      <c r="B188" t="s">
        <v>68</v>
      </c>
      <c r="C188" t="s">
        <v>285</v>
      </c>
      <c r="D188" t="s">
        <v>6</v>
      </c>
      <c r="E188" t="s">
        <v>55</v>
      </c>
      <c r="F188" t="s">
        <v>123</v>
      </c>
      <c r="G188" t="s">
        <v>283</v>
      </c>
      <c r="H188">
        <v>36</v>
      </c>
      <c r="I188">
        <v>84</v>
      </c>
      <c r="J188">
        <v>636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25">
      <c r="A189" t="s">
        <v>119</v>
      </c>
      <c r="B189" t="s">
        <v>68</v>
      </c>
      <c r="C189" t="s">
        <v>285</v>
      </c>
      <c r="D189" t="s">
        <v>6</v>
      </c>
      <c r="E189" t="s">
        <v>55</v>
      </c>
      <c r="F189" t="s">
        <v>124</v>
      </c>
      <c r="G189" t="s">
        <v>283</v>
      </c>
      <c r="H189">
        <v>0</v>
      </c>
      <c r="I189">
        <v>0</v>
      </c>
      <c r="J189">
        <v>4488</v>
      </c>
      <c r="K189">
        <v>5172</v>
      </c>
      <c r="L189">
        <v>2688</v>
      </c>
      <c r="M189">
        <v>1092</v>
      </c>
      <c r="N189">
        <v>1344</v>
      </c>
      <c r="O189">
        <v>1824</v>
      </c>
      <c r="P189">
        <v>2340</v>
      </c>
      <c r="Q189">
        <v>1428</v>
      </c>
      <c r="R189">
        <v>1020</v>
      </c>
      <c r="S189">
        <v>324</v>
      </c>
      <c r="T189">
        <v>600</v>
      </c>
      <c r="U189">
        <v>72</v>
      </c>
      <c r="V189">
        <v>2352</v>
      </c>
      <c r="W189">
        <v>3816</v>
      </c>
      <c r="X189">
        <v>720</v>
      </c>
      <c r="Y189">
        <v>4032</v>
      </c>
      <c r="Z189">
        <v>6684</v>
      </c>
      <c r="AA189">
        <v>2472</v>
      </c>
      <c r="AB189">
        <v>3960</v>
      </c>
      <c r="AC189">
        <v>3288</v>
      </c>
      <c r="AD189">
        <v>396</v>
      </c>
      <c r="AE189">
        <v>324</v>
      </c>
      <c r="AF189">
        <v>1284</v>
      </c>
      <c r="AG189">
        <v>96</v>
      </c>
      <c r="AH189">
        <v>2520</v>
      </c>
    </row>
    <row r="190" spans="1:34" x14ac:dyDescent="0.25">
      <c r="A190" t="s">
        <v>119</v>
      </c>
      <c r="B190" t="s">
        <v>68</v>
      </c>
      <c r="C190" t="s">
        <v>285</v>
      </c>
      <c r="D190" t="s">
        <v>6</v>
      </c>
      <c r="E190" t="s">
        <v>55</v>
      </c>
      <c r="F190" t="s">
        <v>125</v>
      </c>
      <c r="G190" t="s">
        <v>283</v>
      </c>
      <c r="H190">
        <v>96</v>
      </c>
      <c r="I190">
        <v>180</v>
      </c>
      <c r="J190">
        <v>33288</v>
      </c>
      <c r="K190">
        <v>6396</v>
      </c>
      <c r="L190">
        <v>19044</v>
      </c>
      <c r="M190">
        <v>7512</v>
      </c>
      <c r="N190">
        <v>1608</v>
      </c>
      <c r="O190">
        <v>6072</v>
      </c>
      <c r="P190">
        <v>2760</v>
      </c>
      <c r="Q190">
        <v>4980</v>
      </c>
      <c r="R190">
        <v>2388</v>
      </c>
      <c r="S190">
        <v>0</v>
      </c>
      <c r="T190">
        <v>276</v>
      </c>
      <c r="U190">
        <v>1680</v>
      </c>
      <c r="V190">
        <v>12420</v>
      </c>
      <c r="W190">
        <v>9684</v>
      </c>
      <c r="X190">
        <v>6996</v>
      </c>
      <c r="Y190">
        <v>15408</v>
      </c>
      <c r="Z190">
        <v>12492</v>
      </c>
      <c r="AA190">
        <v>10212</v>
      </c>
      <c r="AB190">
        <v>11868</v>
      </c>
      <c r="AC190">
        <v>7776</v>
      </c>
      <c r="AD190">
        <v>2640</v>
      </c>
      <c r="AE190">
        <v>360</v>
      </c>
      <c r="AF190">
        <v>60</v>
      </c>
      <c r="AG190">
        <v>108</v>
      </c>
      <c r="AH190">
        <v>9132</v>
      </c>
    </row>
    <row r="191" spans="1:34" x14ac:dyDescent="0.25">
      <c r="A191" t="s">
        <v>119</v>
      </c>
      <c r="B191" t="s">
        <v>68</v>
      </c>
      <c r="C191" t="s">
        <v>285</v>
      </c>
      <c r="D191" t="s">
        <v>6</v>
      </c>
      <c r="E191" t="s">
        <v>55</v>
      </c>
      <c r="F191" t="s">
        <v>126</v>
      </c>
      <c r="G191" t="s">
        <v>283</v>
      </c>
      <c r="H191">
        <v>0</v>
      </c>
      <c r="I191">
        <v>0</v>
      </c>
      <c r="J191">
        <v>7872</v>
      </c>
      <c r="K191">
        <v>7194</v>
      </c>
      <c r="L191">
        <v>8010</v>
      </c>
      <c r="M191">
        <v>12870</v>
      </c>
      <c r="N191">
        <v>6030</v>
      </c>
      <c r="O191">
        <v>6390</v>
      </c>
      <c r="P191">
        <v>5646</v>
      </c>
      <c r="Q191">
        <v>2370</v>
      </c>
      <c r="R191">
        <v>882</v>
      </c>
      <c r="S191">
        <v>2760</v>
      </c>
      <c r="T191">
        <v>108</v>
      </c>
      <c r="U191">
        <v>30</v>
      </c>
      <c r="V191">
        <v>2652</v>
      </c>
      <c r="W191">
        <v>9096</v>
      </c>
      <c r="X191">
        <v>12594</v>
      </c>
      <c r="Y191">
        <v>5868</v>
      </c>
      <c r="Z191">
        <v>13062</v>
      </c>
      <c r="AA191">
        <v>6210</v>
      </c>
      <c r="AB191">
        <v>8262</v>
      </c>
      <c r="AC191">
        <v>972</v>
      </c>
      <c r="AD191">
        <v>1056</v>
      </c>
      <c r="AE191">
        <v>0</v>
      </c>
      <c r="AF191">
        <v>0</v>
      </c>
      <c r="AG191">
        <v>366</v>
      </c>
      <c r="AH191">
        <v>9060</v>
      </c>
    </row>
    <row r="192" spans="1:34" x14ac:dyDescent="0.25">
      <c r="A192" t="s">
        <v>119</v>
      </c>
      <c r="B192" t="s">
        <v>68</v>
      </c>
      <c r="C192" t="s">
        <v>285</v>
      </c>
      <c r="D192" t="s">
        <v>6</v>
      </c>
      <c r="E192" t="s">
        <v>55</v>
      </c>
      <c r="F192" t="s">
        <v>127</v>
      </c>
      <c r="G192" t="s">
        <v>283</v>
      </c>
      <c r="H192">
        <v>60</v>
      </c>
      <c r="I192">
        <v>12</v>
      </c>
      <c r="J192">
        <v>2100</v>
      </c>
      <c r="K192">
        <v>2628</v>
      </c>
      <c r="L192">
        <v>1656</v>
      </c>
      <c r="M192">
        <v>1224</v>
      </c>
      <c r="N192">
        <v>528</v>
      </c>
      <c r="O192">
        <v>336</v>
      </c>
      <c r="P192">
        <v>432</v>
      </c>
      <c r="Q192">
        <v>516</v>
      </c>
      <c r="R192">
        <v>288</v>
      </c>
      <c r="S192">
        <v>72</v>
      </c>
      <c r="T192">
        <v>84</v>
      </c>
      <c r="U192">
        <v>84</v>
      </c>
      <c r="V192">
        <v>36</v>
      </c>
      <c r="W192">
        <v>0</v>
      </c>
      <c r="X192">
        <v>0</v>
      </c>
      <c r="Y192">
        <v>36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25">
      <c r="A193" t="s">
        <v>119</v>
      </c>
      <c r="B193" t="s">
        <v>68</v>
      </c>
      <c r="C193" t="s">
        <v>285</v>
      </c>
      <c r="D193" t="s">
        <v>6</v>
      </c>
      <c r="E193" t="s">
        <v>55</v>
      </c>
      <c r="F193" t="s">
        <v>128</v>
      </c>
      <c r="G193" t="s">
        <v>283</v>
      </c>
      <c r="H193">
        <v>2832</v>
      </c>
      <c r="I193">
        <v>432</v>
      </c>
      <c r="J193">
        <v>69888</v>
      </c>
      <c r="K193">
        <v>9396</v>
      </c>
      <c r="L193">
        <v>47280</v>
      </c>
      <c r="M193">
        <v>16692</v>
      </c>
      <c r="N193">
        <v>9960</v>
      </c>
      <c r="O193">
        <v>8844</v>
      </c>
      <c r="P193">
        <v>14796</v>
      </c>
      <c r="Q193">
        <v>9480</v>
      </c>
      <c r="R193">
        <v>12648</v>
      </c>
      <c r="S193">
        <v>1536</v>
      </c>
      <c r="T193">
        <v>1740</v>
      </c>
      <c r="U193">
        <v>744</v>
      </c>
      <c r="V193">
        <v>33672</v>
      </c>
      <c r="W193">
        <v>13860</v>
      </c>
      <c r="X193">
        <v>35700</v>
      </c>
      <c r="Y193">
        <v>21108</v>
      </c>
      <c r="Z193">
        <v>25224</v>
      </c>
      <c r="AA193">
        <v>24804</v>
      </c>
      <c r="AB193">
        <v>25884</v>
      </c>
      <c r="AC193">
        <v>19392</v>
      </c>
      <c r="AD193">
        <v>3540</v>
      </c>
      <c r="AE193">
        <v>1656</v>
      </c>
      <c r="AF193">
        <v>912</v>
      </c>
      <c r="AG193">
        <v>0</v>
      </c>
      <c r="AH193">
        <v>21684</v>
      </c>
    </row>
    <row r="194" spans="1:34" x14ac:dyDescent="0.25">
      <c r="A194" t="s">
        <v>119</v>
      </c>
      <c r="B194" t="s">
        <v>68</v>
      </c>
      <c r="C194" t="s">
        <v>285</v>
      </c>
      <c r="D194" t="s">
        <v>6</v>
      </c>
      <c r="E194" t="s">
        <v>55</v>
      </c>
      <c r="F194" t="s">
        <v>129</v>
      </c>
      <c r="G194" t="s">
        <v>283</v>
      </c>
      <c r="H194">
        <v>0</v>
      </c>
      <c r="I194">
        <v>0</v>
      </c>
      <c r="J194">
        <v>1608</v>
      </c>
      <c r="K194">
        <v>6576</v>
      </c>
      <c r="L194">
        <v>2400</v>
      </c>
      <c r="M194">
        <v>1008</v>
      </c>
      <c r="N194">
        <v>564</v>
      </c>
      <c r="O194">
        <v>840</v>
      </c>
      <c r="P194">
        <v>552</v>
      </c>
      <c r="Q194">
        <v>660</v>
      </c>
      <c r="R194">
        <v>432</v>
      </c>
      <c r="S194">
        <v>132</v>
      </c>
      <c r="T194">
        <v>168</v>
      </c>
      <c r="U194">
        <v>0</v>
      </c>
      <c r="V194">
        <v>540</v>
      </c>
      <c r="W194">
        <v>1224</v>
      </c>
      <c r="X194">
        <v>84</v>
      </c>
      <c r="Y194">
        <v>1344</v>
      </c>
      <c r="Z194">
        <v>1188</v>
      </c>
      <c r="AA194">
        <v>108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5">
      <c r="A195" t="s">
        <v>119</v>
      </c>
      <c r="B195" t="s">
        <v>68</v>
      </c>
      <c r="C195" t="s">
        <v>285</v>
      </c>
      <c r="D195" t="s">
        <v>6</v>
      </c>
      <c r="E195" t="s">
        <v>55</v>
      </c>
      <c r="F195" t="s">
        <v>130</v>
      </c>
      <c r="G195" t="s">
        <v>283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3288</v>
      </c>
      <c r="W195">
        <v>1908</v>
      </c>
      <c r="X195">
        <v>1872</v>
      </c>
      <c r="Y195">
        <v>444</v>
      </c>
      <c r="Z195">
        <v>1116</v>
      </c>
      <c r="AA195">
        <v>132</v>
      </c>
      <c r="AB195">
        <v>1044</v>
      </c>
      <c r="AC195">
        <v>864</v>
      </c>
      <c r="AD195">
        <v>24</v>
      </c>
      <c r="AE195">
        <v>24</v>
      </c>
      <c r="AF195">
        <v>48</v>
      </c>
      <c r="AG195">
        <v>0</v>
      </c>
      <c r="AH195">
        <v>36</v>
      </c>
    </row>
    <row r="196" spans="1:34" x14ac:dyDescent="0.25">
      <c r="A196" t="s">
        <v>131</v>
      </c>
      <c r="B196" t="s">
        <v>68</v>
      </c>
      <c r="C196" t="s">
        <v>285</v>
      </c>
      <c r="D196" t="s">
        <v>6</v>
      </c>
      <c r="E196" t="s">
        <v>60</v>
      </c>
      <c r="F196" t="s">
        <v>132</v>
      </c>
      <c r="G196" t="s">
        <v>283</v>
      </c>
      <c r="H196">
        <v>72</v>
      </c>
      <c r="I196">
        <v>192</v>
      </c>
      <c r="J196">
        <v>3888</v>
      </c>
      <c r="K196">
        <v>1128</v>
      </c>
      <c r="L196">
        <v>1176</v>
      </c>
      <c r="M196">
        <v>744</v>
      </c>
      <c r="N196">
        <v>1692</v>
      </c>
      <c r="O196">
        <v>1368</v>
      </c>
      <c r="P196">
        <v>1116</v>
      </c>
      <c r="Q196">
        <v>1296</v>
      </c>
      <c r="R196">
        <v>1416</v>
      </c>
      <c r="S196">
        <v>588</v>
      </c>
      <c r="T196">
        <v>276</v>
      </c>
      <c r="U196">
        <v>144</v>
      </c>
      <c r="V196">
        <v>144</v>
      </c>
      <c r="W196">
        <v>2820</v>
      </c>
      <c r="X196">
        <v>744</v>
      </c>
      <c r="Y196">
        <v>2076</v>
      </c>
      <c r="Z196">
        <v>1932</v>
      </c>
      <c r="AA196">
        <v>2316</v>
      </c>
      <c r="AB196">
        <v>1728</v>
      </c>
      <c r="AC196">
        <v>1404</v>
      </c>
      <c r="AD196">
        <v>672</v>
      </c>
      <c r="AE196">
        <v>84</v>
      </c>
      <c r="AF196">
        <v>372</v>
      </c>
      <c r="AG196">
        <v>192</v>
      </c>
      <c r="AH196">
        <v>1716</v>
      </c>
    </row>
    <row r="197" spans="1:34" x14ac:dyDescent="0.25">
      <c r="A197" t="s">
        <v>131</v>
      </c>
      <c r="B197" t="s">
        <v>68</v>
      </c>
      <c r="C197" t="s">
        <v>285</v>
      </c>
      <c r="D197" t="s">
        <v>6</v>
      </c>
      <c r="E197" t="s">
        <v>55</v>
      </c>
      <c r="F197" t="s">
        <v>133</v>
      </c>
      <c r="G197" t="s">
        <v>283</v>
      </c>
      <c r="H197">
        <v>84</v>
      </c>
      <c r="I197">
        <v>120</v>
      </c>
      <c r="J197">
        <v>252</v>
      </c>
      <c r="K197">
        <v>564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5">
      <c r="A198" t="s">
        <v>131</v>
      </c>
      <c r="B198" t="s">
        <v>68</v>
      </c>
      <c r="C198" t="s">
        <v>285</v>
      </c>
      <c r="D198" t="s">
        <v>6</v>
      </c>
      <c r="E198" t="s">
        <v>55</v>
      </c>
      <c r="F198" t="s">
        <v>134</v>
      </c>
      <c r="G198" t="s">
        <v>283</v>
      </c>
      <c r="H198">
        <v>600</v>
      </c>
      <c r="I198">
        <v>2400</v>
      </c>
      <c r="J198">
        <v>7476</v>
      </c>
      <c r="K198">
        <v>3120</v>
      </c>
      <c r="L198">
        <v>10044</v>
      </c>
      <c r="M198">
        <v>3180</v>
      </c>
      <c r="N198">
        <v>7128</v>
      </c>
      <c r="O198">
        <v>3732</v>
      </c>
      <c r="P198">
        <v>6468</v>
      </c>
      <c r="Q198">
        <v>3828</v>
      </c>
      <c r="R198">
        <v>3036</v>
      </c>
      <c r="S198">
        <v>792</v>
      </c>
      <c r="T198">
        <v>972</v>
      </c>
      <c r="U198">
        <v>552</v>
      </c>
      <c r="V198">
        <v>2496</v>
      </c>
      <c r="W198">
        <v>8928</v>
      </c>
      <c r="X198">
        <v>7140</v>
      </c>
      <c r="Y198">
        <v>8880</v>
      </c>
      <c r="Z198">
        <v>6084</v>
      </c>
      <c r="AA198">
        <v>4248</v>
      </c>
      <c r="AB198">
        <v>6228</v>
      </c>
      <c r="AC198">
        <v>1692</v>
      </c>
      <c r="AD198">
        <v>2580</v>
      </c>
      <c r="AE198">
        <v>300</v>
      </c>
      <c r="AF198">
        <v>1008</v>
      </c>
      <c r="AG198">
        <v>348</v>
      </c>
      <c r="AH198">
        <v>3900</v>
      </c>
    </row>
    <row r="199" spans="1:34" x14ac:dyDescent="0.25">
      <c r="A199" t="s">
        <v>131</v>
      </c>
      <c r="B199" t="s">
        <v>68</v>
      </c>
      <c r="C199" t="s">
        <v>285</v>
      </c>
      <c r="D199" t="s">
        <v>6</v>
      </c>
      <c r="E199" t="s">
        <v>55</v>
      </c>
      <c r="F199" t="s">
        <v>135</v>
      </c>
      <c r="G199" t="s">
        <v>283</v>
      </c>
      <c r="H199">
        <v>288</v>
      </c>
      <c r="I199">
        <v>1344</v>
      </c>
      <c r="J199">
        <v>8700</v>
      </c>
      <c r="K199">
        <v>528</v>
      </c>
      <c r="L199">
        <v>3300</v>
      </c>
      <c r="M199">
        <v>3768</v>
      </c>
      <c r="N199">
        <v>5472</v>
      </c>
      <c r="O199">
        <v>4752</v>
      </c>
      <c r="P199">
        <v>2700</v>
      </c>
      <c r="Q199">
        <v>1656</v>
      </c>
      <c r="R199">
        <v>1572</v>
      </c>
      <c r="S199">
        <v>1008</v>
      </c>
      <c r="T199">
        <v>456</v>
      </c>
      <c r="U199">
        <v>108</v>
      </c>
      <c r="V199">
        <v>2808</v>
      </c>
      <c r="W199">
        <v>5808</v>
      </c>
      <c r="X199">
        <v>4860</v>
      </c>
      <c r="Y199">
        <v>4428</v>
      </c>
      <c r="Z199">
        <v>7380</v>
      </c>
      <c r="AA199">
        <v>5016</v>
      </c>
      <c r="AB199">
        <v>7176</v>
      </c>
      <c r="AC199">
        <v>1536</v>
      </c>
      <c r="AD199">
        <v>1092</v>
      </c>
      <c r="AE199">
        <v>576</v>
      </c>
      <c r="AF199">
        <v>1764</v>
      </c>
      <c r="AG199">
        <v>180</v>
      </c>
      <c r="AH199">
        <v>3924</v>
      </c>
    </row>
    <row r="200" spans="1:34" x14ac:dyDescent="0.25">
      <c r="A200" t="s">
        <v>131</v>
      </c>
      <c r="B200" t="s">
        <v>68</v>
      </c>
      <c r="C200" t="s">
        <v>285</v>
      </c>
      <c r="D200" t="s">
        <v>6</v>
      </c>
      <c r="E200" t="s">
        <v>55</v>
      </c>
      <c r="F200" t="s">
        <v>136</v>
      </c>
      <c r="G200" t="s">
        <v>283</v>
      </c>
      <c r="H200">
        <v>0</v>
      </c>
      <c r="I200">
        <v>0</v>
      </c>
      <c r="J200">
        <v>12000</v>
      </c>
      <c r="K200">
        <v>4956</v>
      </c>
      <c r="L200">
        <v>2304</v>
      </c>
      <c r="M200">
        <v>1296</v>
      </c>
      <c r="N200">
        <v>948</v>
      </c>
      <c r="O200">
        <v>588</v>
      </c>
      <c r="P200">
        <v>372</v>
      </c>
      <c r="Q200">
        <v>120</v>
      </c>
      <c r="R200">
        <v>240</v>
      </c>
      <c r="S200">
        <v>48</v>
      </c>
      <c r="T200">
        <v>48</v>
      </c>
      <c r="U200">
        <v>468</v>
      </c>
      <c r="V200">
        <v>288</v>
      </c>
      <c r="W200">
        <v>768</v>
      </c>
      <c r="X200">
        <v>120</v>
      </c>
      <c r="Y200">
        <v>480</v>
      </c>
      <c r="Z200">
        <v>540</v>
      </c>
      <c r="AA200">
        <v>360</v>
      </c>
      <c r="AB200">
        <v>360</v>
      </c>
      <c r="AC200">
        <v>36</v>
      </c>
      <c r="AD200">
        <v>0</v>
      </c>
      <c r="AE200">
        <v>432</v>
      </c>
      <c r="AF200">
        <v>60</v>
      </c>
      <c r="AG200">
        <v>60</v>
      </c>
      <c r="AH200">
        <v>444</v>
      </c>
    </row>
    <row r="201" spans="1:34" x14ac:dyDescent="0.25">
      <c r="A201" t="s">
        <v>131</v>
      </c>
      <c r="B201" t="s">
        <v>68</v>
      </c>
      <c r="C201" t="s">
        <v>285</v>
      </c>
      <c r="D201" t="s">
        <v>6</v>
      </c>
      <c r="E201" t="s">
        <v>55</v>
      </c>
      <c r="F201" t="s">
        <v>137</v>
      </c>
      <c r="G201" t="s">
        <v>283</v>
      </c>
      <c r="H201">
        <v>342</v>
      </c>
      <c r="I201">
        <v>264</v>
      </c>
      <c r="J201">
        <v>2628</v>
      </c>
      <c r="K201">
        <v>2130</v>
      </c>
      <c r="L201">
        <v>1674</v>
      </c>
      <c r="M201">
        <v>960</v>
      </c>
      <c r="N201">
        <v>1818</v>
      </c>
      <c r="O201">
        <v>612</v>
      </c>
      <c r="P201">
        <v>990</v>
      </c>
      <c r="Q201">
        <v>660</v>
      </c>
      <c r="R201">
        <v>882</v>
      </c>
      <c r="S201">
        <v>786</v>
      </c>
      <c r="T201">
        <v>186</v>
      </c>
      <c r="U201">
        <v>126</v>
      </c>
      <c r="V201">
        <v>234</v>
      </c>
      <c r="W201">
        <v>2166</v>
      </c>
      <c r="X201">
        <v>1626</v>
      </c>
      <c r="Y201">
        <v>1812</v>
      </c>
      <c r="Z201">
        <v>1470</v>
      </c>
      <c r="AA201">
        <v>162</v>
      </c>
      <c r="AB201">
        <v>1140</v>
      </c>
      <c r="AC201">
        <v>420</v>
      </c>
      <c r="AD201">
        <v>0</v>
      </c>
      <c r="AE201">
        <v>0</v>
      </c>
      <c r="AF201">
        <v>180</v>
      </c>
      <c r="AG201">
        <v>6</v>
      </c>
      <c r="AH201">
        <v>2094</v>
      </c>
    </row>
    <row r="202" spans="1:34" x14ac:dyDescent="0.25">
      <c r="A202" t="s">
        <v>131</v>
      </c>
      <c r="B202" t="s">
        <v>68</v>
      </c>
      <c r="C202" t="s">
        <v>285</v>
      </c>
      <c r="D202" t="s">
        <v>6</v>
      </c>
      <c r="E202" t="s">
        <v>55</v>
      </c>
      <c r="F202" t="s">
        <v>139</v>
      </c>
      <c r="G202" t="s">
        <v>283</v>
      </c>
      <c r="H202">
        <v>576</v>
      </c>
      <c r="I202">
        <v>684</v>
      </c>
      <c r="J202">
        <v>9696</v>
      </c>
      <c r="K202">
        <v>1092</v>
      </c>
      <c r="L202">
        <v>10404</v>
      </c>
      <c r="M202">
        <v>1704</v>
      </c>
      <c r="N202">
        <v>4404</v>
      </c>
      <c r="O202">
        <v>2220</v>
      </c>
      <c r="P202">
        <v>3360</v>
      </c>
      <c r="Q202">
        <v>3048</v>
      </c>
      <c r="R202">
        <v>1032</v>
      </c>
      <c r="S202">
        <v>828</v>
      </c>
      <c r="T202">
        <v>1776</v>
      </c>
      <c r="U202">
        <v>312</v>
      </c>
      <c r="V202">
        <v>2904</v>
      </c>
      <c r="W202">
        <v>504</v>
      </c>
      <c r="X202">
        <v>5772</v>
      </c>
      <c r="Y202">
        <v>10884</v>
      </c>
      <c r="Z202">
        <v>4500</v>
      </c>
      <c r="AA202">
        <v>3336</v>
      </c>
      <c r="AB202">
        <v>3900</v>
      </c>
      <c r="AC202">
        <v>936</v>
      </c>
      <c r="AD202">
        <v>852</v>
      </c>
      <c r="AE202">
        <v>420</v>
      </c>
      <c r="AF202">
        <v>1248</v>
      </c>
      <c r="AG202">
        <v>396</v>
      </c>
      <c r="AH202">
        <v>2604</v>
      </c>
    </row>
    <row r="203" spans="1:34" x14ac:dyDescent="0.25">
      <c r="A203" t="s">
        <v>141</v>
      </c>
      <c r="B203" t="s">
        <v>68</v>
      </c>
      <c r="C203" t="s">
        <v>285</v>
      </c>
      <c r="D203" t="s">
        <v>6</v>
      </c>
      <c r="E203" t="s">
        <v>55</v>
      </c>
      <c r="F203" t="s">
        <v>142</v>
      </c>
      <c r="G203" t="s">
        <v>283</v>
      </c>
      <c r="H203">
        <v>48</v>
      </c>
      <c r="I203">
        <v>24</v>
      </c>
      <c r="J203">
        <v>3456</v>
      </c>
      <c r="K203">
        <v>492</v>
      </c>
      <c r="L203">
        <v>1308</v>
      </c>
      <c r="M203">
        <v>1992</v>
      </c>
      <c r="N203">
        <v>888</v>
      </c>
      <c r="O203">
        <v>648</v>
      </c>
      <c r="P203">
        <v>1536</v>
      </c>
      <c r="Q203">
        <v>948</v>
      </c>
      <c r="R203">
        <v>732</v>
      </c>
      <c r="S203">
        <v>408</v>
      </c>
      <c r="T203">
        <v>84</v>
      </c>
      <c r="U203">
        <v>36</v>
      </c>
      <c r="V203">
        <v>48</v>
      </c>
      <c r="W203">
        <v>1620</v>
      </c>
      <c r="X203">
        <v>2952</v>
      </c>
      <c r="Y203">
        <v>216</v>
      </c>
      <c r="Z203">
        <v>180</v>
      </c>
      <c r="AA203">
        <v>924</v>
      </c>
      <c r="AB203">
        <v>816</v>
      </c>
      <c r="AC203">
        <v>444</v>
      </c>
      <c r="AD203">
        <v>72</v>
      </c>
      <c r="AE203">
        <v>84</v>
      </c>
      <c r="AF203">
        <v>84</v>
      </c>
      <c r="AG203">
        <v>96</v>
      </c>
      <c r="AH203">
        <v>1188</v>
      </c>
    </row>
    <row r="204" spans="1:34" x14ac:dyDescent="0.25">
      <c r="A204" t="s">
        <v>143</v>
      </c>
      <c r="B204" t="s">
        <v>68</v>
      </c>
      <c r="C204" t="s">
        <v>285</v>
      </c>
      <c r="D204" t="s">
        <v>6</v>
      </c>
      <c r="E204" t="s">
        <v>55</v>
      </c>
      <c r="F204" t="s">
        <v>144</v>
      </c>
      <c r="G204" t="s">
        <v>283</v>
      </c>
      <c r="H204">
        <v>192</v>
      </c>
      <c r="I204">
        <v>360</v>
      </c>
      <c r="J204">
        <v>6348</v>
      </c>
      <c r="K204">
        <v>1788</v>
      </c>
      <c r="L204">
        <v>2292</v>
      </c>
      <c r="M204">
        <v>1824</v>
      </c>
      <c r="N204">
        <v>1380</v>
      </c>
      <c r="O204">
        <v>804</v>
      </c>
      <c r="P204">
        <v>780</v>
      </c>
      <c r="Q204">
        <v>840</v>
      </c>
      <c r="R204">
        <v>1368</v>
      </c>
      <c r="S204">
        <v>240</v>
      </c>
      <c r="T204">
        <v>552</v>
      </c>
      <c r="U204">
        <v>12</v>
      </c>
      <c r="V204">
        <v>828</v>
      </c>
      <c r="W204">
        <v>4644</v>
      </c>
      <c r="X204">
        <v>2064</v>
      </c>
      <c r="Y204">
        <v>3276</v>
      </c>
      <c r="Z204">
        <v>2436</v>
      </c>
      <c r="AA204">
        <v>1980</v>
      </c>
      <c r="AB204">
        <v>1320</v>
      </c>
      <c r="AC204">
        <v>900</v>
      </c>
      <c r="AD204">
        <v>276</v>
      </c>
      <c r="AE204">
        <v>108</v>
      </c>
      <c r="AF204">
        <v>636</v>
      </c>
      <c r="AG204">
        <v>336</v>
      </c>
      <c r="AH204">
        <v>744</v>
      </c>
    </row>
    <row r="205" spans="1:34" x14ac:dyDescent="0.25">
      <c r="A205" t="s">
        <v>145</v>
      </c>
      <c r="B205" t="s">
        <v>68</v>
      </c>
      <c r="C205" t="s">
        <v>285</v>
      </c>
      <c r="D205" t="s">
        <v>6</v>
      </c>
      <c r="E205" t="s">
        <v>55</v>
      </c>
      <c r="F205" t="s">
        <v>146</v>
      </c>
      <c r="G205" t="s">
        <v>283</v>
      </c>
      <c r="H205">
        <v>264</v>
      </c>
      <c r="I205">
        <v>684</v>
      </c>
      <c r="J205">
        <v>6084</v>
      </c>
      <c r="K205">
        <v>2880</v>
      </c>
      <c r="L205">
        <v>3144</v>
      </c>
      <c r="M205">
        <v>2292</v>
      </c>
      <c r="N205">
        <v>1872</v>
      </c>
      <c r="O205">
        <v>1068</v>
      </c>
      <c r="P205">
        <v>2088</v>
      </c>
      <c r="Q205">
        <v>1680</v>
      </c>
      <c r="R205">
        <v>1344</v>
      </c>
      <c r="S205">
        <v>240</v>
      </c>
      <c r="T205">
        <v>996</v>
      </c>
      <c r="U205">
        <v>348</v>
      </c>
      <c r="V205">
        <v>2028</v>
      </c>
      <c r="W205">
        <v>4044</v>
      </c>
      <c r="X205">
        <v>1608</v>
      </c>
      <c r="Y205">
        <v>8916</v>
      </c>
      <c r="Z205">
        <v>396</v>
      </c>
      <c r="AA205">
        <v>1164</v>
      </c>
      <c r="AB205">
        <v>1596</v>
      </c>
      <c r="AC205">
        <v>1752</v>
      </c>
      <c r="AD205">
        <v>360</v>
      </c>
      <c r="AE205">
        <v>192</v>
      </c>
      <c r="AF205">
        <v>420</v>
      </c>
      <c r="AG205">
        <v>252</v>
      </c>
      <c r="AH205">
        <v>2964</v>
      </c>
    </row>
    <row r="206" spans="1:34" x14ac:dyDescent="0.25">
      <c r="A206" t="s">
        <v>147</v>
      </c>
      <c r="B206" t="s">
        <v>68</v>
      </c>
      <c r="C206" t="s">
        <v>285</v>
      </c>
      <c r="D206" t="s">
        <v>6</v>
      </c>
      <c r="E206" t="s">
        <v>55</v>
      </c>
      <c r="F206" t="s">
        <v>148</v>
      </c>
      <c r="G206" t="s">
        <v>283</v>
      </c>
      <c r="H206">
        <v>144</v>
      </c>
      <c r="I206">
        <v>180</v>
      </c>
      <c r="J206">
        <v>1428</v>
      </c>
      <c r="K206">
        <v>564</v>
      </c>
      <c r="L206">
        <v>252</v>
      </c>
      <c r="M206">
        <v>552</v>
      </c>
      <c r="N206">
        <v>504</v>
      </c>
      <c r="O206">
        <v>192</v>
      </c>
      <c r="P206">
        <v>684</v>
      </c>
      <c r="Q206">
        <v>432</v>
      </c>
      <c r="R206">
        <v>576</v>
      </c>
      <c r="S206">
        <v>132</v>
      </c>
      <c r="T206">
        <v>168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5DB3-4A45-4788-BACC-2BD20EF95E00}">
  <dimension ref="A1:AM78"/>
  <sheetViews>
    <sheetView zoomScale="80" zoomScaleNormal="80" workbookViewId="0">
      <selection activeCell="B24" sqref="B24"/>
    </sheetView>
  </sheetViews>
  <sheetFormatPr defaultColWidth="11.42578125" defaultRowHeight="15" x14ac:dyDescent="0.25"/>
  <cols>
    <col min="1" max="1" width="32.85546875" bestFit="1" customWidth="1"/>
    <col min="2" max="2" width="10.140625" bestFit="1" customWidth="1"/>
    <col min="3" max="3" width="28.140625" bestFit="1" customWidth="1"/>
    <col min="4" max="4" width="27.85546875" bestFit="1" customWidth="1"/>
    <col min="5" max="6" width="28.28515625" bestFit="1" customWidth="1"/>
    <col min="7" max="7" width="27.5703125" bestFit="1" customWidth="1"/>
    <col min="8" max="9" width="28" bestFit="1" customWidth="1"/>
    <col min="10" max="10" width="27.7109375" bestFit="1" customWidth="1"/>
    <col min="11" max="11" width="28.28515625" bestFit="1" customWidth="1"/>
    <col min="12" max="12" width="27.7109375" bestFit="1" customWidth="1"/>
    <col min="13" max="13" width="27.140625" bestFit="1" customWidth="1"/>
    <col min="14" max="14" width="28" bestFit="1" customWidth="1"/>
    <col min="15" max="15" width="28.140625" bestFit="1" customWidth="1"/>
    <col min="16" max="16" width="27.85546875" bestFit="1" customWidth="1"/>
    <col min="17" max="18" width="28.28515625" bestFit="1" customWidth="1"/>
    <col min="19" max="19" width="27.5703125" bestFit="1" customWidth="1"/>
    <col min="20" max="21" width="28" bestFit="1" customWidth="1"/>
    <col min="22" max="22" width="27.7109375" bestFit="1" customWidth="1"/>
    <col min="23" max="23" width="28.28515625" bestFit="1" customWidth="1"/>
    <col min="24" max="24" width="27.7109375" bestFit="1" customWidth="1"/>
    <col min="25" max="25" width="27.140625" bestFit="1" customWidth="1"/>
    <col min="26" max="26" width="28" bestFit="1" customWidth="1"/>
    <col min="27" max="27" width="28.140625" bestFit="1" customWidth="1"/>
    <col min="28" max="28" width="27.85546875" bestFit="1" customWidth="1"/>
    <col min="29" max="30" width="28.28515625" bestFit="1" customWidth="1"/>
    <col min="31" max="31" width="27.5703125" bestFit="1" customWidth="1"/>
    <col min="32" max="33" width="28" bestFit="1" customWidth="1"/>
    <col min="34" max="34" width="27.7109375" bestFit="1" customWidth="1"/>
    <col min="35" max="35" width="28.28515625" bestFit="1" customWidth="1"/>
    <col min="36" max="36" width="27.7109375" bestFit="1" customWidth="1"/>
    <col min="37" max="37" width="27.140625" bestFit="1" customWidth="1"/>
    <col min="38" max="38" width="28" bestFit="1" customWidth="1"/>
    <col min="39" max="39" width="28.140625" bestFit="1" customWidth="1"/>
  </cols>
  <sheetData>
    <row r="1" spans="1:39" x14ac:dyDescent="0.25">
      <c r="A1" s="12" t="s">
        <v>150</v>
      </c>
      <c r="B1" t="s">
        <v>151</v>
      </c>
    </row>
    <row r="2" spans="1:39" x14ac:dyDescent="0.25">
      <c r="A2" s="12" t="s">
        <v>152</v>
      </c>
      <c r="B2" t="s">
        <v>57</v>
      </c>
    </row>
    <row r="3" spans="1:39" x14ac:dyDescent="0.25">
      <c r="A3" s="12" t="s">
        <v>153</v>
      </c>
      <c r="B3" t="s">
        <v>21</v>
      </c>
    </row>
    <row r="4" spans="1:39" x14ac:dyDescent="0.25">
      <c r="A4" s="12" t="s">
        <v>154</v>
      </c>
      <c r="B4" t="s">
        <v>21</v>
      </c>
    </row>
    <row r="6" spans="1:39" x14ac:dyDescent="0.25">
      <c r="A6" s="12" t="s">
        <v>155</v>
      </c>
      <c r="B6" s="12" t="s">
        <v>156</v>
      </c>
      <c r="C6" t="s">
        <v>157</v>
      </c>
      <c r="D6" t="s">
        <v>158</v>
      </c>
      <c r="E6" t="s">
        <v>159</v>
      </c>
      <c r="F6" t="s">
        <v>160</v>
      </c>
      <c r="G6" t="s">
        <v>161</v>
      </c>
      <c r="H6" t="s">
        <v>162</v>
      </c>
      <c r="I6" t="s">
        <v>163</v>
      </c>
      <c r="J6" t="s">
        <v>164</v>
      </c>
      <c r="K6" t="s">
        <v>165</v>
      </c>
      <c r="L6" t="s">
        <v>166</v>
      </c>
      <c r="M6" t="s">
        <v>167</v>
      </c>
      <c r="N6" t="s">
        <v>168</v>
      </c>
      <c r="O6" t="s">
        <v>169</v>
      </c>
      <c r="P6" t="s">
        <v>170</v>
      </c>
      <c r="Q6" t="s">
        <v>171</v>
      </c>
      <c r="R6" t="s">
        <v>172</v>
      </c>
      <c r="S6" t="s">
        <v>173</v>
      </c>
      <c r="T6" t="s">
        <v>174</v>
      </c>
      <c r="U6" t="s">
        <v>175</v>
      </c>
      <c r="V6" t="s">
        <v>176</v>
      </c>
      <c r="W6" t="s">
        <v>177</v>
      </c>
      <c r="X6" t="s">
        <v>178</v>
      </c>
      <c r="Y6" t="s">
        <v>179</v>
      </c>
      <c r="Z6" t="s">
        <v>180</v>
      </c>
      <c r="AA6" t="s">
        <v>181</v>
      </c>
      <c r="AB6" t="s">
        <v>182</v>
      </c>
      <c r="AC6" t="s">
        <v>183</v>
      </c>
      <c r="AD6" t="s">
        <v>184</v>
      </c>
      <c r="AE6" t="s">
        <v>185</v>
      </c>
      <c r="AF6" t="s">
        <v>186</v>
      </c>
      <c r="AG6" t="s">
        <v>187</v>
      </c>
      <c r="AH6" t="s">
        <v>188</v>
      </c>
      <c r="AI6" t="s">
        <v>189</v>
      </c>
      <c r="AJ6" t="s">
        <v>190</v>
      </c>
      <c r="AK6" t="s">
        <v>191</v>
      </c>
      <c r="AL6" t="s">
        <v>192</v>
      </c>
      <c r="AM6" t="s">
        <v>193</v>
      </c>
    </row>
    <row r="7" spans="1:39" x14ac:dyDescent="0.25">
      <c r="A7" t="s">
        <v>194</v>
      </c>
      <c r="B7" t="s">
        <v>195</v>
      </c>
      <c r="C7" s="14">
        <v>9669.9150000000009</v>
      </c>
      <c r="D7" s="14">
        <v>15195.328999999998</v>
      </c>
      <c r="E7" s="14">
        <v>20601.977999999999</v>
      </c>
      <c r="F7" s="14">
        <v>26857.237999999998</v>
      </c>
      <c r="G7" s="14">
        <v>37377.669000000002</v>
      </c>
      <c r="H7" s="14">
        <v>37062.562000000005</v>
      </c>
      <c r="I7" s="14">
        <v>28260.303999999996</v>
      </c>
      <c r="J7" s="14">
        <v>21930.171000000002</v>
      </c>
      <c r="K7" s="14">
        <v>15108.236000000001</v>
      </c>
      <c r="L7" s="14">
        <v>10613.238000000001</v>
      </c>
      <c r="M7" s="14">
        <v>8672.0630000000001</v>
      </c>
      <c r="N7" s="14">
        <v>8103.1059999999998</v>
      </c>
      <c r="O7" s="14">
        <v>8685.0990000000002</v>
      </c>
      <c r="P7" s="14">
        <v>12288.990000000002</v>
      </c>
      <c r="Q7" s="14">
        <v>21386.924999999999</v>
      </c>
      <c r="R7" s="14">
        <v>28025.976000000002</v>
      </c>
      <c r="S7" s="14">
        <v>32749.308999999997</v>
      </c>
      <c r="T7" s="14">
        <v>29094.92</v>
      </c>
      <c r="U7" s="14">
        <v>27289.186000000002</v>
      </c>
      <c r="V7" s="14">
        <v>22123.327000000001</v>
      </c>
      <c r="W7" s="14">
        <v>19230.477000000003</v>
      </c>
      <c r="X7" s="14">
        <v>13985.486999999999</v>
      </c>
      <c r="Y7" s="14">
        <v>11251.014000000001</v>
      </c>
      <c r="Z7" s="14">
        <v>7138.2420000000002</v>
      </c>
      <c r="AA7" s="14">
        <v>8184.0360000000001</v>
      </c>
      <c r="AB7" s="14">
        <v>13084.507</v>
      </c>
      <c r="AC7" s="14">
        <v>19564.539000000001</v>
      </c>
      <c r="AD7" s="14">
        <v>30895.205000000002</v>
      </c>
      <c r="AE7" s="14">
        <v>39607.317999999999</v>
      </c>
      <c r="AF7" s="14">
        <v>40205.940999999999</v>
      </c>
      <c r="AG7" s="14">
        <v>48043.949000000008</v>
      </c>
      <c r="AH7" s="14">
        <v>44727.109000000004</v>
      </c>
      <c r="AI7" s="14">
        <v>30578.514999999999</v>
      </c>
      <c r="AJ7" s="14">
        <v>23120.884000000002</v>
      </c>
      <c r="AK7" s="14">
        <v>15701.494999999999</v>
      </c>
      <c r="AL7" s="14">
        <v>11025.060000000001</v>
      </c>
      <c r="AM7" s="14">
        <v>8858.7639999999992</v>
      </c>
    </row>
    <row r="8" spans="1:39" x14ac:dyDescent="0.25">
      <c r="A8" t="s">
        <v>196</v>
      </c>
      <c r="B8" t="s">
        <v>195</v>
      </c>
      <c r="C8" s="14">
        <v>1788.3779999999999</v>
      </c>
      <c r="D8" s="14">
        <v>3166.8159999999998</v>
      </c>
      <c r="E8" s="14">
        <v>5261.8769999999995</v>
      </c>
      <c r="F8" s="14">
        <v>7232.0759999999991</v>
      </c>
      <c r="G8" s="14">
        <v>11815.762000000001</v>
      </c>
      <c r="H8" s="14">
        <v>10040.748</v>
      </c>
      <c r="I8" s="14">
        <v>8200.4210000000003</v>
      </c>
      <c r="J8" s="14">
        <v>5260.2409999999991</v>
      </c>
      <c r="K8" s="14">
        <v>3076.2299999999996</v>
      </c>
      <c r="L8" s="14">
        <v>1554.9009999999998</v>
      </c>
      <c r="M8" s="14">
        <v>1517.1969999999997</v>
      </c>
      <c r="N8" s="14">
        <v>1458.8989999999999</v>
      </c>
      <c r="O8" s="14">
        <v>1594.4049999999997</v>
      </c>
      <c r="P8" s="14">
        <v>2520.3319999999999</v>
      </c>
      <c r="Q8" s="14">
        <v>5338.9539999999997</v>
      </c>
      <c r="R8" s="14">
        <v>9034.4590000000007</v>
      </c>
      <c r="S8" s="14">
        <v>9003.6290000000045</v>
      </c>
      <c r="T8" s="14">
        <v>8636.5789999999997</v>
      </c>
      <c r="U8" s="14">
        <v>8937.8680000000004</v>
      </c>
      <c r="V8" s="14">
        <v>6025.0009999999993</v>
      </c>
      <c r="W8" s="14">
        <v>4406.9059999999999</v>
      </c>
      <c r="X8" s="14">
        <v>3094.7259999999992</v>
      </c>
      <c r="Y8" s="14">
        <v>2823.6880000000001</v>
      </c>
      <c r="Z8" s="14">
        <v>1979.4360000000001</v>
      </c>
      <c r="AA8" s="14">
        <v>2354.1410000000001</v>
      </c>
      <c r="AB8" s="14">
        <v>3325.1200000000008</v>
      </c>
      <c r="AC8" s="14">
        <v>4352.1540000000005</v>
      </c>
      <c r="AD8" s="14">
        <v>9060.4839999999986</v>
      </c>
      <c r="AE8" s="14">
        <v>13168.806</v>
      </c>
      <c r="AF8" s="14">
        <v>10741.545</v>
      </c>
      <c r="AG8" s="14">
        <v>14214.598999999998</v>
      </c>
      <c r="AH8" s="14">
        <v>13637.519000000002</v>
      </c>
      <c r="AI8" s="14">
        <v>9878.99</v>
      </c>
      <c r="AJ8" s="14">
        <v>5731.3760000000002</v>
      </c>
      <c r="AK8" s="14">
        <v>4470.7419999999993</v>
      </c>
      <c r="AL8" s="14">
        <v>3547.3869999999997</v>
      </c>
      <c r="AM8" s="14">
        <v>2659.8490000000002</v>
      </c>
    </row>
    <row r="9" spans="1:39" x14ac:dyDescent="0.25">
      <c r="A9" t="s">
        <v>197</v>
      </c>
      <c r="B9" t="s">
        <v>195</v>
      </c>
      <c r="C9" s="14">
        <v>2568.2559999999999</v>
      </c>
      <c r="D9" s="14">
        <v>2371.154</v>
      </c>
      <c r="E9" s="14">
        <v>4104.7620000000006</v>
      </c>
      <c r="F9" s="14">
        <v>5913.32</v>
      </c>
      <c r="G9" s="14">
        <v>9821.2639999999992</v>
      </c>
      <c r="H9" s="14">
        <v>7999.7729999999992</v>
      </c>
      <c r="I9" s="14">
        <v>7409.0209999999997</v>
      </c>
      <c r="J9" s="14">
        <v>5443.360999999999</v>
      </c>
      <c r="K9" s="14">
        <v>3771.9079999999999</v>
      </c>
      <c r="L9" s="14">
        <v>2868.3240000000005</v>
      </c>
      <c r="M9" s="14">
        <v>2322.4939999999997</v>
      </c>
      <c r="N9" s="14">
        <v>2968.7060000000001</v>
      </c>
      <c r="O9" s="14">
        <v>2617.3220000000001</v>
      </c>
      <c r="P9" s="14">
        <v>3186.5750000000003</v>
      </c>
      <c r="Q9" s="14">
        <v>3532.8600000000006</v>
      </c>
      <c r="R9" s="14">
        <v>5012.7779999999993</v>
      </c>
      <c r="S9" s="14">
        <v>4694.1959999999999</v>
      </c>
      <c r="T9" s="14">
        <v>4951.4279999999999</v>
      </c>
      <c r="U9" s="14">
        <v>6282.9149999999991</v>
      </c>
      <c r="V9" s="14">
        <v>4869.7339999999995</v>
      </c>
      <c r="W9" s="14">
        <v>3073.0380000000005</v>
      </c>
      <c r="X9" s="14">
        <v>1913.386</v>
      </c>
      <c r="Y9" s="14">
        <v>1540.681</v>
      </c>
      <c r="Z9" s="14">
        <v>2282.15</v>
      </c>
      <c r="AA9" s="14">
        <v>1982.6190000000001</v>
      </c>
      <c r="AB9" s="14">
        <v>2513.0659999999998</v>
      </c>
      <c r="AC9" s="14">
        <v>2844.681</v>
      </c>
      <c r="AD9" s="14">
        <v>4027.364</v>
      </c>
      <c r="AE9" s="14">
        <v>5363.5120000000006</v>
      </c>
      <c r="AF9" s="14">
        <v>5527.3380000000006</v>
      </c>
      <c r="AG9" s="14">
        <v>7694.7669999999998</v>
      </c>
      <c r="AH9" s="14">
        <v>7204.3829999999989</v>
      </c>
      <c r="AI9" s="14">
        <v>5855.7970000000005</v>
      </c>
      <c r="AJ9" s="14">
        <v>4475.1869999999999</v>
      </c>
      <c r="AK9" s="14">
        <v>3076.6909999999998</v>
      </c>
      <c r="AL9" s="14">
        <v>1906.65</v>
      </c>
      <c r="AM9" s="14">
        <v>1785.7640000000001</v>
      </c>
    </row>
    <row r="10" spans="1:39" x14ac:dyDescent="0.25">
      <c r="A10" t="s">
        <v>198</v>
      </c>
      <c r="B10" t="s">
        <v>195</v>
      </c>
      <c r="C10" s="14">
        <v>7655.6760000000013</v>
      </c>
      <c r="D10" s="14">
        <v>8142.3040000000019</v>
      </c>
      <c r="E10" s="14">
        <v>10326.75</v>
      </c>
      <c r="F10" s="14">
        <v>15100.829000000002</v>
      </c>
      <c r="G10" s="14">
        <v>17734.833999999999</v>
      </c>
      <c r="H10" s="14">
        <v>15298.945</v>
      </c>
      <c r="I10" s="14">
        <v>14261.876000000002</v>
      </c>
      <c r="J10" s="14">
        <v>13667.105999999998</v>
      </c>
      <c r="K10" s="14">
        <v>10862.082</v>
      </c>
      <c r="L10" s="14">
        <v>7205.2069999999985</v>
      </c>
      <c r="M10" s="14">
        <v>6104.7650000000003</v>
      </c>
      <c r="N10" s="14">
        <v>6774.0829999999996</v>
      </c>
      <c r="O10" s="14">
        <v>6604.5010000000002</v>
      </c>
      <c r="P10" s="14">
        <v>7091.2659999999996</v>
      </c>
      <c r="Q10" s="14">
        <v>10547.81</v>
      </c>
      <c r="R10" s="14">
        <v>13117.393999999998</v>
      </c>
      <c r="S10" s="14">
        <v>18168.190000000002</v>
      </c>
      <c r="T10" s="14">
        <v>19176.797999999999</v>
      </c>
      <c r="U10" s="14">
        <v>22329.606</v>
      </c>
      <c r="V10" s="14">
        <v>16052.508</v>
      </c>
      <c r="W10" s="14">
        <v>13413.157999999999</v>
      </c>
      <c r="X10" s="14">
        <v>9380.8350000000009</v>
      </c>
      <c r="Y10" s="14">
        <v>9302.0020000000004</v>
      </c>
      <c r="Z10" s="14">
        <v>8305.4529999999977</v>
      </c>
      <c r="AA10" s="14">
        <v>10202.950999999999</v>
      </c>
      <c r="AB10" s="14">
        <v>10947.945999999998</v>
      </c>
      <c r="AC10" s="14">
        <v>13845.444999999998</v>
      </c>
      <c r="AD10" s="14">
        <v>17068.57</v>
      </c>
      <c r="AE10" s="14">
        <v>21812.207999999999</v>
      </c>
      <c r="AF10" s="14">
        <v>22614.414999999997</v>
      </c>
      <c r="AG10" s="14">
        <v>28538.784</v>
      </c>
      <c r="AH10" s="14">
        <v>28076.507000000005</v>
      </c>
      <c r="AI10" s="14">
        <v>20130.658000000003</v>
      </c>
      <c r="AJ10" s="14">
        <v>16094.049000000001</v>
      </c>
      <c r="AK10" s="14">
        <v>12793.618999999999</v>
      </c>
      <c r="AL10" s="14">
        <v>9474.2989999999991</v>
      </c>
      <c r="AM10" s="14">
        <v>7470.7610000000004</v>
      </c>
    </row>
    <row r="11" spans="1:39" x14ac:dyDescent="0.25">
      <c r="A11" t="s">
        <v>56</v>
      </c>
      <c r="C11" s="14">
        <v>21682.225000000002</v>
      </c>
      <c r="D11" s="14">
        <v>28875.602999999996</v>
      </c>
      <c r="E11" s="14">
        <v>40295.366999999998</v>
      </c>
      <c r="F11" s="14">
        <v>55103.463000000003</v>
      </c>
      <c r="G11" s="14">
        <v>76749.52900000001</v>
      </c>
      <c r="H11" s="14">
        <v>70402.028000000006</v>
      </c>
      <c r="I11" s="14">
        <v>58131.622000000003</v>
      </c>
      <c r="J11" s="14">
        <v>46300.879000000001</v>
      </c>
      <c r="K11" s="14">
        <v>32818.455999999998</v>
      </c>
      <c r="L11" s="14">
        <v>22241.67</v>
      </c>
      <c r="M11" s="14">
        <v>18616.519</v>
      </c>
      <c r="N11" s="14">
        <v>19304.793999999998</v>
      </c>
      <c r="O11" s="14">
        <v>19501.327000000001</v>
      </c>
      <c r="P11" s="14">
        <v>25087.163</v>
      </c>
      <c r="Q11" s="14">
        <v>40806.548999999999</v>
      </c>
      <c r="R11" s="14">
        <v>55190.607000000004</v>
      </c>
      <c r="S11" s="14">
        <v>64615.324000000008</v>
      </c>
      <c r="T11" s="14">
        <v>61859.724999999991</v>
      </c>
      <c r="U11" s="14">
        <v>64839.575000000004</v>
      </c>
      <c r="V11" s="14">
        <v>49070.57</v>
      </c>
      <c r="W11" s="14">
        <v>40123.578999999998</v>
      </c>
      <c r="X11" s="14">
        <v>28374.434000000001</v>
      </c>
      <c r="Y11" s="14">
        <v>24917.385000000002</v>
      </c>
      <c r="Z11" s="14">
        <v>19705.280999999995</v>
      </c>
      <c r="AA11" s="14">
        <v>22723.746999999999</v>
      </c>
      <c r="AB11" s="14">
        <v>29870.638999999996</v>
      </c>
      <c r="AC11" s="14">
        <v>40606.818999999996</v>
      </c>
      <c r="AD11" s="14">
        <v>61051.623</v>
      </c>
      <c r="AE11" s="14">
        <v>79951.843999999997</v>
      </c>
      <c r="AF11" s="14">
        <v>79089.239000000001</v>
      </c>
      <c r="AG11" s="14">
        <v>98492.099000000002</v>
      </c>
      <c r="AH11" s="14">
        <v>93645.518000000011</v>
      </c>
      <c r="AI11" s="14">
        <v>66443.959999999992</v>
      </c>
      <c r="AJ11" s="14">
        <v>49421.495999999999</v>
      </c>
      <c r="AK11" s="14">
        <v>36042.546999999991</v>
      </c>
      <c r="AL11" s="14">
        <v>25953.396000000001</v>
      </c>
      <c r="AM11" s="14">
        <v>20775.137999999999</v>
      </c>
    </row>
    <row r="20" spans="1:38" s="32" customFormat="1" x14ac:dyDescent="0.25">
      <c r="A20" s="32" t="s">
        <v>199</v>
      </c>
    </row>
    <row r="22" spans="1:38" x14ac:dyDescent="0.25">
      <c r="A22" s="27" t="s">
        <v>200</v>
      </c>
      <c r="B22" s="30">
        <v>44440</v>
      </c>
      <c r="C22" s="30">
        <v>44470</v>
      </c>
      <c r="D22" s="30">
        <v>44501</v>
      </c>
      <c r="E22" s="30">
        <v>44531</v>
      </c>
      <c r="F22" s="30">
        <v>44562</v>
      </c>
      <c r="G22" s="30">
        <v>44593</v>
      </c>
      <c r="H22" s="30">
        <v>44621</v>
      </c>
      <c r="I22" s="30">
        <v>44652</v>
      </c>
      <c r="J22" s="30">
        <v>44682</v>
      </c>
      <c r="K22" s="30">
        <v>44713</v>
      </c>
      <c r="L22" s="30">
        <v>44743</v>
      </c>
      <c r="M22" s="30">
        <v>44774</v>
      </c>
      <c r="N22" s="30">
        <v>44805</v>
      </c>
      <c r="O22" s="30">
        <v>44835</v>
      </c>
      <c r="P22" s="30">
        <v>44866</v>
      </c>
      <c r="Q22" s="30">
        <v>44896</v>
      </c>
      <c r="R22" s="30">
        <v>44927</v>
      </c>
      <c r="S22" s="30">
        <v>44958</v>
      </c>
      <c r="T22" s="30">
        <v>44986</v>
      </c>
      <c r="U22" s="30">
        <v>45017</v>
      </c>
      <c r="V22" s="30">
        <v>45047</v>
      </c>
      <c r="W22" s="30">
        <v>45078</v>
      </c>
      <c r="X22" s="30">
        <v>45108</v>
      </c>
      <c r="Y22" s="30">
        <v>45139</v>
      </c>
      <c r="Z22" s="30">
        <v>45170</v>
      </c>
      <c r="AA22" s="30">
        <v>45200</v>
      </c>
      <c r="AB22" s="30">
        <v>45231</v>
      </c>
      <c r="AC22" s="30">
        <v>45261</v>
      </c>
      <c r="AD22" s="30">
        <v>45292</v>
      </c>
      <c r="AE22" s="30">
        <v>45323</v>
      </c>
      <c r="AF22" s="30">
        <v>45352</v>
      </c>
      <c r="AG22" s="30">
        <v>45383</v>
      </c>
      <c r="AH22" s="30">
        <v>45413</v>
      </c>
      <c r="AI22" s="30">
        <v>45444</v>
      </c>
      <c r="AJ22" s="30">
        <v>45474</v>
      </c>
      <c r="AK22" s="30">
        <v>45505</v>
      </c>
      <c r="AL22" s="30">
        <v>45536</v>
      </c>
    </row>
    <row r="23" spans="1:38" x14ac:dyDescent="0.25">
      <c r="A23" t="s">
        <v>201</v>
      </c>
      <c r="B23" s="31">
        <v>0.18793923967443824</v>
      </c>
      <c r="C23" s="31">
        <v>0.40606033736249009</v>
      </c>
      <c r="D23" s="31">
        <v>0.46592854934953792</v>
      </c>
      <c r="E23" s="31">
        <v>0.76597460541237017</v>
      </c>
      <c r="F23" s="31">
        <v>1.1037482993889673</v>
      </c>
      <c r="G23" s="31">
        <v>1.3092283808573943</v>
      </c>
      <c r="H23" s="31">
        <v>0.98375382420638369</v>
      </c>
      <c r="I23" s="31">
        <v>0.57510284646754373</v>
      </c>
      <c r="J23" s="31">
        <v>0.49976741402479835</v>
      </c>
      <c r="K23" s="31">
        <v>0.35131780536523888</v>
      </c>
      <c r="L23" s="31">
        <v>0.30823130754220612</v>
      </c>
      <c r="M23" s="31">
        <v>0.23669267969063706</v>
      </c>
      <c r="N23" s="31">
        <v>0.23278618147741445</v>
      </c>
      <c r="O23" s="31">
        <v>0.36994815944238729</v>
      </c>
      <c r="P23" s="31">
        <v>0.33570000700168279</v>
      </c>
      <c r="Q23" s="31">
        <v>0.75334164609090026</v>
      </c>
      <c r="R23" s="31">
        <v>0.90019826681371851</v>
      </c>
      <c r="S23" s="31">
        <v>0.82175248104340071</v>
      </c>
      <c r="T23" s="31">
        <v>1.015391999152649</v>
      </c>
      <c r="U23" s="31">
        <v>0.49946182930955851</v>
      </c>
      <c r="V23" s="31">
        <v>0.36822398953816066</v>
      </c>
      <c r="W23" s="31">
        <v>0.28343933242834407</v>
      </c>
      <c r="X23" s="31">
        <v>0.26766332192487041</v>
      </c>
      <c r="Y23" s="31">
        <v>0.38395987254846498</v>
      </c>
      <c r="Z23" s="31">
        <v>0.23544773575129344</v>
      </c>
      <c r="AA23" s="31">
        <v>0.31841357014010024</v>
      </c>
      <c r="AB23" s="31">
        <v>0.69509111119136757</v>
      </c>
      <c r="AC23" s="31">
        <v>1.0218149058273673</v>
      </c>
      <c r="AD23" s="31">
        <v>1.639238852394197</v>
      </c>
      <c r="AE23" s="31">
        <v>1.7661837189728748</v>
      </c>
      <c r="AF23" s="31">
        <v>1.6172065539187082</v>
      </c>
      <c r="AG23" s="31">
        <v>2.1603419610719898</v>
      </c>
      <c r="AH23" s="31">
        <v>1.4961000847606569</v>
      </c>
      <c r="AI23" s="31">
        <v>0.53113163675660369</v>
      </c>
      <c r="AJ23" s="31">
        <v>0.33747647796079983</v>
      </c>
      <c r="AK23" s="31">
        <v>0.21345318104042857</v>
      </c>
      <c r="AL23" s="31">
        <v>0.30557426255803238</v>
      </c>
    </row>
    <row r="24" spans="1:38" x14ac:dyDescent="0.25">
      <c r="A24" t="s">
        <v>202</v>
      </c>
      <c r="B24" s="31">
        <f>+C11/D.Inventario!B17</f>
        <v>0.40033694645895107</v>
      </c>
      <c r="C24" s="31">
        <f>+D11/D.Inventario!C17</f>
        <v>0.57479955789431447</v>
      </c>
      <c r="D24" s="31">
        <f>+E11/D.Inventario!D17</f>
        <v>0.70143937809466295</v>
      </c>
      <c r="E24" s="31">
        <f>+F11/D.Inventario!E17</f>
        <v>0.91501801907627922</v>
      </c>
      <c r="F24" s="31">
        <f>+G11/D.Inventario!F17</f>
        <v>1.3063271556870684</v>
      </c>
      <c r="G24" s="31">
        <f>+H11/D.Inventario!G17</f>
        <v>1.1584501568140904</v>
      </c>
      <c r="H24" s="31">
        <f>+I11/D.Inventario!H17</f>
        <v>0.99869896160196403</v>
      </c>
      <c r="I24" s="31">
        <f>+J11/D.Inventario!I17</f>
        <v>0.85321982371265159</v>
      </c>
      <c r="J24" s="31">
        <f>+K11/D.Inventario!J17</f>
        <v>0.60766108558075904</v>
      </c>
      <c r="K24" s="31">
        <f>+L11/D.Inventario!K17</f>
        <v>0.41019515136678325</v>
      </c>
      <c r="L24" s="31">
        <f>+M11/D.Inventario!L17</f>
        <v>0.34108572680307964</v>
      </c>
      <c r="M24" s="31">
        <f>+N11/D.Inventario!M17</f>
        <v>0.33449354131216052</v>
      </c>
      <c r="N24" s="31">
        <f>+O11/D.Inventario!N17</f>
        <v>0.34189056403476065</v>
      </c>
      <c r="O24" s="31">
        <f>+P11/D.Inventario!O17</f>
        <v>0.43168724138209918</v>
      </c>
      <c r="P24" s="31">
        <f>+Q11/D.Inventario!P17</f>
        <v>0.59561892747735778</v>
      </c>
      <c r="Q24" s="31">
        <f>+R11/D.Inventario!Q17</f>
        <v>0.74681039421980799</v>
      </c>
      <c r="R24" s="31">
        <f>+S11/D.Inventario!R17</f>
        <v>0.91844639193239286</v>
      </c>
      <c r="S24" s="31">
        <f>+T11/D.Inventario!S17</f>
        <v>0.86105725690130508</v>
      </c>
      <c r="T24" s="31">
        <f>+U11/D.Inventario!T17</f>
        <v>0.95130261162301355</v>
      </c>
      <c r="U24" s="31">
        <f>+V11/D.Inventario!U17</f>
        <v>0.77683730773005255</v>
      </c>
      <c r="V24" s="31">
        <f>+W11/D.Inventario!V17</f>
        <v>0.6678957326651197</v>
      </c>
      <c r="W24" s="31">
        <f>+X11/D.Inventario!W17</f>
        <v>0.49407390281105196</v>
      </c>
      <c r="X24" s="31">
        <f>+Y11/D.Inventario!X17</f>
        <v>0.42949633632375406</v>
      </c>
      <c r="Y24" s="31">
        <f>+Z11/D.Inventario!Y17</f>
        <v>0.3455330992930129</v>
      </c>
      <c r="Z24" s="31">
        <f>+AA11/D.Inventario!Z17</f>
        <v>0.39124487053565843</v>
      </c>
      <c r="AA24" s="31">
        <f>+AB11/D.Inventario!AA17</f>
        <v>0.47507260527058476</v>
      </c>
      <c r="AB24" s="31">
        <f>+AC11/D.Inventario!AB17</f>
        <v>0.6240604300108582</v>
      </c>
      <c r="AC24" s="31">
        <f>+AD11/D.Inventario!AC17</f>
        <v>0.91504904510013696</v>
      </c>
      <c r="AD24" s="31">
        <f>+AE11/D.Inventario!AD17</f>
        <v>1.1831119029055555</v>
      </c>
      <c r="AE24" s="31">
        <f>+AF11/D.Inventario!AE17</f>
        <v>1.1927050297619639</v>
      </c>
      <c r="AF24" s="31">
        <f>+AG11/D.Inventario!AF17</f>
        <v>1.5957253003424281</v>
      </c>
      <c r="AG24" s="31">
        <f>+AH11/D.Inventario!AG17</f>
        <v>1.7581480544911929</v>
      </c>
      <c r="AH24" s="31">
        <f>+AI11/D.Inventario!AH17</f>
        <v>1.3722741308202413</v>
      </c>
      <c r="AI24" s="31">
        <f>+AJ11/D.Inventario!AI17</f>
        <v>1.0860637255741126</v>
      </c>
      <c r="AJ24" s="31">
        <f>+AK11/D.Inventario!AJ17</f>
        <v>0.82792829765529963</v>
      </c>
      <c r="AK24" s="31">
        <f>+AL11/D.Inventario!AK17</f>
        <v>0.62252718144918884</v>
      </c>
      <c r="AL24" s="31">
        <f>+AM11/D.Inventario!AL17</f>
        <v>0.48181180071366581</v>
      </c>
    </row>
    <row r="36" spans="1:38" x14ac:dyDescent="0.25">
      <c r="A36" s="27" t="s">
        <v>12</v>
      </c>
      <c r="B36" s="30">
        <v>44440</v>
      </c>
      <c r="C36" s="30">
        <v>44470</v>
      </c>
      <c r="D36" s="30">
        <v>44501</v>
      </c>
      <c r="E36" s="30">
        <v>44531</v>
      </c>
      <c r="F36" s="30">
        <v>44562</v>
      </c>
      <c r="G36" s="30">
        <v>44593</v>
      </c>
      <c r="H36" s="30">
        <v>44621</v>
      </c>
      <c r="I36" s="30">
        <v>44652</v>
      </c>
      <c r="J36" s="30">
        <v>44682</v>
      </c>
      <c r="K36" s="30">
        <v>44713</v>
      </c>
      <c r="L36" s="30">
        <v>44743</v>
      </c>
      <c r="M36" s="30">
        <v>44774</v>
      </c>
      <c r="N36" s="30">
        <v>44805</v>
      </c>
      <c r="O36" s="30">
        <v>44835</v>
      </c>
      <c r="P36" s="30">
        <v>44866</v>
      </c>
      <c r="Q36" s="30">
        <v>44896</v>
      </c>
      <c r="R36" s="30">
        <v>44927</v>
      </c>
      <c r="S36" s="30">
        <v>44958</v>
      </c>
      <c r="T36" s="30">
        <v>44986</v>
      </c>
      <c r="U36" s="30">
        <v>45017</v>
      </c>
      <c r="V36" s="30">
        <v>45047</v>
      </c>
      <c r="W36" s="30">
        <v>45078</v>
      </c>
      <c r="X36" s="30">
        <v>45108</v>
      </c>
      <c r="Y36" s="30">
        <v>45139</v>
      </c>
      <c r="Z36" s="30">
        <v>45170</v>
      </c>
      <c r="AA36" s="30">
        <v>45200</v>
      </c>
      <c r="AB36" s="30">
        <v>45231</v>
      </c>
      <c r="AC36" s="30">
        <v>45261</v>
      </c>
      <c r="AD36" s="30">
        <v>45292</v>
      </c>
      <c r="AE36" s="30">
        <v>45323</v>
      </c>
      <c r="AF36" s="30">
        <v>45352</v>
      </c>
      <c r="AG36" s="30">
        <v>45383</v>
      </c>
      <c r="AH36" s="30">
        <v>45413</v>
      </c>
      <c r="AI36" s="30">
        <v>45444</v>
      </c>
      <c r="AJ36" s="30">
        <v>45474</v>
      </c>
      <c r="AK36" s="30">
        <v>45505</v>
      </c>
      <c r="AL36" s="30">
        <v>45536</v>
      </c>
    </row>
    <row r="37" spans="1:38" x14ac:dyDescent="0.25">
      <c r="A37" s="13" t="s">
        <v>203</v>
      </c>
      <c r="B37" s="31">
        <v>0.50340482320614066</v>
      </c>
      <c r="C37" s="31">
        <v>0.61271120742980145</v>
      </c>
      <c r="D37" s="31">
        <v>0.6385623191623705</v>
      </c>
      <c r="E37" s="31">
        <v>0.90642981728048067</v>
      </c>
      <c r="F37" s="31">
        <v>1.1620273949888023</v>
      </c>
      <c r="G37" s="31">
        <v>1.2599867731885614</v>
      </c>
      <c r="H37" s="31">
        <v>1.3147476343079034</v>
      </c>
      <c r="I37" s="31">
        <v>1.1122999724113667</v>
      </c>
      <c r="J37" s="31">
        <v>0.90884759346238142</v>
      </c>
      <c r="K37" s="31">
        <v>0.52834809456602272</v>
      </c>
      <c r="L37" s="31">
        <v>0.49925005105033138</v>
      </c>
      <c r="M37" s="31">
        <v>0.57655747213863573</v>
      </c>
      <c r="N37" s="31">
        <v>0.52105180296403764</v>
      </c>
      <c r="O37" s="31">
        <v>0.6873254852592201</v>
      </c>
      <c r="P37" s="31">
        <v>0.710785184077105</v>
      </c>
      <c r="Q37" s="31">
        <v>0.84314661500002486</v>
      </c>
      <c r="R37" s="31">
        <v>0.93917268107210938</v>
      </c>
      <c r="S37" s="31">
        <v>1.3686114416491137</v>
      </c>
      <c r="T37" s="31">
        <v>1.3862628551630174</v>
      </c>
      <c r="U37" s="31">
        <v>1.0657426362352107</v>
      </c>
      <c r="V37" s="31">
        <v>0.93657373724827087</v>
      </c>
      <c r="W37" s="31">
        <v>0.8881695132640941</v>
      </c>
      <c r="X37" s="31">
        <v>0.77129385127576489</v>
      </c>
      <c r="Y37" s="31">
        <v>0.67421174019414065</v>
      </c>
      <c r="Z37" s="31">
        <v>0.63973346069857118</v>
      </c>
      <c r="AA37" s="31">
        <v>0.71751326924160241</v>
      </c>
      <c r="AB37" s="31">
        <v>0.62714377776302765</v>
      </c>
      <c r="AC37" s="31">
        <v>0.86239751534968445</v>
      </c>
      <c r="AD37" s="31">
        <v>0.8881490288650048</v>
      </c>
      <c r="AE37" s="31">
        <v>0.98415559176126843</v>
      </c>
      <c r="AF37" s="31">
        <v>1.2498706759008336</v>
      </c>
      <c r="AG37" s="31">
        <v>1.3050739101770865</v>
      </c>
      <c r="AH37" s="31">
        <v>1.2722829770594786</v>
      </c>
      <c r="AI37" s="31">
        <v>1.0013360586157676</v>
      </c>
      <c r="AJ37" s="31">
        <v>0.73485133611305586</v>
      </c>
      <c r="AK37" s="31">
        <v>0.52228491765301022</v>
      </c>
      <c r="AL37" s="31">
        <v>0.42900401805731503</v>
      </c>
    </row>
    <row r="38" spans="1:38" x14ac:dyDescent="0.25">
      <c r="A38" s="13" t="s">
        <v>201</v>
      </c>
      <c r="B38" s="31">
        <v>0.54495611944715472</v>
      </c>
      <c r="C38" s="31">
        <v>0.73418984084184502</v>
      </c>
      <c r="D38" s="31">
        <v>0.8075211207645937</v>
      </c>
      <c r="E38" s="31">
        <v>0.76240303297887169</v>
      </c>
      <c r="F38" s="31">
        <v>1.0265087609606371</v>
      </c>
      <c r="G38" s="31">
        <v>1.303355863267025</v>
      </c>
      <c r="H38" s="31">
        <v>1.3409247086526943</v>
      </c>
      <c r="I38" s="31">
        <v>1.3463543189456559</v>
      </c>
      <c r="J38" s="31">
        <v>1.0532350120904339</v>
      </c>
      <c r="K38" s="31">
        <v>0.6550106011867729</v>
      </c>
      <c r="L38" s="31">
        <v>0.5914868602182487</v>
      </c>
      <c r="M38" s="31">
        <v>0.53137864856541306</v>
      </c>
      <c r="N38" s="31">
        <v>0.61234247288779919</v>
      </c>
      <c r="O38" s="31">
        <v>0.68062827966977568</v>
      </c>
      <c r="P38" s="31">
        <v>0.68900586942456032</v>
      </c>
      <c r="Q38" s="31">
        <v>0.82428915377433554</v>
      </c>
      <c r="R38" s="31">
        <v>0.95563047143463686</v>
      </c>
      <c r="S38" s="31">
        <v>1.0097808509688089</v>
      </c>
      <c r="T38" s="31">
        <v>1.0630758031828378</v>
      </c>
      <c r="U38" s="31">
        <v>0.94768828856314213</v>
      </c>
      <c r="V38" s="31">
        <v>0.94874614278386415</v>
      </c>
      <c r="W38" s="31">
        <v>0.69962977932798076</v>
      </c>
      <c r="X38" s="31">
        <v>0.53095630697802454</v>
      </c>
      <c r="Y38" s="31">
        <v>0.48762766869148605</v>
      </c>
      <c r="Z38" s="31">
        <v>0.6067959733097934</v>
      </c>
      <c r="AA38" s="31">
        <v>0.66074123452331979</v>
      </c>
      <c r="AB38" s="31">
        <v>0.70819077158876631</v>
      </c>
      <c r="AC38" s="31">
        <v>1.0139211918728077</v>
      </c>
      <c r="AD38" s="31">
        <v>1.116670274195851</v>
      </c>
      <c r="AE38" s="31">
        <v>1.1595219343011267</v>
      </c>
      <c r="AF38" s="31">
        <v>1.303686851148923</v>
      </c>
      <c r="AG38" s="31">
        <v>1.4882064300083642</v>
      </c>
      <c r="AH38" s="31">
        <v>1.2491274077974837</v>
      </c>
      <c r="AI38" s="31">
        <v>1.1115629311784889</v>
      </c>
      <c r="AJ38" s="31">
        <v>0.75503313887608947</v>
      </c>
      <c r="AK38" s="31">
        <v>0.54383982474451376</v>
      </c>
      <c r="AL38" s="31">
        <v>0.30066708949447613</v>
      </c>
    </row>
    <row r="39" spans="1:38" x14ac:dyDescent="0.25">
      <c r="A39" s="13" t="s">
        <v>195</v>
      </c>
      <c r="B39" s="31">
        <v>0.56098833176452878</v>
      </c>
      <c r="C39" s="31">
        <v>0.68531561351761605</v>
      </c>
      <c r="D39" s="31">
        <v>0.77808790897592439</v>
      </c>
      <c r="E39" s="31">
        <v>0.89245969745342513</v>
      </c>
      <c r="F39" s="31">
        <v>1.1562594470588523</v>
      </c>
      <c r="G39" s="31">
        <v>1.2076278979997828</v>
      </c>
      <c r="H39" s="31">
        <v>1.0879546842255707</v>
      </c>
      <c r="I39" s="31">
        <v>0.99943801569565238</v>
      </c>
      <c r="J39" s="31">
        <v>0.7687673626713073</v>
      </c>
      <c r="K39" s="31">
        <v>0.5673395710648107</v>
      </c>
      <c r="L39" s="31">
        <v>0.48283500080841651</v>
      </c>
      <c r="M39" s="31">
        <v>0.44118055312579274</v>
      </c>
      <c r="N39" s="31">
        <v>0.41325404102518243</v>
      </c>
      <c r="O39" s="31">
        <v>0.49163714300561695</v>
      </c>
      <c r="P39" s="31">
        <v>0.64991537196531246</v>
      </c>
      <c r="Q39" s="31">
        <v>0.83510134960558746</v>
      </c>
      <c r="R39" s="31">
        <v>1.1669658755521828</v>
      </c>
      <c r="S39" s="31">
        <v>1.133468373630468</v>
      </c>
      <c r="T39" s="31">
        <v>1.2834880492801768</v>
      </c>
      <c r="U39" s="31">
        <v>1.1391487445673512</v>
      </c>
      <c r="V39" s="31">
        <v>1.0523240686709021</v>
      </c>
      <c r="W39" s="31">
        <v>0.82055244672279049</v>
      </c>
      <c r="X39" s="31">
        <v>0.65604948867362156</v>
      </c>
      <c r="Y39" s="31">
        <v>0.58299850202152825</v>
      </c>
      <c r="Z39" s="31">
        <v>0.56053687569885313</v>
      </c>
      <c r="AA39" s="31">
        <v>0.53897182804510047</v>
      </c>
      <c r="AB39" s="31">
        <v>0.53588145057337533</v>
      </c>
      <c r="AC39" s="31">
        <v>0.89478272588881691</v>
      </c>
      <c r="AD39" s="31">
        <v>1.0094271892747908</v>
      </c>
      <c r="AE39" s="31">
        <v>1.1843767780900725</v>
      </c>
      <c r="AF39" s="31">
        <v>1.4189587364810665</v>
      </c>
      <c r="AG39" s="31">
        <v>1.5076908051879181</v>
      </c>
      <c r="AH39" s="31">
        <v>1.2016343566808616</v>
      </c>
      <c r="AI39" s="31">
        <v>0.88250104015246655</v>
      </c>
      <c r="AJ39" s="31">
        <v>0.7167551828948675</v>
      </c>
      <c r="AK39" s="31">
        <v>0.40240557031234903</v>
      </c>
      <c r="AL39" s="31">
        <v>0.33630886294226153</v>
      </c>
    </row>
    <row r="51" spans="1:38" x14ac:dyDescent="0.25">
      <c r="A51" s="27" t="s">
        <v>204</v>
      </c>
      <c r="B51" s="30">
        <v>44440</v>
      </c>
      <c r="C51" s="30">
        <v>44470</v>
      </c>
      <c r="D51" s="30">
        <v>44501</v>
      </c>
      <c r="E51" s="30">
        <v>44531</v>
      </c>
      <c r="F51" s="30">
        <v>44562</v>
      </c>
      <c r="G51" s="30">
        <v>44593</v>
      </c>
      <c r="H51" s="30">
        <v>44621</v>
      </c>
      <c r="I51" s="30">
        <v>44652</v>
      </c>
      <c r="J51" s="30">
        <v>44682</v>
      </c>
      <c r="K51" s="30">
        <v>44713</v>
      </c>
      <c r="L51" s="30">
        <v>44743</v>
      </c>
      <c r="M51" s="30">
        <v>44774</v>
      </c>
      <c r="N51" s="30">
        <v>44805</v>
      </c>
      <c r="O51" s="30">
        <v>44835</v>
      </c>
      <c r="P51" s="30">
        <v>44866</v>
      </c>
      <c r="Q51" s="30">
        <v>44896</v>
      </c>
      <c r="R51" s="30">
        <v>44927</v>
      </c>
      <c r="S51" s="30">
        <v>44958</v>
      </c>
      <c r="T51" s="30">
        <v>44986</v>
      </c>
      <c r="U51" s="30">
        <v>45017</v>
      </c>
      <c r="V51" s="30">
        <v>45047</v>
      </c>
      <c r="W51" s="30">
        <v>45078</v>
      </c>
      <c r="X51" s="30">
        <v>45108</v>
      </c>
      <c r="Y51" s="30">
        <v>45139</v>
      </c>
      <c r="Z51" s="30">
        <v>45170</v>
      </c>
      <c r="AA51" s="30">
        <v>45200</v>
      </c>
      <c r="AB51" s="30">
        <v>45231</v>
      </c>
      <c r="AC51" s="30">
        <v>45261</v>
      </c>
      <c r="AD51" s="30">
        <v>45292</v>
      </c>
      <c r="AE51" s="30">
        <v>45323</v>
      </c>
      <c r="AF51" s="30">
        <v>45352</v>
      </c>
      <c r="AG51" s="30">
        <v>45383</v>
      </c>
      <c r="AH51" s="30">
        <v>45413</v>
      </c>
      <c r="AI51" s="30">
        <v>45444</v>
      </c>
      <c r="AJ51" s="30">
        <v>45474</v>
      </c>
      <c r="AK51" s="30">
        <v>45505</v>
      </c>
      <c r="AL51" s="30">
        <v>45536</v>
      </c>
    </row>
    <row r="52" spans="1:38" x14ac:dyDescent="0.25">
      <c r="A52" s="13" t="s">
        <v>203</v>
      </c>
      <c r="B52" s="31">
        <v>0.43990082585203133</v>
      </c>
      <c r="C52" s="31">
        <v>0.64797943355491172</v>
      </c>
      <c r="D52" s="31">
        <v>0.6104673474965866</v>
      </c>
      <c r="E52" s="31">
        <v>0.74197655835617193</v>
      </c>
      <c r="F52" s="31">
        <v>1.0335936875329892</v>
      </c>
      <c r="G52" s="31">
        <v>1.0333608054229388</v>
      </c>
      <c r="H52" s="31">
        <v>0.99790599852403927</v>
      </c>
      <c r="I52" s="31">
        <v>0.8464133350862264</v>
      </c>
      <c r="J52" s="31">
        <v>0.47775717478866386</v>
      </c>
      <c r="K52" s="31">
        <v>0.38780822812079752</v>
      </c>
      <c r="L52" s="31">
        <v>0.43846293090999322</v>
      </c>
      <c r="M52" s="31">
        <v>0.3685049668769495</v>
      </c>
      <c r="N52" s="31">
        <v>0.418394574006551</v>
      </c>
      <c r="O52" s="31">
        <v>0.39555925511758916</v>
      </c>
      <c r="P52" s="31">
        <v>0.71197160621032241</v>
      </c>
      <c r="Q52" s="31">
        <v>0.95017643498374549</v>
      </c>
      <c r="R52" s="31">
        <v>0.8512526774364445</v>
      </c>
      <c r="S52" s="31">
        <v>0.79333443483939337</v>
      </c>
      <c r="T52" s="31">
        <v>0.81219635994489159</v>
      </c>
      <c r="U52" s="31">
        <v>0.52231555744467684</v>
      </c>
      <c r="V52" s="31">
        <v>0.53209136785875</v>
      </c>
      <c r="W52" s="31">
        <v>0.36651921694190359</v>
      </c>
      <c r="X52" s="31">
        <v>0.39068754854432186</v>
      </c>
      <c r="Y52" s="31">
        <v>0.51390052415603837</v>
      </c>
      <c r="Z52" s="31">
        <v>0.36040260597657831</v>
      </c>
      <c r="AA52" s="31">
        <v>0.46064900779068052</v>
      </c>
      <c r="AB52" s="31">
        <v>0.50915753934568986</v>
      </c>
      <c r="AC52" s="31">
        <v>0.94195517948205176</v>
      </c>
      <c r="AD52" s="31">
        <v>1.1776637511726242</v>
      </c>
      <c r="AE52" s="31">
        <v>1.1301983673894815</v>
      </c>
      <c r="AF52" s="31">
        <v>1.3929850334642095</v>
      </c>
      <c r="AG52" s="31">
        <v>1.428611556380192</v>
      </c>
      <c r="AH52" s="31">
        <v>1.1146393370763517</v>
      </c>
      <c r="AI52" s="31">
        <v>0.70803356151623276</v>
      </c>
      <c r="AJ52" s="31">
        <v>0.76880407891525326</v>
      </c>
      <c r="AK52" s="31">
        <v>0.49288129901289468</v>
      </c>
      <c r="AL52" s="31">
        <v>0.4805221354751773</v>
      </c>
    </row>
    <row r="53" spans="1:38" x14ac:dyDescent="0.25">
      <c r="A53" s="13" t="s">
        <v>201</v>
      </c>
      <c r="B53" s="31">
        <v>0.24578543679422429</v>
      </c>
      <c r="C53" s="31">
        <v>0.47827672414162947</v>
      </c>
      <c r="D53" s="31">
        <v>0.5555995532792164</v>
      </c>
      <c r="E53" s="31">
        <v>0.98892516018579801</v>
      </c>
      <c r="F53" s="31">
        <v>1.1852015690113511</v>
      </c>
      <c r="G53" s="31">
        <v>1.2165544458364006</v>
      </c>
      <c r="H53" s="31">
        <v>1.0580453382732296</v>
      </c>
      <c r="I53" s="31">
        <v>0.97443386334021775</v>
      </c>
      <c r="J53" s="31">
        <v>0.69321528793701293</v>
      </c>
      <c r="K53" s="31">
        <v>0.43508589004029113</v>
      </c>
      <c r="L53" s="31">
        <v>0.35161554315733273</v>
      </c>
      <c r="M53" s="31">
        <v>0.30080965862244979</v>
      </c>
      <c r="N53" s="31">
        <v>0.32133518924168514</v>
      </c>
      <c r="O53" s="31">
        <v>0.38318225197555295</v>
      </c>
      <c r="P53" s="31">
        <v>0.48895630921977756</v>
      </c>
      <c r="Q53" s="31">
        <v>0.81456239587423473</v>
      </c>
      <c r="R53" s="31">
        <v>0.88599956502895372</v>
      </c>
      <c r="S53" s="31">
        <v>1.1765658080202619</v>
      </c>
      <c r="T53" s="31">
        <v>1.1600077267687348</v>
      </c>
      <c r="U53" s="31">
        <v>0.86752084692082354</v>
      </c>
      <c r="V53" s="31">
        <v>0.72705145090204404</v>
      </c>
      <c r="W53" s="31">
        <v>0.51976128337751104</v>
      </c>
      <c r="X53" s="31">
        <v>0.37110428840121895</v>
      </c>
      <c r="Y53" s="31">
        <v>0.33317493065937692</v>
      </c>
      <c r="Z53" s="31">
        <v>0.30541290201827681</v>
      </c>
      <c r="AA53" s="31">
        <v>0.4199479805522926</v>
      </c>
      <c r="AB53" s="31">
        <v>0.6331798296548844</v>
      </c>
      <c r="AC53" s="31">
        <v>0.92403390471410163</v>
      </c>
      <c r="AD53" s="31">
        <v>1.0971821362881446</v>
      </c>
      <c r="AE53" s="31">
        <v>1.0706324943531458</v>
      </c>
      <c r="AF53" s="31">
        <v>1.467688954476952</v>
      </c>
      <c r="AG53" s="31">
        <v>1.659782605325415</v>
      </c>
      <c r="AH53" s="31">
        <v>1.1471233757435095</v>
      </c>
      <c r="AI53" s="31">
        <v>1.0034306660714041</v>
      </c>
      <c r="AJ53" s="31">
        <v>0.74285981605836537</v>
      </c>
      <c r="AK53" s="31">
        <v>0.40442247170271117</v>
      </c>
      <c r="AL53" s="31">
        <v>0.278122700695278</v>
      </c>
    </row>
    <row r="54" spans="1:38" x14ac:dyDescent="0.25">
      <c r="A54" s="13" t="s">
        <v>195</v>
      </c>
      <c r="B54" s="31">
        <v>0.3467980105049821</v>
      </c>
      <c r="C54" s="31">
        <v>0.49113453910482074</v>
      </c>
      <c r="D54" s="31">
        <v>0.63071683371419118</v>
      </c>
      <c r="E54" s="31">
        <v>0.79260409344649385</v>
      </c>
      <c r="F54" s="31">
        <v>1.1419197086999253</v>
      </c>
      <c r="G54" s="31">
        <v>1.0804268361087279</v>
      </c>
      <c r="H54" s="31">
        <v>0.8923512556972153</v>
      </c>
      <c r="I54" s="31">
        <v>0.77070520567858791</v>
      </c>
      <c r="J54" s="31">
        <v>0.58421987054452851</v>
      </c>
      <c r="K54" s="31">
        <v>0.384453255437613</v>
      </c>
      <c r="L54" s="31">
        <v>0.33930048237064542</v>
      </c>
      <c r="M54" s="31">
        <v>0.34497375910917794</v>
      </c>
      <c r="N54" s="31">
        <v>0.33492001340481947</v>
      </c>
      <c r="O54" s="31">
        <v>0.41697507862506261</v>
      </c>
      <c r="P54" s="31">
        <v>0.55480103846980733</v>
      </c>
      <c r="Q54" s="31">
        <v>0.76572149130160927</v>
      </c>
      <c r="R54" s="31">
        <v>0.88332626179171103</v>
      </c>
      <c r="S54" s="31">
        <v>0.91501403294005956</v>
      </c>
      <c r="T54" s="31">
        <v>0.94695035152330187</v>
      </c>
      <c r="U54" s="31">
        <v>0.77677237903588714</v>
      </c>
      <c r="V54" s="31">
        <v>0.62816436185978408</v>
      </c>
      <c r="W54" s="31">
        <v>0.4643558266927626</v>
      </c>
      <c r="X54" s="31">
        <v>0.40131712509853779</v>
      </c>
      <c r="Y54" s="31">
        <v>0.32169294895679912</v>
      </c>
      <c r="Z54" s="31">
        <v>0.34853756158296589</v>
      </c>
      <c r="AA54" s="31">
        <v>0.42422297739334708</v>
      </c>
      <c r="AB54" s="31">
        <v>0.53443043303429949</v>
      </c>
      <c r="AC54" s="31">
        <v>0.85590918502409874</v>
      </c>
      <c r="AD54" s="31">
        <v>1.0731024412846315</v>
      </c>
      <c r="AE54" s="31">
        <v>1.0857557171374996</v>
      </c>
      <c r="AF54" s="31">
        <v>1.3050473927884481</v>
      </c>
      <c r="AG54" s="31">
        <v>1.3011915260796132</v>
      </c>
      <c r="AH54" s="31">
        <v>0.98231205948742528</v>
      </c>
      <c r="AI54" s="31">
        <v>0.71087045235581048</v>
      </c>
      <c r="AJ54" s="31">
        <v>0.54540848670387609</v>
      </c>
      <c r="AK54" s="31">
        <v>0.39362750856926426</v>
      </c>
      <c r="AL54" s="31">
        <v>0.3112280072245765</v>
      </c>
    </row>
    <row r="65" spans="1:39" x14ac:dyDescent="0.25">
      <c r="A65" s="12" t="s">
        <v>150</v>
      </c>
      <c r="B65" t="s">
        <v>205</v>
      </c>
    </row>
    <row r="66" spans="1:39" x14ac:dyDescent="0.25">
      <c r="A66" s="12" t="s">
        <v>152</v>
      </c>
      <c r="B66" t="s">
        <v>21</v>
      </c>
    </row>
    <row r="67" spans="1:39" x14ac:dyDescent="0.25">
      <c r="A67" s="12" t="s">
        <v>153</v>
      </c>
      <c r="B67" t="s">
        <v>21</v>
      </c>
    </row>
    <row r="68" spans="1:39" x14ac:dyDescent="0.25">
      <c r="A68" s="12" t="s">
        <v>154</v>
      </c>
      <c r="B68" t="s">
        <v>21</v>
      </c>
    </row>
    <row r="70" spans="1:39" x14ac:dyDescent="0.25">
      <c r="A70" s="12" t="s">
        <v>155</v>
      </c>
      <c r="B70" s="12" t="s">
        <v>156</v>
      </c>
      <c r="C70" t="s">
        <v>157</v>
      </c>
      <c r="D70" t="s">
        <v>158</v>
      </c>
      <c r="E70" t="s">
        <v>159</v>
      </c>
      <c r="F70" t="s">
        <v>160</v>
      </c>
      <c r="G70" t="s">
        <v>161</v>
      </c>
      <c r="H70" t="s">
        <v>162</v>
      </c>
      <c r="I70" t="s">
        <v>163</v>
      </c>
      <c r="J70" t="s">
        <v>164</v>
      </c>
      <c r="K70" t="s">
        <v>165</v>
      </c>
      <c r="L70" t="s">
        <v>166</v>
      </c>
      <c r="M70" t="s">
        <v>167</v>
      </c>
      <c r="N70" t="s">
        <v>168</v>
      </c>
      <c r="O70" t="s">
        <v>169</v>
      </c>
      <c r="P70" t="s">
        <v>170</v>
      </c>
      <c r="Q70" t="s">
        <v>171</v>
      </c>
      <c r="R70" t="s">
        <v>172</v>
      </c>
      <c r="S70" t="s">
        <v>173</v>
      </c>
      <c r="T70" t="s">
        <v>174</v>
      </c>
      <c r="U70" t="s">
        <v>175</v>
      </c>
      <c r="V70" t="s">
        <v>176</v>
      </c>
      <c r="W70" t="s">
        <v>177</v>
      </c>
      <c r="X70" t="s">
        <v>178</v>
      </c>
      <c r="Y70" t="s">
        <v>179</v>
      </c>
      <c r="Z70" t="s">
        <v>180</v>
      </c>
      <c r="AA70" t="s">
        <v>181</v>
      </c>
      <c r="AB70" t="s">
        <v>182</v>
      </c>
      <c r="AC70" t="s">
        <v>183</v>
      </c>
      <c r="AD70" t="s">
        <v>184</v>
      </c>
      <c r="AE70" t="s">
        <v>185</v>
      </c>
      <c r="AF70" t="s">
        <v>186</v>
      </c>
      <c r="AG70" t="s">
        <v>187</v>
      </c>
      <c r="AH70" t="s">
        <v>188</v>
      </c>
      <c r="AI70" t="s">
        <v>189</v>
      </c>
      <c r="AJ70" t="s">
        <v>190</v>
      </c>
      <c r="AK70" t="s">
        <v>191</v>
      </c>
      <c r="AL70" t="s">
        <v>192</v>
      </c>
      <c r="AM70" t="s">
        <v>193</v>
      </c>
    </row>
    <row r="71" spans="1:39" x14ac:dyDescent="0.25">
      <c r="A71" t="s">
        <v>206</v>
      </c>
      <c r="B71" t="s">
        <v>203</v>
      </c>
      <c r="C71" s="14">
        <v>1284741.6059999999</v>
      </c>
      <c r="D71" s="14">
        <v>1947028.301</v>
      </c>
      <c r="E71" s="14">
        <v>3039580.2009999999</v>
      </c>
      <c r="F71" s="14">
        <v>4239274.341</v>
      </c>
      <c r="G71" s="14">
        <v>5375320.8439999996</v>
      </c>
      <c r="H71" s="14">
        <v>5807492.8280000007</v>
      </c>
      <c r="I71" s="14">
        <v>4959629.8829999994</v>
      </c>
      <c r="J71" s="14">
        <v>3828356.182</v>
      </c>
      <c r="K71" s="14">
        <v>2462722.1409999998</v>
      </c>
      <c r="L71" s="14">
        <v>1368331.605</v>
      </c>
      <c r="M71" s="14">
        <v>1219277.4369999999</v>
      </c>
      <c r="N71" s="14">
        <v>1313184.2129999998</v>
      </c>
      <c r="O71" s="14">
        <v>1410086.9</v>
      </c>
      <c r="P71" s="14">
        <v>2590798.4870000002</v>
      </c>
      <c r="Q71" s="14">
        <v>3736463.0629999996</v>
      </c>
      <c r="R71" s="14">
        <v>4655987.3910000008</v>
      </c>
      <c r="S71" s="14">
        <v>5645321.0829999996</v>
      </c>
      <c r="T71" s="14">
        <v>5192021.0290000001</v>
      </c>
      <c r="U71" s="14">
        <v>4571072.3310000002</v>
      </c>
      <c r="V71" s="14">
        <v>3318770.4019999998</v>
      </c>
      <c r="W71" s="14">
        <v>2640215.3140000002</v>
      </c>
      <c r="X71" s="14">
        <v>2185538.9129999997</v>
      </c>
      <c r="Y71" s="14">
        <v>1787618.5519999999</v>
      </c>
      <c r="Z71" s="14">
        <v>1641514.5419999999</v>
      </c>
      <c r="AA71" s="14">
        <v>1499623.6739999999</v>
      </c>
      <c r="AB71" s="14">
        <v>2009797.7280000001</v>
      </c>
      <c r="AC71" s="14">
        <v>2814339.659</v>
      </c>
      <c r="AD71" s="14">
        <v>4232988.8150000004</v>
      </c>
      <c r="AE71" s="14">
        <v>5541970.9799999995</v>
      </c>
      <c r="AF71" s="14">
        <v>5883937.4040000001</v>
      </c>
      <c r="AG71" s="14">
        <v>6259930.9160000011</v>
      </c>
      <c r="AH71" s="14">
        <v>6379274.7700000005</v>
      </c>
      <c r="AI71" s="14">
        <v>3938743.0779999997</v>
      </c>
      <c r="AJ71" s="14">
        <v>2974879.7539999997</v>
      </c>
      <c r="AK71" s="14">
        <v>2357312.4360000002</v>
      </c>
      <c r="AL71" s="14">
        <v>1557519.3270000003</v>
      </c>
      <c r="AM71" s="14">
        <v>1432328.7270000002</v>
      </c>
    </row>
    <row r="72" spans="1:39" x14ac:dyDescent="0.25">
      <c r="B72" t="s">
        <v>201</v>
      </c>
      <c r="C72" s="14">
        <v>2405149.5699999998</v>
      </c>
      <c r="D72" s="14">
        <v>5365126.2150000008</v>
      </c>
      <c r="E72" s="14">
        <v>8892143.754999999</v>
      </c>
      <c r="F72" s="14">
        <v>11494780.307</v>
      </c>
      <c r="G72" s="14">
        <v>17042231.836999997</v>
      </c>
      <c r="H72" s="14">
        <v>15051148.026999999</v>
      </c>
      <c r="I72" s="14">
        <v>14415313.192</v>
      </c>
      <c r="J72" s="14">
        <v>10106989.752</v>
      </c>
      <c r="K72" s="14">
        <v>6369208.2019999996</v>
      </c>
      <c r="L72" s="14">
        <v>3210664.9180000001</v>
      </c>
      <c r="M72" s="14">
        <v>2522014.9380000001</v>
      </c>
      <c r="N72" s="14">
        <v>2502460.9130000002</v>
      </c>
      <c r="O72" s="14">
        <v>3079319.6910000001</v>
      </c>
      <c r="P72" s="14">
        <v>4676380.523000001</v>
      </c>
      <c r="Q72" s="14">
        <v>8493535.5420000013</v>
      </c>
      <c r="R72" s="14">
        <v>12294347.510000002</v>
      </c>
      <c r="S72" s="14">
        <v>15153334.93</v>
      </c>
      <c r="T72" s="14">
        <v>14211141.160999998</v>
      </c>
      <c r="U72" s="14">
        <v>13845031.495000001</v>
      </c>
      <c r="V72" s="14">
        <v>9713933.3149999995</v>
      </c>
      <c r="W72" s="14">
        <v>7415134.7909999993</v>
      </c>
      <c r="X72" s="14">
        <v>4652205.3820000002</v>
      </c>
      <c r="Y72" s="14">
        <v>3067505.89</v>
      </c>
      <c r="Z72" s="14">
        <v>3002260.3969999999</v>
      </c>
      <c r="AA72" s="14">
        <v>3361541.2030000002</v>
      </c>
      <c r="AB72" s="14">
        <v>5804560.841</v>
      </c>
      <c r="AC72" s="14">
        <v>8874178.1509999987</v>
      </c>
      <c r="AD72" s="14">
        <v>14817418.738</v>
      </c>
      <c r="AE72" s="14">
        <v>20259730.070999999</v>
      </c>
      <c r="AF72" s="14">
        <v>18471918.116999999</v>
      </c>
      <c r="AG72" s="14">
        <v>21857558.718000002</v>
      </c>
      <c r="AH72" s="14">
        <v>22380667.319999997</v>
      </c>
      <c r="AI72" s="14">
        <v>11718709.828</v>
      </c>
      <c r="AJ72" s="14">
        <v>7428459.46</v>
      </c>
      <c r="AK72" s="14">
        <v>4753277.404000001</v>
      </c>
      <c r="AL72" s="14">
        <v>3200428.199</v>
      </c>
      <c r="AM72" s="14">
        <v>2775735.8049999997</v>
      </c>
    </row>
    <row r="73" spans="1:39" x14ac:dyDescent="0.25">
      <c r="B73" t="s">
        <v>202</v>
      </c>
      <c r="C73" s="14">
        <v>2457039.5630000001</v>
      </c>
      <c r="D73" s="14">
        <v>5641045.3259999994</v>
      </c>
      <c r="E73" s="14">
        <v>9972934.4780000001</v>
      </c>
      <c r="F73" s="14">
        <v>13340053.420000002</v>
      </c>
      <c r="G73" s="14">
        <v>24953201.898000002</v>
      </c>
      <c r="H73" s="14">
        <v>21514876.989</v>
      </c>
      <c r="I73" s="14">
        <v>15463908.403999999</v>
      </c>
      <c r="J73" s="14">
        <v>8190450.5979999993</v>
      </c>
      <c r="K73" s="14">
        <v>4191699.9840000002</v>
      </c>
      <c r="L73" s="14">
        <v>2715679.682</v>
      </c>
      <c r="M73" s="14">
        <v>2448339.3890000004</v>
      </c>
      <c r="N73" s="14">
        <v>2146427.7009999999</v>
      </c>
      <c r="O73" s="14">
        <v>2483913.16</v>
      </c>
      <c r="P73" s="14">
        <v>3219838.0060000001</v>
      </c>
      <c r="Q73" s="14">
        <v>8186100.6210000003</v>
      </c>
      <c r="R73" s="14">
        <v>16400066.515000001</v>
      </c>
      <c r="S73" s="14">
        <v>20976523.990000002</v>
      </c>
      <c r="T73" s="14">
        <v>18534341.142999999</v>
      </c>
      <c r="U73" s="14">
        <v>18585656.155000001</v>
      </c>
      <c r="V73" s="14">
        <v>11074714.436999999</v>
      </c>
      <c r="W73" s="14">
        <v>7486951.4390000002</v>
      </c>
      <c r="X73" s="14">
        <v>4303854.1430000002</v>
      </c>
      <c r="Y73" s="14">
        <v>3630027.0539999995</v>
      </c>
      <c r="Z73" s="14">
        <v>2741496.855</v>
      </c>
      <c r="AA73" s="14">
        <v>3097629.392</v>
      </c>
      <c r="AB73" s="14">
        <v>5181341.3449999997</v>
      </c>
      <c r="AC73" s="14">
        <v>9529934.909</v>
      </c>
      <c r="AD73" s="14">
        <v>25395375.310000002</v>
      </c>
      <c r="AE73" s="14">
        <v>50663063.677000001</v>
      </c>
      <c r="AF73" s="14">
        <v>38380148.195</v>
      </c>
      <c r="AG73" s="14">
        <v>58442738.443999998</v>
      </c>
      <c r="AH73" s="14">
        <v>86488530.816</v>
      </c>
      <c r="AI73" s="14">
        <v>27467446.517999999</v>
      </c>
      <c r="AJ73" s="14">
        <v>11255264.888</v>
      </c>
      <c r="AK73" s="14">
        <v>6661162.6720000003</v>
      </c>
      <c r="AL73" s="14">
        <v>4486090.4739999995</v>
      </c>
      <c r="AM73" s="14">
        <v>4690959.6909999996</v>
      </c>
    </row>
    <row r="74" spans="1:39" x14ac:dyDescent="0.25">
      <c r="B74" t="s">
        <v>195</v>
      </c>
      <c r="C74" s="14">
        <v>14471920.014999999</v>
      </c>
      <c r="D74" s="14">
        <v>24436484.023000002</v>
      </c>
      <c r="E74" s="14">
        <v>38759120.614</v>
      </c>
      <c r="F74" s="14">
        <v>49600575.359999999</v>
      </c>
      <c r="G74" s="14">
        <v>68369097.636999995</v>
      </c>
      <c r="H74" s="14">
        <v>57994567.53199999</v>
      </c>
      <c r="I74" s="14">
        <v>49505416.540000007</v>
      </c>
      <c r="J74" s="14">
        <v>34160195.232000001</v>
      </c>
      <c r="K74" s="14">
        <v>21668688.967999995</v>
      </c>
      <c r="L74" s="14">
        <v>13330203.061999999</v>
      </c>
      <c r="M74" s="14">
        <v>10878540.91</v>
      </c>
      <c r="N74" s="14">
        <v>10903169.436000001</v>
      </c>
      <c r="O74" s="14">
        <v>13202228.800999999</v>
      </c>
      <c r="P74" s="14">
        <v>19821164.537999999</v>
      </c>
      <c r="Q74" s="14">
        <v>37223675.123999998</v>
      </c>
      <c r="R74" s="14">
        <v>54551077.999000013</v>
      </c>
      <c r="S74" s="14">
        <v>63868673.887999997</v>
      </c>
      <c r="T74" s="14">
        <v>56161607.633999996</v>
      </c>
      <c r="U74" s="14">
        <v>56991912.423</v>
      </c>
      <c r="V74" s="14">
        <v>40901328.899000004</v>
      </c>
      <c r="W74" s="14">
        <v>30451373.775000002</v>
      </c>
      <c r="X74" s="14">
        <v>20277027.174999997</v>
      </c>
      <c r="Y74" s="14">
        <v>15356126.088000001</v>
      </c>
      <c r="Z74" s="14">
        <v>13637239.945</v>
      </c>
      <c r="AA74" s="14">
        <v>14912391.310999999</v>
      </c>
      <c r="AB74" s="14">
        <v>23397798.795999996</v>
      </c>
      <c r="AC74" s="14">
        <v>35193373.550000004</v>
      </c>
      <c r="AD74" s="14">
        <v>61434436.989999995</v>
      </c>
      <c r="AE74" s="14">
        <v>77407074.710000008</v>
      </c>
      <c r="AF74" s="14">
        <v>68109538.333000004</v>
      </c>
      <c r="AG74" s="14">
        <v>74497528.288000003</v>
      </c>
      <c r="AH74" s="14">
        <v>70655495.159999996</v>
      </c>
      <c r="AI74" s="14">
        <v>42712897.451000012</v>
      </c>
      <c r="AJ74" s="14">
        <v>27097976.451000005</v>
      </c>
      <c r="AK74" s="14">
        <v>19015537.342999998</v>
      </c>
      <c r="AL74" s="14">
        <v>13344645.300999999</v>
      </c>
      <c r="AM74" s="14">
        <v>13051022.945</v>
      </c>
    </row>
    <row r="75" spans="1:39" x14ac:dyDescent="0.25">
      <c r="A75" t="s">
        <v>56</v>
      </c>
      <c r="C75" s="14">
        <v>20618850.754000001</v>
      </c>
      <c r="D75" s="14">
        <v>37389683.865000002</v>
      </c>
      <c r="E75" s="14">
        <v>60663779.048</v>
      </c>
      <c r="F75" s="14">
        <v>78674683.428000003</v>
      </c>
      <c r="G75" s="14">
        <v>115739852.21599999</v>
      </c>
      <c r="H75" s="14">
        <v>100368085.37599999</v>
      </c>
      <c r="I75" s="14">
        <v>84344268.019000009</v>
      </c>
      <c r="J75" s="14">
        <v>56285991.763999999</v>
      </c>
      <c r="K75" s="14">
        <v>34692319.294999994</v>
      </c>
      <c r="L75" s="14">
        <v>20624879.266999997</v>
      </c>
      <c r="M75" s="14">
        <v>17068172.674000002</v>
      </c>
      <c r="N75" s="14">
        <v>16865242.263</v>
      </c>
      <c r="O75" s="14">
        <v>20175548.552000001</v>
      </c>
      <c r="P75" s="14">
        <v>30308181.554000001</v>
      </c>
      <c r="Q75" s="14">
        <v>57639774.349999994</v>
      </c>
      <c r="R75" s="14">
        <v>87901479.415000021</v>
      </c>
      <c r="S75" s="14">
        <v>105643853.891</v>
      </c>
      <c r="T75" s="14">
        <v>94099110.966999993</v>
      </c>
      <c r="U75" s="14">
        <v>93993672.404000014</v>
      </c>
      <c r="V75" s="14">
        <v>65008747.053000003</v>
      </c>
      <c r="W75" s="14">
        <v>47993675.319000006</v>
      </c>
      <c r="X75" s="14">
        <v>31418625.612999998</v>
      </c>
      <c r="Y75" s="14">
        <v>23841277.583999999</v>
      </c>
      <c r="Z75" s="14">
        <v>21022511.739</v>
      </c>
      <c r="AA75" s="14">
        <v>22871185.579999998</v>
      </c>
      <c r="AB75" s="14">
        <v>36393498.709999993</v>
      </c>
      <c r="AC75" s="14">
        <v>56411826.269000001</v>
      </c>
      <c r="AD75" s="14">
        <v>105880219.853</v>
      </c>
      <c r="AE75" s="14">
        <v>153871839.43800002</v>
      </c>
      <c r="AF75" s="14">
        <v>130845542.04899999</v>
      </c>
      <c r="AG75" s="14">
        <v>161057756.366</v>
      </c>
      <c r="AH75" s="14">
        <v>185903968.06599998</v>
      </c>
      <c r="AI75" s="14">
        <v>85837796.875</v>
      </c>
      <c r="AJ75" s="14">
        <v>48756580.553000003</v>
      </c>
      <c r="AK75" s="14">
        <v>32787289.855</v>
      </c>
      <c r="AL75" s="14">
        <v>22588683.300999999</v>
      </c>
      <c r="AM75" s="14">
        <v>21950047.167999998</v>
      </c>
    </row>
    <row r="78" spans="1:39" x14ac:dyDescent="0.25">
      <c r="AL78" s="14">
        <f>+SUM(P75:AA75)</f>
        <v>681742095.4690001</v>
      </c>
      <c r="AM78" s="14">
        <f>+SUM(AB75:AM75)</f>
        <v>1042285048.5029999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19A0-6620-4A6D-B665-40C3CE0287EB}">
  <dimension ref="A1:AT1027"/>
  <sheetViews>
    <sheetView topLeftCell="A102" workbookViewId="0">
      <selection activeCell="D1" sqref="D1"/>
    </sheetView>
  </sheetViews>
  <sheetFormatPr defaultColWidth="11.42578125" defaultRowHeight="15" x14ac:dyDescent="0.25"/>
  <cols>
    <col min="3" max="3" width="22.28515625" customWidth="1"/>
    <col min="4" max="4" width="30.5703125" customWidth="1"/>
  </cols>
  <sheetData>
    <row r="1" spans="1:46" ht="16.5" x14ac:dyDescent="0.25">
      <c r="A1" s="2" t="s">
        <v>155</v>
      </c>
      <c r="B1" s="2" t="s">
        <v>207</v>
      </c>
      <c r="C1" s="2" t="s">
        <v>208</v>
      </c>
      <c r="D1" s="2" t="s">
        <v>152</v>
      </c>
      <c r="E1" s="2" t="s">
        <v>153</v>
      </c>
      <c r="F1" s="2" t="s">
        <v>156</v>
      </c>
      <c r="G1" s="2" t="s">
        <v>154</v>
      </c>
      <c r="H1" s="2" t="s">
        <v>150</v>
      </c>
      <c r="I1" s="3" t="s">
        <v>209</v>
      </c>
      <c r="J1" s="3" t="s">
        <v>210</v>
      </c>
      <c r="K1" s="3" t="s">
        <v>211</v>
      </c>
      <c r="L1" s="3" t="s">
        <v>212</v>
      </c>
      <c r="M1" s="3" t="s">
        <v>213</v>
      </c>
      <c r="N1" s="3" t="s">
        <v>214</v>
      </c>
      <c r="O1" s="3" t="s">
        <v>215</v>
      </c>
      <c r="P1" s="3" t="s">
        <v>216</v>
      </c>
      <c r="Q1" s="3" t="s">
        <v>217</v>
      </c>
      <c r="R1" s="3" t="s">
        <v>218</v>
      </c>
      <c r="S1" s="3" t="s">
        <v>219</v>
      </c>
      <c r="T1" s="3" t="s">
        <v>220</v>
      </c>
      <c r="U1" s="3" t="s">
        <v>221</v>
      </c>
      <c r="V1" s="3" t="s">
        <v>222</v>
      </c>
      <c r="W1" s="3" t="s">
        <v>223</v>
      </c>
      <c r="X1" s="3" t="s">
        <v>224</v>
      </c>
      <c r="Y1" s="3" t="s">
        <v>225</v>
      </c>
      <c r="Z1" s="3" t="s">
        <v>226</v>
      </c>
      <c r="AA1" s="3" t="s">
        <v>227</v>
      </c>
      <c r="AB1" s="3" t="s">
        <v>228</v>
      </c>
      <c r="AC1" s="3" t="s">
        <v>229</v>
      </c>
      <c r="AD1" s="3" t="s">
        <v>230</v>
      </c>
      <c r="AE1" s="3" t="s">
        <v>231</v>
      </c>
      <c r="AF1" s="3" t="s">
        <v>232</v>
      </c>
      <c r="AG1" s="3" t="s">
        <v>233</v>
      </c>
      <c r="AH1" s="3" t="s">
        <v>234</v>
      </c>
      <c r="AI1" s="3" t="s">
        <v>235</v>
      </c>
      <c r="AJ1" s="3" t="s">
        <v>236</v>
      </c>
      <c r="AK1" s="3" t="s">
        <v>237</v>
      </c>
      <c r="AL1" s="3" t="s">
        <v>238</v>
      </c>
      <c r="AM1" s="3" t="s">
        <v>239</v>
      </c>
      <c r="AN1" s="3" t="s">
        <v>240</v>
      </c>
      <c r="AO1" s="3" t="s">
        <v>241</v>
      </c>
      <c r="AP1" s="3" t="s">
        <v>242</v>
      </c>
      <c r="AQ1" s="3" t="s">
        <v>243</v>
      </c>
      <c r="AR1" s="3" t="s">
        <v>244</v>
      </c>
      <c r="AS1" s="3" t="s">
        <v>245</v>
      </c>
      <c r="AT1" s="3" t="s">
        <v>245</v>
      </c>
    </row>
    <row r="2" spans="1:46" x14ac:dyDescent="0.25">
      <c r="A2" s="4" t="s">
        <v>198</v>
      </c>
      <c r="B2" s="4" t="s">
        <v>207</v>
      </c>
      <c r="C2" s="4" t="s">
        <v>246</v>
      </c>
      <c r="D2" s="4" t="s">
        <v>247</v>
      </c>
      <c r="E2" s="4" t="s">
        <v>248</v>
      </c>
      <c r="F2" s="4" t="s">
        <v>201</v>
      </c>
      <c r="G2" s="4" t="s">
        <v>93</v>
      </c>
      <c r="H2" s="4" t="s">
        <v>151</v>
      </c>
      <c r="I2" s="5">
        <v>64.183999999999997</v>
      </c>
      <c r="J2" s="5">
        <v>100.345</v>
      </c>
      <c r="K2" s="5">
        <v>242.23400000000001</v>
      </c>
      <c r="L2" s="5">
        <v>466.41199999999998</v>
      </c>
      <c r="M2" s="5">
        <v>638.76300000000003</v>
      </c>
      <c r="N2" s="5">
        <v>631.06299999999999</v>
      </c>
      <c r="O2" s="5">
        <v>651.21</v>
      </c>
      <c r="P2" s="5">
        <v>326.76600000000002</v>
      </c>
      <c r="Q2" s="5">
        <v>468.01299999999998</v>
      </c>
      <c r="R2" s="5">
        <v>342.786</v>
      </c>
      <c r="S2" s="5">
        <v>379.38799999999998</v>
      </c>
      <c r="T2" s="5">
        <v>185.346</v>
      </c>
      <c r="U2" s="5">
        <v>123.60899999999999</v>
      </c>
      <c r="V2" s="5">
        <v>178.35900000000001</v>
      </c>
      <c r="W2" s="5">
        <v>379.90699999999998</v>
      </c>
      <c r="X2" s="5">
        <v>603.26700000000005</v>
      </c>
      <c r="Y2" s="5">
        <v>547.45699999999999</v>
      </c>
      <c r="Z2" s="5">
        <v>145.43</v>
      </c>
      <c r="AA2" s="5">
        <v>367.89800000000002</v>
      </c>
      <c r="AB2" s="5">
        <v>207.41200000000001</v>
      </c>
      <c r="AC2" s="5">
        <v>205.61099999999999</v>
      </c>
      <c r="AD2" s="5">
        <v>106.342</v>
      </c>
      <c r="AE2" s="5">
        <v>122.92</v>
      </c>
      <c r="AF2" s="5">
        <v>373.45</v>
      </c>
      <c r="AG2" s="5">
        <v>110.089</v>
      </c>
      <c r="AH2" s="5">
        <v>108.449</v>
      </c>
      <c r="AI2" s="5">
        <v>209.03800000000001</v>
      </c>
      <c r="AJ2" s="5">
        <v>455.3</v>
      </c>
      <c r="AK2" s="5">
        <v>774.82600000000002</v>
      </c>
      <c r="AL2" s="5">
        <v>746.46900000000005</v>
      </c>
      <c r="AM2" s="5">
        <v>1669.8530000000001</v>
      </c>
      <c r="AN2" s="5">
        <v>1442.46</v>
      </c>
      <c r="AO2" s="5">
        <v>902.83299999999997</v>
      </c>
      <c r="AP2" s="5">
        <v>441.32600000000002</v>
      </c>
      <c r="AQ2" s="5">
        <v>420.529</v>
      </c>
      <c r="AR2" s="5">
        <v>238.69200000000001</v>
      </c>
      <c r="AS2" s="5">
        <v>327.142</v>
      </c>
      <c r="AT2" s="5">
        <v>327.142</v>
      </c>
    </row>
    <row r="3" spans="1:46" x14ac:dyDescent="0.25">
      <c r="A3" s="4" t="s">
        <v>198</v>
      </c>
      <c r="B3" s="4" t="s">
        <v>207</v>
      </c>
      <c r="C3" s="4" t="s">
        <v>246</v>
      </c>
      <c r="D3" s="4" t="s">
        <v>247</v>
      </c>
      <c r="E3" s="4" t="s">
        <v>248</v>
      </c>
      <c r="F3" s="4" t="s">
        <v>201</v>
      </c>
      <c r="G3" s="4" t="s">
        <v>93</v>
      </c>
      <c r="H3" s="4" t="s">
        <v>205</v>
      </c>
      <c r="I3" s="6">
        <v>12074.562</v>
      </c>
      <c r="J3" s="6">
        <v>21072.505000000001</v>
      </c>
      <c r="K3" s="6">
        <v>51309.743000000002</v>
      </c>
      <c r="L3" s="6">
        <v>100476.755</v>
      </c>
      <c r="M3" s="6">
        <v>120505.97500000001</v>
      </c>
      <c r="N3" s="6">
        <v>110014.557</v>
      </c>
      <c r="O3" s="6">
        <v>106027.685</v>
      </c>
      <c r="P3" s="6">
        <v>47374.110999999997</v>
      </c>
      <c r="Q3" s="6">
        <v>88238.661999999997</v>
      </c>
      <c r="R3" s="6">
        <v>66675.138999999996</v>
      </c>
      <c r="S3" s="6">
        <v>71963.816999999995</v>
      </c>
      <c r="T3" s="6">
        <v>37648.788999999997</v>
      </c>
      <c r="U3" s="6">
        <v>26217.279999999999</v>
      </c>
      <c r="V3" s="6">
        <v>35430.728999999999</v>
      </c>
      <c r="W3" s="6">
        <v>68719.61</v>
      </c>
      <c r="X3" s="6">
        <v>105367.927</v>
      </c>
      <c r="Y3" s="6">
        <v>95440.762000000002</v>
      </c>
      <c r="Z3" s="6">
        <v>23861.161</v>
      </c>
      <c r="AA3" s="6">
        <v>67266.099000000002</v>
      </c>
      <c r="AB3" s="6">
        <v>37915.576999999997</v>
      </c>
      <c r="AC3" s="6">
        <v>35774.925999999999</v>
      </c>
      <c r="AD3" s="6">
        <v>17027.745999999999</v>
      </c>
      <c r="AE3" s="6">
        <v>22155.042000000001</v>
      </c>
      <c r="AF3" s="6">
        <v>74412.895000000004</v>
      </c>
      <c r="AG3" s="6">
        <v>19555.704000000002</v>
      </c>
      <c r="AH3" s="6">
        <v>20063.103999999999</v>
      </c>
      <c r="AI3" s="6">
        <v>38403.46</v>
      </c>
      <c r="AJ3" s="6">
        <v>75918.379000000001</v>
      </c>
      <c r="AK3" s="6">
        <v>129733.534</v>
      </c>
      <c r="AL3" s="6">
        <v>124846.74400000001</v>
      </c>
      <c r="AM3" s="6">
        <v>308004.73200000002</v>
      </c>
      <c r="AN3" s="6">
        <v>285971.625</v>
      </c>
      <c r="AO3" s="6">
        <v>179050.84099999999</v>
      </c>
      <c r="AP3" s="6">
        <v>77855.164000000004</v>
      </c>
      <c r="AQ3" s="6">
        <v>71990.055999999997</v>
      </c>
      <c r="AR3" s="6">
        <v>46256.623</v>
      </c>
      <c r="AS3" s="6">
        <v>59177.552000000003</v>
      </c>
      <c r="AT3" s="6">
        <v>59177.552000000003</v>
      </c>
    </row>
    <row r="4" spans="1:46" x14ac:dyDescent="0.25">
      <c r="A4" s="4" t="s">
        <v>198</v>
      </c>
      <c r="B4" s="4" t="s">
        <v>207</v>
      </c>
      <c r="C4" s="4" t="s">
        <v>246</v>
      </c>
      <c r="D4" s="4" t="s">
        <v>247</v>
      </c>
      <c r="E4" s="4" t="s">
        <v>248</v>
      </c>
      <c r="F4" s="4" t="s">
        <v>201</v>
      </c>
      <c r="G4" s="4" t="s">
        <v>93</v>
      </c>
      <c r="H4" s="4" t="s">
        <v>249</v>
      </c>
      <c r="I4" s="7">
        <v>4.5999999999999999E-2</v>
      </c>
      <c r="J4" s="7">
        <v>0.06</v>
      </c>
      <c r="K4" s="7">
        <v>0.11700000000000001</v>
      </c>
      <c r="L4" s="7">
        <v>0.16900000000000001</v>
      </c>
      <c r="M4" s="7">
        <v>0.20300000000000001</v>
      </c>
      <c r="N4" s="7">
        <v>0.186</v>
      </c>
      <c r="O4" s="7">
        <v>0.20100000000000001</v>
      </c>
      <c r="P4" s="7">
        <v>0.128</v>
      </c>
      <c r="Q4" s="7">
        <v>0.22800000000000001</v>
      </c>
      <c r="R4" s="7">
        <v>0.23499999999999999</v>
      </c>
      <c r="S4" s="7">
        <v>0.311</v>
      </c>
      <c r="T4" s="7">
        <v>0.16800000000000001</v>
      </c>
      <c r="U4" s="7">
        <v>0.114</v>
      </c>
      <c r="V4" s="7">
        <v>0.14000000000000001</v>
      </c>
      <c r="W4" s="7">
        <v>0.20799999999999999</v>
      </c>
      <c r="X4" s="7">
        <v>0.24399999999999999</v>
      </c>
      <c r="Y4" s="7">
        <v>0.18</v>
      </c>
      <c r="Z4" s="7">
        <v>5.0999999999999997E-2</v>
      </c>
      <c r="AA4" s="7">
        <v>0.123</v>
      </c>
      <c r="AB4" s="7">
        <v>8.5999999999999993E-2</v>
      </c>
      <c r="AC4" s="7">
        <v>9.5000000000000001E-2</v>
      </c>
      <c r="AD4" s="7">
        <v>6.0999999999999999E-2</v>
      </c>
      <c r="AE4" s="7">
        <v>0.08</v>
      </c>
      <c r="AF4" s="7">
        <v>0.25</v>
      </c>
      <c r="AG4" s="7">
        <v>7.0999999999999994E-2</v>
      </c>
      <c r="AH4" s="7">
        <v>6.2E-2</v>
      </c>
      <c r="AI4" s="7">
        <v>9.6000000000000002E-2</v>
      </c>
      <c r="AJ4" s="7">
        <v>0.17</v>
      </c>
      <c r="AK4" s="7">
        <v>0.253</v>
      </c>
      <c r="AL4" s="7">
        <v>0.23799999999999999</v>
      </c>
      <c r="AM4" s="7">
        <v>0.443</v>
      </c>
      <c r="AN4" s="7">
        <v>0.43</v>
      </c>
      <c r="AO4" s="7">
        <v>0.313</v>
      </c>
      <c r="AP4" s="7">
        <v>0.17399999999999999</v>
      </c>
      <c r="AQ4" s="7">
        <v>0.19500000000000001</v>
      </c>
      <c r="AR4" s="7">
        <v>0.157</v>
      </c>
      <c r="AS4" s="7">
        <v>0.314</v>
      </c>
      <c r="AT4" s="7">
        <v>9.6000000000000002E-2</v>
      </c>
    </row>
    <row r="5" spans="1:46" x14ac:dyDescent="0.25">
      <c r="A5" s="4" t="s">
        <v>198</v>
      </c>
      <c r="B5" s="4" t="s">
        <v>207</v>
      </c>
      <c r="C5" s="4" t="s">
        <v>246</v>
      </c>
      <c r="D5" s="4" t="s">
        <v>247</v>
      </c>
      <c r="E5" s="4" t="s">
        <v>248</v>
      </c>
      <c r="F5" s="4" t="s">
        <v>201</v>
      </c>
      <c r="G5" s="4" t="s">
        <v>93</v>
      </c>
      <c r="H5" s="4" t="s">
        <v>250</v>
      </c>
      <c r="I5" s="7">
        <v>4.4240000000000004</v>
      </c>
      <c r="J5" s="7">
        <v>6.0780000000000003</v>
      </c>
      <c r="K5" s="7">
        <v>7.3120000000000003</v>
      </c>
      <c r="L5" s="7">
        <v>6.992</v>
      </c>
      <c r="M5" s="7">
        <v>8.5939999999999994</v>
      </c>
      <c r="N5" s="7">
        <v>9.1170000000000009</v>
      </c>
      <c r="O5" s="7">
        <v>10.247999999999999</v>
      </c>
      <c r="P5" s="7">
        <v>11.611000000000001</v>
      </c>
      <c r="Q5" s="7">
        <v>13.416</v>
      </c>
      <c r="R5" s="7">
        <v>14.039</v>
      </c>
      <c r="S5" s="7">
        <v>17.233000000000001</v>
      </c>
      <c r="T5" s="7">
        <v>17.155000000000001</v>
      </c>
      <c r="U5" s="7">
        <v>15.773</v>
      </c>
      <c r="V5" s="7">
        <v>14.458</v>
      </c>
      <c r="W5" s="7">
        <v>14.829000000000001</v>
      </c>
      <c r="X5" s="7">
        <v>9.8699999999999992</v>
      </c>
      <c r="Y5" s="7">
        <v>8.7789999999999999</v>
      </c>
      <c r="Z5" s="7">
        <v>8.0649999999999995</v>
      </c>
      <c r="AA5" s="7">
        <v>8.5719999999999992</v>
      </c>
      <c r="AB5" s="7">
        <v>8.1219999999999999</v>
      </c>
      <c r="AC5" s="7">
        <v>10.182</v>
      </c>
      <c r="AD5" s="7">
        <v>7.7590000000000003</v>
      </c>
      <c r="AE5" s="7">
        <v>8.2040000000000006</v>
      </c>
      <c r="AF5" s="7">
        <v>8.5129999999999999</v>
      </c>
      <c r="AG5" s="7">
        <v>7.649</v>
      </c>
      <c r="AH5" s="7">
        <v>5.9649999999999999</v>
      </c>
      <c r="AI5" s="7">
        <v>6.516</v>
      </c>
      <c r="AJ5" s="7">
        <v>7.6829999999999998</v>
      </c>
      <c r="AK5" s="7">
        <v>9.6059999999999999</v>
      </c>
      <c r="AL5" s="7">
        <v>10.852</v>
      </c>
      <c r="AM5" s="7">
        <v>15.023</v>
      </c>
      <c r="AN5" s="7">
        <v>15.852</v>
      </c>
      <c r="AO5" s="7">
        <v>12.584</v>
      </c>
      <c r="AP5" s="7">
        <v>11.103</v>
      </c>
      <c r="AQ5" s="7">
        <v>11.707000000000001</v>
      </c>
      <c r="AR5" s="7">
        <v>9.7089999999999996</v>
      </c>
      <c r="AS5" s="7">
        <v>9.02</v>
      </c>
      <c r="AT5" s="5">
        <v>437.786</v>
      </c>
    </row>
    <row r="6" spans="1:46" x14ac:dyDescent="0.25">
      <c r="A6" s="4" t="s">
        <v>198</v>
      </c>
      <c r="B6" s="4" t="s">
        <v>207</v>
      </c>
      <c r="C6" s="4" t="s">
        <v>246</v>
      </c>
      <c r="D6" s="4" t="s">
        <v>247</v>
      </c>
      <c r="E6" s="4" t="s">
        <v>248</v>
      </c>
      <c r="F6" s="4" t="s">
        <v>201</v>
      </c>
      <c r="G6" s="4" t="s">
        <v>93</v>
      </c>
      <c r="H6" s="4" t="s">
        <v>251</v>
      </c>
      <c r="I6" s="7">
        <v>3.8527032999999999</v>
      </c>
      <c r="J6" s="7">
        <v>4.4002403000000001</v>
      </c>
      <c r="K6" s="7">
        <v>5.0849243</v>
      </c>
      <c r="L6" s="7">
        <v>6.0109899999999996</v>
      </c>
      <c r="M6" s="7">
        <v>5.881392</v>
      </c>
      <c r="N6" s="7">
        <v>5.9677327</v>
      </c>
      <c r="O6" s="7">
        <v>4.8139225999999997</v>
      </c>
      <c r="P6" s="7">
        <v>4.7566604000000003</v>
      </c>
      <c r="Q6" s="7">
        <v>4.5100185000000002</v>
      </c>
      <c r="R6" s="7">
        <v>4.4265204000000002</v>
      </c>
      <c r="S6" s="7">
        <v>4.6981738999999996</v>
      </c>
      <c r="T6" s="7">
        <v>4.2102993</v>
      </c>
      <c r="U6" s="7">
        <v>4.5402902000000003</v>
      </c>
      <c r="V6" s="7">
        <v>4.4302915</v>
      </c>
      <c r="W6" s="7">
        <v>4.8239754000000001</v>
      </c>
      <c r="X6" s="7">
        <v>4.7834399000000003</v>
      </c>
      <c r="Y6" s="7">
        <v>3.3895472999999998</v>
      </c>
      <c r="Z6" s="7">
        <v>3.3928448000000002</v>
      </c>
      <c r="AA6" s="7">
        <v>4.7465691000000003</v>
      </c>
      <c r="AB6" s="7">
        <v>5.4651258</v>
      </c>
      <c r="AC6" s="7">
        <v>5.6141874999999999</v>
      </c>
      <c r="AD6" s="7">
        <v>5.4772746999999997</v>
      </c>
      <c r="AE6" s="7">
        <v>5.8538851999999997</v>
      </c>
      <c r="AF6" s="7">
        <v>4.8009811999999998</v>
      </c>
      <c r="AG6" s="7">
        <v>3.2386336</v>
      </c>
      <c r="AH6" s="7">
        <v>3.7832645</v>
      </c>
      <c r="AI6" s="7">
        <v>4.3679461999999996</v>
      </c>
      <c r="AJ6" s="7">
        <v>5.6231045000000002</v>
      </c>
      <c r="AK6" s="7">
        <v>5.5504365</v>
      </c>
      <c r="AL6" s="7">
        <v>6.8308562000000004</v>
      </c>
      <c r="AM6" s="7">
        <v>9.2025134000000008</v>
      </c>
      <c r="AN6" s="7">
        <v>10.001254100000001</v>
      </c>
      <c r="AO6" s="7">
        <v>8.0695133999999999</v>
      </c>
      <c r="AP6" s="7">
        <v>6.1463007000000003</v>
      </c>
      <c r="AQ6" s="7">
        <v>5.8662539999999996</v>
      </c>
      <c r="AR6" s="7">
        <v>5.1518527000000001</v>
      </c>
      <c r="AS6" s="7">
        <v>5.3466192000000001</v>
      </c>
      <c r="AT6" s="7">
        <v>9.02</v>
      </c>
    </row>
    <row r="7" spans="1:46" x14ac:dyDescent="0.25">
      <c r="A7" s="4" t="s">
        <v>198</v>
      </c>
      <c r="B7" s="4" t="s">
        <v>207</v>
      </c>
      <c r="C7" s="4" t="s">
        <v>246</v>
      </c>
      <c r="D7" s="4" t="s">
        <v>247</v>
      </c>
      <c r="E7" s="4" t="s">
        <v>248</v>
      </c>
      <c r="F7" s="4" t="s">
        <v>201</v>
      </c>
      <c r="G7" s="4" t="s">
        <v>93</v>
      </c>
      <c r="H7" s="4" t="s">
        <v>252</v>
      </c>
      <c r="I7" s="16">
        <v>0.33200000000000002</v>
      </c>
      <c r="J7" s="16">
        <v>0.5</v>
      </c>
      <c r="K7" s="16">
        <v>0.503</v>
      </c>
      <c r="L7" s="16">
        <v>0.49199999999999999</v>
      </c>
      <c r="M7" s="16">
        <v>0.36499999999999999</v>
      </c>
      <c r="N7" s="16">
        <v>0.34300000000000003</v>
      </c>
      <c r="O7" s="16">
        <v>0.27500000000000002</v>
      </c>
      <c r="P7" s="16">
        <v>0.46400000000000002</v>
      </c>
      <c r="Q7" s="16">
        <v>0.308</v>
      </c>
      <c r="R7" s="16">
        <v>0.32300000000000001</v>
      </c>
      <c r="S7" s="16">
        <v>0.33700000000000002</v>
      </c>
      <c r="T7" s="16">
        <v>0.33700000000000002</v>
      </c>
      <c r="U7" s="16">
        <v>0.35299999999999998</v>
      </c>
      <c r="V7" s="16">
        <v>0.3</v>
      </c>
      <c r="W7" s="16">
        <v>0.33100000000000002</v>
      </c>
      <c r="X7" s="16">
        <v>0.27500000000000002</v>
      </c>
      <c r="Y7" s="16">
        <v>0.159</v>
      </c>
      <c r="Z7" s="16">
        <v>0.214</v>
      </c>
      <c r="AA7" s="16">
        <v>0.30299999999999999</v>
      </c>
      <c r="AB7" s="16">
        <v>0.38400000000000001</v>
      </c>
      <c r="AC7" s="16">
        <v>0.39900000000000002</v>
      </c>
      <c r="AD7" s="16">
        <v>0.39800000000000002</v>
      </c>
      <c r="AE7" s="16">
        <v>0.39100000000000001</v>
      </c>
      <c r="AF7" s="16">
        <v>0.247</v>
      </c>
      <c r="AG7" s="16">
        <v>0.19900000000000001</v>
      </c>
      <c r="AH7" s="16">
        <v>0.218</v>
      </c>
      <c r="AI7" s="16">
        <v>0.23300000000000001</v>
      </c>
      <c r="AJ7" s="16">
        <v>0.40300000000000002</v>
      </c>
      <c r="AK7" s="16">
        <v>0.40699999999999997</v>
      </c>
      <c r="AL7" s="16">
        <v>0.39400000000000002</v>
      </c>
      <c r="AM7" s="16">
        <v>0.41</v>
      </c>
      <c r="AN7" s="16">
        <v>0.60599999999999998</v>
      </c>
      <c r="AO7" s="16">
        <v>0.43099999999999999</v>
      </c>
      <c r="AP7" s="16">
        <v>0.376</v>
      </c>
      <c r="AQ7" s="16">
        <v>0.28100000000000003</v>
      </c>
      <c r="AR7" s="16">
        <v>0.32100000000000001</v>
      </c>
      <c r="AS7" s="16">
        <v>0.22900000000000001</v>
      </c>
      <c r="AT7" s="7">
        <v>5.3466192000000001</v>
      </c>
    </row>
    <row r="8" spans="1:46" x14ac:dyDescent="0.25">
      <c r="A8" s="4" t="s">
        <v>198</v>
      </c>
      <c r="B8" s="4" t="s">
        <v>207</v>
      </c>
      <c r="C8" s="4" t="s">
        <v>246</v>
      </c>
      <c r="D8" s="4" t="s">
        <v>247</v>
      </c>
      <c r="E8" s="4" t="s">
        <v>248</v>
      </c>
      <c r="F8" s="4" t="s">
        <v>201</v>
      </c>
      <c r="G8" s="4" t="s">
        <v>253</v>
      </c>
      <c r="H8" s="4" t="s">
        <v>151</v>
      </c>
      <c r="I8" s="5">
        <v>37.649000000000001</v>
      </c>
      <c r="J8" s="5">
        <v>44.378999999999998</v>
      </c>
      <c r="K8" s="8">
        <v>0</v>
      </c>
      <c r="L8" s="5">
        <v>8.7059999999999995</v>
      </c>
      <c r="M8" s="5">
        <v>17.411999999999999</v>
      </c>
      <c r="N8" s="5">
        <v>17.411999999999999</v>
      </c>
      <c r="O8" s="5">
        <v>0</v>
      </c>
      <c r="P8" s="5">
        <v>9.2970000000000006</v>
      </c>
      <c r="Q8" s="5">
        <v>20.382000000000001</v>
      </c>
      <c r="R8" s="5">
        <v>0</v>
      </c>
      <c r="S8" s="5">
        <v>10.191000000000001</v>
      </c>
      <c r="T8" s="8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</row>
    <row r="9" spans="1:46" x14ac:dyDescent="0.25">
      <c r="A9" s="4" t="s">
        <v>198</v>
      </c>
      <c r="B9" s="4" t="s">
        <v>207</v>
      </c>
      <c r="C9" s="4" t="s">
        <v>246</v>
      </c>
      <c r="D9" s="4" t="s">
        <v>247</v>
      </c>
      <c r="E9" s="4" t="s">
        <v>248</v>
      </c>
      <c r="F9" s="4" t="s">
        <v>201</v>
      </c>
      <c r="G9" s="4" t="s">
        <v>253</v>
      </c>
      <c r="H9" s="4" t="s">
        <v>205</v>
      </c>
      <c r="I9" s="6">
        <v>2823.683</v>
      </c>
      <c r="J9" s="6">
        <v>3949.7109999999998</v>
      </c>
      <c r="K9" s="10">
        <v>0</v>
      </c>
      <c r="L9" s="6">
        <v>740.024</v>
      </c>
      <c r="M9" s="6">
        <v>1480.047</v>
      </c>
      <c r="N9" s="6">
        <v>1480.047</v>
      </c>
      <c r="O9" s="6">
        <v>0</v>
      </c>
      <c r="P9" s="6">
        <v>650.76499999999999</v>
      </c>
      <c r="Q9" s="6">
        <v>1732.4390000000001</v>
      </c>
      <c r="R9" s="6">
        <v>0</v>
      </c>
      <c r="S9" s="6">
        <v>866.22</v>
      </c>
      <c r="T9" s="10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</row>
    <row r="10" spans="1:46" x14ac:dyDescent="0.25">
      <c r="A10" s="4" t="s">
        <v>198</v>
      </c>
      <c r="B10" s="4" t="s">
        <v>207</v>
      </c>
      <c r="C10" s="4" t="s">
        <v>246</v>
      </c>
      <c r="D10" s="4" t="s">
        <v>247</v>
      </c>
      <c r="E10" s="4" t="s">
        <v>248</v>
      </c>
      <c r="F10" s="4" t="s">
        <v>201</v>
      </c>
      <c r="G10" s="4" t="s">
        <v>253</v>
      </c>
      <c r="H10" s="4" t="s">
        <v>249</v>
      </c>
      <c r="I10" s="7">
        <v>0.01</v>
      </c>
      <c r="J10" s="7">
        <v>0.01</v>
      </c>
      <c r="K10" s="11">
        <v>0</v>
      </c>
      <c r="L10" s="7">
        <v>1E-3</v>
      </c>
      <c r="M10" s="7">
        <v>2E-3</v>
      </c>
      <c r="N10" s="7">
        <v>2E-3</v>
      </c>
      <c r="O10" s="7">
        <v>0</v>
      </c>
      <c r="P10" s="7">
        <v>1E-3</v>
      </c>
      <c r="Q10" s="7">
        <v>4.0000000000000001E-3</v>
      </c>
      <c r="R10" s="7">
        <v>0</v>
      </c>
      <c r="S10" s="7">
        <v>3.0000000000000001E-3</v>
      </c>
      <c r="T10" s="11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</row>
    <row r="11" spans="1:46" x14ac:dyDescent="0.25">
      <c r="A11" s="4" t="s">
        <v>198</v>
      </c>
      <c r="B11" s="4" t="s">
        <v>207</v>
      </c>
      <c r="C11" s="4" t="s">
        <v>246</v>
      </c>
      <c r="D11" s="4" t="s">
        <v>247</v>
      </c>
      <c r="E11" s="4" t="s">
        <v>248</v>
      </c>
      <c r="F11" s="4" t="s">
        <v>201</v>
      </c>
      <c r="G11" s="4" t="s">
        <v>253</v>
      </c>
      <c r="H11" s="4" t="s">
        <v>250</v>
      </c>
      <c r="I11" s="7">
        <v>1</v>
      </c>
      <c r="J11" s="7">
        <v>0.48799999999999999</v>
      </c>
      <c r="K11" s="11">
        <v>0</v>
      </c>
      <c r="L11" s="7">
        <v>0.01</v>
      </c>
      <c r="M11" s="7">
        <v>2.5000000000000001E-2</v>
      </c>
      <c r="N11" s="7">
        <v>1.2999999999999999E-2</v>
      </c>
      <c r="O11" s="7">
        <v>0.27600000000000002</v>
      </c>
      <c r="P11" s="7">
        <v>0.23200000000000001</v>
      </c>
      <c r="Q11" s="7">
        <v>3.1E-2</v>
      </c>
      <c r="R11" s="7">
        <v>0</v>
      </c>
      <c r="S11" s="7">
        <v>7.4999999999999997E-2</v>
      </c>
      <c r="T11" s="11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</row>
    <row r="12" spans="1:46" x14ac:dyDescent="0.25">
      <c r="A12" s="4" t="s">
        <v>198</v>
      </c>
      <c r="B12" s="4" t="s">
        <v>207</v>
      </c>
      <c r="C12" s="4" t="s">
        <v>246</v>
      </c>
      <c r="D12" s="4" t="s">
        <v>247</v>
      </c>
      <c r="E12" s="4" t="s">
        <v>248</v>
      </c>
      <c r="F12" s="4" t="s">
        <v>201</v>
      </c>
      <c r="G12" s="4" t="s">
        <v>253</v>
      </c>
      <c r="H12" s="4" t="s">
        <v>251</v>
      </c>
      <c r="I12" s="7">
        <v>0.5979892</v>
      </c>
      <c r="J12" s="7">
        <v>0.13816970000000001</v>
      </c>
      <c r="K12" s="7">
        <v>0</v>
      </c>
      <c r="L12" s="7">
        <v>0.13934099999999999</v>
      </c>
      <c r="M12" s="7">
        <v>0.13934099999999999</v>
      </c>
      <c r="N12" s="7">
        <v>0.13934099999999999</v>
      </c>
      <c r="O12" s="7">
        <v>0.27868219999999999</v>
      </c>
      <c r="P12" s="7">
        <v>0.27868189999999998</v>
      </c>
      <c r="Q12" s="7">
        <v>0.1562028</v>
      </c>
      <c r="R12" s="7">
        <v>0.15620300000000001</v>
      </c>
      <c r="S12" s="7">
        <v>0.15620300000000001</v>
      </c>
      <c r="T12" s="7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</row>
    <row r="13" spans="1:46" x14ac:dyDescent="0.25">
      <c r="A13" s="4" t="s">
        <v>198</v>
      </c>
      <c r="B13" s="4" t="s">
        <v>207</v>
      </c>
      <c r="C13" s="4" t="s">
        <v>246</v>
      </c>
      <c r="D13" s="4" t="s">
        <v>247</v>
      </c>
      <c r="E13" s="4" t="s">
        <v>248</v>
      </c>
      <c r="F13" s="4" t="s">
        <v>201</v>
      </c>
      <c r="G13" s="4" t="s">
        <v>253</v>
      </c>
      <c r="H13" s="4" t="s">
        <v>252</v>
      </c>
      <c r="I13" s="17">
        <v>0</v>
      </c>
      <c r="J13" s="17">
        <v>0</v>
      </c>
      <c r="K13" s="17">
        <v>0</v>
      </c>
      <c r="L13" s="16">
        <v>8.9999999999999993E-3</v>
      </c>
      <c r="M13" s="16">
        <v>1.2999999999999999E-2</v>
      </c>
      <c r="N13" s="16">
        <v>1.2999999999999999E-2</v>
      </c>
      <c r="O13" s="16">
        <v>1.7000000000000001E-2</v>
      </c>
      <c r="P13" s="16">
        <v>1.4E-2</v>
      </c>
      <c r="Q13" s="16">
        <v>5.0000000000000001E-3</v>
      </c>
      <c r="R13" s="16">
        <v>5.0000000000000001E-3</v>
      </c>
      <c r="S13" s="17">
        <v>0</v>
      </c>
      <c r="T13" s="17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</row>
    <row r="14" spans="1:46" x14ac:dyDescent="0.25">
      <c r="A14" s="4" t="s">
        <v>198</v>
      </c>
      <c r="B14" s="4" t="s">
        <v>207</v>
      </c>
      <c r="C14" s="4" t="s">
        <v>246</v>
      </c>
      <c r="D14" s="4" t="s">
        <v>247</v>
      </c>
      <c r="E14" s="4" t="s">
        <v>248</v>
      </c>
      <c r="F14" s="4" t="s">
        <v>202</v>
      </c>
      <c r="G14" s="4" t="s">
        <v>93</v>
      </c>
      <c r="H14" s="4" t="s">
        <v>151</v>
      </c>
      <c r="I14" s="5">
        <v>644.87300000000005</v>
      </c>
      <c r="J14" s="5">
        <v>1187.836</v>
      </c>
      <c r="K14" s="5">
        <v>1627.5830000000001</v>
      </c>
      <c r="L14" s="5">
        <v>2735.5949999999998</v>
      </c>
      <c r="M14" s="5">
        <v>4209.6170000000002</v>
      </c>
      <c r="N14" s="5">
        <v>6213.9449999999997</v>
      </c>
      <c r="O14" s="5">
        <v>4826.3739999999998</v>
      </c>
      <c r="P14" s="5">
        <v>2787.6559999999999</v>
      </c>
      <c r="Q14" s="5">
        <v>1928.673</v>
      </c>
      <c r="R14" s="5">
        <v>1419.7539999999999</v>
      </c>
      <c r="S14" s="5">
        <v>1258.9449999999999</v>
      </c>
      <c r="T14" s="5">
        <v>1182.2950000000001</v>
      </c>
      <c r="U14" s="5">
        <v>1040.3499999999999</v>
      </c>
      <c r="V14" s="5">
        <v>1369.643</v>
      </c>
      <c r="W14" s="5">
        <v>1994.7570000000001</v>
      </c>
      <c r="X14" s="5">
        <v>3579.2269999999999</v>
      </c>
      <c r="Y14" s="5">
        <v>5165.6949999999997</v>
      </c>
      <c r="Z14" s="5">
        <v>4546.1970000000001</v>
      </c>
      <c r="AA14" s="5">
        <v>5775.5190000000002</v>
      </c>
      <c r="AB14" s="5">
        <v>3827.819</v>
      </c>
      <c r="AC14" s="5">
        <v>2821.027</v>
      </c>
      <c r="AD14" s="5">
        <v>2041.905</v>
      </c>
      <c r="AE14" s="5">
        <v>1687.316</v>
      </c>
      <c r="AF14" s="5">
        <v>1223.1679999999999</v>
      </c>
      <c r="AG14" s="5">
        <v>1496.155</v>
      </c>
      <c r="AH14" s="5">
        <v>1892.7670000000001</v>
      </c>
      <c r="AI14" s="5">
        <v>3430.97</v>
      </c>
      <c r="AJ14" s="5">
        <v>4183.6769999999997</v>
      </c>
      <c r="AK14" s="5">
        <v>8005.2389999999996</v>
      </c>
      <c r="AL14" s="5">
        <v>7554.4960000000001</v>
      </c>
      <c r="AM14" s="5">
        <v>8696.6389999999992</v>
      </c>
      <c r="AN14" s="5">
        <v>8787.259</v>
      </c>
      <c r="AO14" s="5">
        <v>6238.4459999999999</v>
      </c>
      <c r="AP14" s="5">
        <v>3684.4569999999999</v>
      </c>
      <c r="AQ14" s="5">
        <v>2778.0909999999999</v>
      </c>
      <c r="AR14" s="5">
        <v>2117.3429999999998</v>
      </c>
      <c r="AS14" s="5">
        <v>1745.43</v>
      </c>
      <c r="AT14" s="5">
        <v>1745.43</v>
      </c>
    </row>
    <row r="15" spans="1:46" x14ac:dyDescent="0.25">
      <c r="A15" s="4" t="s">
        <v>198</v>
      </c>
      <c r="B15" s="4" t="s">
        <v>207</v>
      </c>
      <c r="C15" s="4" t="s">
        <v>246</v>
      </c>
      <c r="D15" s="4" t="s">
        <v>247</v>
      </c>
      <c r="E15" s="4" t="s">
        <v>248</v>
      </c>
      <c r="F15" s="4" t="s">
        <v>202</v>
      </c>
      <c r="G15" s="4" t="s">
        <v>93</v>
      </c>
      <c r="H15" s="4" t="s">
        <v>205</v>
      </c>
      <c r="I15" s="6">
        <v>142761.62299999999</v>
      </c>
      <c r="J15" s="6">
        <v>260580.30300000001</v>
      </c>
      <c r="K15" s="6">
        <v>378648.071</v>
      </c>
      <c r="L15" s="6">
        <v>671530.24100000004</v>
      </c>
      <c r="M15" s="6">
        <v>997230.03</v>
      </c>
      <c r="N15" s="6">
        <v>1437056.689</v>
      </c>
      <c r="O15" s="6">
        <v>1069681.537</v>
      </c>
      <c r="P15" s="6">
        <v>630895.10900000005</v>
      </c>
      <c r="Q15" s="6">
        <v>427893.42300000001</v>
      </c>
      <c r="R15" s="6">
        <v>312069.45600000001</v>
      </c>
      <c r="S15" s="6">
        <v>290865.201</v>
      </c>
      <c r="T15" s="6">
        <v>264472.75799999997</v>
      </c>
      <c r="U15" s="6">
        <v>218795.63200000001</v>
      </c>
      <c r="V15" s="6">
        <v>296539.74300000002</v>
      </c>
      <c r="W15" s="6">
        <v>462138.82</v>
      </c>
      <c r="X15" s="6">
        <v>864894.70499999996</v>
      </c>
      <c r="Y15" s="6">
        <v>1221072.01</v>
      </c>
      <c r="Z15" s="6">
        <v>1035712.243</v>
      </c>
      <c r="AA15" s="6">
        <v>1236694.254</v>
      </c>
      <c r="AB15" s="6">
        <v>856663.33299999998</v>
      </c>
      <c r="AC15" s="6">
        <v>648946.15800000005</v>
      </c>
      <c r="AD15" s="6">
        <v>466228.41399999999</v>
      </c>
      <c r="AE15" s="6">
        <v>398547.81300000002</v>
      </c>
      <c r="AF15" s="6">
        <v>281992.72600000002</v>
      </c>
      <c r="AG15" s="6">
        <v>329292.821</v>
      </c>
      <c r="AH15" s="6">
        <v>438931.09700000001</v>
      </c>
      <c r="AI15" s="6">
        <v>813990.69200000004</v>
      </c>
      <c r="AJ15" s="6">
        <v>948904.08200000005</v>
      </c>
      <c r="AK15" s="6">
        <v>1840850.0970000001</v>
      </c>
      <c r="AL15" s="6">
        <v>1826973.5519999999</v>
      </c>
      <c r="AM15" s="6">
        <v>2186624.7570000002</v>
      </c>
      <c r="AN15" s="6">
        <v>2290531.2859999998</v>
      </c>
      <c r="AO15" s="6">
        <v>1582928.46</v>
      </c>
      <c r="AP15" s="6">
        <v>954077.32499999995</v>
      </c>
      <c r="AQ15" s="6">
        <v>752251.15300000005</v>
      </c>
      <c r="AR15" s="6">
        <v>588348.77599999995</v>
      </c>
      <c r="AS15" s="6">
        <v>464474.77299999999</v>
      </c>
      <c r="AT15" s="6">
        <v>464474.77299999999</v>
      </c>
    </row>
    <row r="16" spans="1:46" x14ac:dyDescent="0.25">
      <c r="A16" s="4" t="s">
        <v>198</v>
      </c>
      <c r="B16" s="4" t="s">
        <v>207</v>
      </c>
      <c r="C16" s="4" t="s">
        <v>246</v>
      </c>
      <c r="D16" s="4" t="s">
        <v>247</v>
      </c>
      <c r="E16" s="4" t="s">
        <v>248</v>
      </c>
      <c r="F16" s="4" t="s">
        <v>202</v>
      </c>
      <c r="G16" s="4" t="s">
        <v>93</v>
      </c>
      <c r="H16" s="4" t="s">
        <v>249</v>
      </c>
      <c r="I16" s="7">
        <v>0.45900000000000002</v>
      </c>
      <c r="J16" s="7">
        <v>0.70899999999999996</v>
      </c>
      <c r="K16" s="7">
        <v>0.79</v>
      </c>
      <c r="L16" s="7">
        <v>1.0009999999999999</v>
      </c>
      <c r="M16" s="7">
        <v>1.369</v>
      </c>
      <c r="N16" s="7">
        <v>1.8620000000000001</v>
      </c>
      <c r="O16" s="7">
        <v>1.524</v>
      </c>
      <c r="P16" s="7">
        <v>1.1060000000000001</v>
      </c>
      <c r="Q16" s="7">
        <v>0.95399999999999996</v>
      </c>
      <c r="R16" s="7">
        <v>0.98499999999999999</v>
      </c>
      <c r="S16" s="7">
        <v>1.046</v>
      </c>
      <c r="T16" s="7">
        <v>1.0840000000000001</v>
      </c>
      <c r="U16" s="7">
        <v>0.97199999999999998</v>
      </c>
      <c r="V16" s="7">
        <v>1.0900000000000001</v>
      </c>
      <c r="W16" s="7">
        <v>1.115</v>
      </c>
      <c r="X16" s="7">
        <v>1.504</v>
      </c>
      <c r="Y16" s="7">
        <v>1.764</v>
      </c>
      <c r="Z16" s="7">
        <v>1.6379999999999999</v>
      </c>
      <c r="AA16" s="7">
        <v>1.96</v>
      </c>
      <c r="AB16" s="7">
        <v>1.6080000000000001</v>
      </c>
      <c r="AC16" s="7">
        <v>1.3109999999999999</v>
      </c>
      <c r="AD16" s="7">
        <v>1.1759999999999999</v>
      </c>
      <c r="AE16" s="7">
        <v>1.1140000000000001</v>
      </c>
      <c r="AF16" s="7">
        <v>0.83099999999999996</v>
      </c>
      <c r="AG16" s="7">
        <v>0.97099999999999997</v>
      </c>
      <c r="AH16" s="7">
        <v>1.087</v>
      </c>
      <c r="AI16" s="7">
        <v>1.5720000000000001</v>
      </c>
      <c r="AJ16" s="7">
        <v>1.57</v>
      </c>
      <c r="AK16" s="7">
        <v>2.6190000000000002</v>
      </c>
      <c r="AL16" s="7">
        <v>2.395</v>
      </c>
      <c r="AM16" s="7">
        <v>2.3029999999999999</v>
      </c>
      <c r="AN16" s="7">
        <v>2.621</v>
      </c>
      <c r="AO16" s="7">
        <v>2.1829999999999998</v>
      </c>
      <c r="AP16" s="7">
        <v>1.4530000000000001</v>
      </c>
      <c r="AQ16" s="7">
        <v>1.2949999999999999</v>
      </c>
      <c r="AR16" s="7">
        <v>1.4039999999999999</v>
      </c>
      <c r="AS16" s="7">
        <v>1.6719999999999999</v>
      </c>
      <c r="AT16" s="7">
        <v>0.51400000000000001</v>
      </c>
    </row>
    <row r="17" spans="1:46" x14ac:dyDescent="0.25">
      <c r="A17" s="4" t="s">
        <v>198</v>
      </c>
      <c r="B17" s="4" t="s">
        <v>207</v>
      </c>
      <c r="C17" s="4" t="s">
        <v>246</v>
      </c>
      <c r="D17" s="4" t="s">
        <v>247</v>
      </c>
      <c r="E17" s="4" t="s">
        <v>248</v>
      </c>
      <c r="F17" s="4" t="s">
        <v>202</v>
      </c>
      <c r="G17" s="4" t="s">
        <v>93</v>
      </c>
      <c r="H17" s="4" t="s">
        <v>250</v>
      </c>
      <c r="I17" s="7">
        <v>27.221</v>
      </c>
      <c r="J17" s="7">
        <v>28.83</v>
      </c>
      <c r="K17" s="7">
        <v>28.466000000000001</v>
      </c>
      <c r="L17" s="7">
        <v>34.478999999999999</v>
      </c>
      <c r="M17" s="7">
        <v>43.439</v>
      </c>
      <c r="N17" s="7">
        <v>49.25</v>
      </c>
      <c r="O17" s="7">
        <v>43.828000000000003</v>
      </c>
      <c r="P17" s="7">
        <v>47.152000000000001</v>
      </c>
      <c r="Q17" s="7">
        <v>46.314</v>
      </c>
      <c r="R17" s="7">
        <v>48.734000000000002</v>
      </c>
      <c r="S17" s="7">
        <v>50.951999999999998</v>
      </c>
      <c r="T17" s="7">
        <v>51.716999999999999</v>
      </c>
      <c r="U17" s="7">
        <v>48.527000000000001</v>
      </c>
      <c r="V17" s="7">
        <v>46.655999999999999</v>
      </c>
      <c r="W17" s="7">
        <v>50.021000000000001</v>
      </c>
      <c r="X17" s="7">
        <v>50.375</v>
      </c>
      <c r="Y17" s="7">
        <v>52.524999999999999</v>
      </c>
      <c r="Z17" s="7">
        <v>52.704999999999998</v>
      </c>
      <c r="AA17" s="7">
        <v>48.768999999999998</v>
      </c>
      <c r="AB17" s="7">
        <v>53.444000000000003</v>
      </c>
      <c r="AC17" s="7">
        <v>52.052</v>
      </c>
      <c r="AD17" s="7">
        <v>47.331000000000003</v>
      </c>
      <c r="AE17" s="7">
        <v>43.296999999999997</v>
      </c>
      <c r="AF17" s="7">
        <v>45.578000000000003</v>
      </c>
      <c r="AG17" s="7">
        <v>47.445</v>
      </c>
      <c r="AH17" s="7">
        <v>50.033000000000001</v>
      </c>
      <c r="AI17" s="7">
        <v>58.823</v>
      </c>
      <c r="AJ17" s="7">
        <v>62.103999999999999</v>
      </c>
      <c r="AK17" s="7">
        <v>65.914000000000001</v>
      </c>
      <c r="AL17" s="7">
        <v>64.757000000000005</v>
      </c>
      <c r="AM17" s="7">
        <v>65.52</v>
      </c>
      <c r="AN17" s="7">
        <v>60.936999999999998</v>
      </c>
      <c r="AO17" s="7">
        <v>50.631</v>
      </c>
      <c r="AP17" s="7">
        <v>46.442</v>
      </c>
      <c r="AQ17" s="7">
        <v>35.018999999999998</v>
      </c>
      <c r="AR17" s="7">
        <v>36.771000000000001</v>
      </c>
      <c r="AS17" s="7">
        <v>35.634</v>
      </c>
      <c r="AT17" s="5">
        <v>3904.5169999999998</v>
      </c>
    </row>
    <row r="18" spans="1:46" x14ac:dyDescent="0.25">
      <c r="A18" s="4" t="s">
        <v>198</v>
      </c>
      <c r="B18" s="4" t="s">
        <v>207</v>
      </c>
      <c r="C18" s="4" t="s">
        <v>246</v>
      </c>
      <c r="D18" s="4" t="s">
        <v>247</v>
      </c>
      <c r="E18" s="4" t="s">
        <v>248</v>
      </c>
      <c r="F18" s="4" t="s">
        <v>202</v>
      </c>
      <c r="G18" s="4" t="s">
        <v>93</v>
      </c>
      <c r="H18" s="4" t="s">
        <v>251</v>
      </c>
      <c r="I18" s="7">
        <v>19.865946900000001</v>
      </c>
      <c r="J18" s="7">
        <v>18.175816999999999</v>
      </c>
      <c r="K18" s="7">
        <v>19.324321699999999</v>
      </c>
      <c r="L18" s="7">
        <v>21.625630999999998</v>
      </c>
      <c r="M18" s="7">
        <v>24.488051500000001</v>
      </c>
      <c r="N18" s="7">
        <v>29.842549999999999</v>
      </c>
      <c r="O18" s="7">
        <v>28.199466999999999</v>
      </c>
      <c r="P18" s="7">
        <v>27.908267200000001</v>
      </c>
      <c r="Q18" s="7">
        <v>26.1061552</v>
      </c>
      <c r="R18" s="7">
        <v>27.787412</v>
      </c>
      <c r="S18" s="7">
        <v>25.967655100000002</v>
      </c>
      <c r="T18" s="7">
        <v>24.213685399999999</v>
      </c>
      <c r="U18" s="7">
        <v>24.141902699999999</v>
      </c>
      <c r="V18" s="7">
        <v>23.4121542</v>
      </c>
      <c r="W18" s="7">
        <v>26.5722962</v>
      </c>
      <c r="X18" s="7">
        <v>29.665564400000001</v>
      </c>
      <c r="Y18" s="7">
        <v>31.494574400000001</v>
      </c>
      <c r="Z18" s="7">
        <v>31.296677200000001</v>
      </c>
      <c r="AA18" s="7">
        <v>30.776997300000001</v>
      </c>
      <c r="AB18" s="7">
        <v>30.9054775</v>
      </c>
      <c r="AC18" s="7">
        <v>30.5748715</v>
      </c>
      <c r="AD18" s="7">
        <v>31.239389299999999</v>
      </c>
      <c r="AE18" s="7">
        <v>30.267239499999999</v>
      </c>
      <c r="AF18" s="7">
        <v>30.488800300000001</v>
      </c>
      <c r="AG18" s="7">
        <v>31.6969885</v>
      </c>
      <c r="AH18" s="7">
        <v>32.6446094</v>
      </c>
      <c r="AI18" s="7">
        <v>34.789925400000001</v>
      </c>
      <c r="AJ18" s="7">
        <v>36.253471500000003</v>
      </c>
      <c r="AK18" s="7">
        <v>39.021081100000004</v>
      </c>
      <c r="AL18" s="7">
        <v>40.3297624</v>
      </c>
      <c r="AM18" s="7">
        <v>39.177101499999999</v>
      </c>
      <c r="AN18" s="7">
        <v>35.938263800000001</v>
      </c>
      <c r="AO18" s="7">
        <v>29.6755523</v>
      </c>
      <c r="AP18" s="7">
        <v>28.494769900000001</v>
      </c>
      <c r="AQ18" s="7">
        <v>23.471915200000002</v>
      </c>
      <c r="AR18" s="7">
        <v>23.452553399999999</v>
      </c>
      <c r="AS18" s="7">
        <v>21.4819739</v>
      </c>
      <c r="AT18" s="7">
        <v>35.634</v>
      </c>
    </row>
    <row r="19" spans="1:46" x14ac:dyDescent="0.25">
      <c r="A19" s="4" t="s">
        <v>198</v>
      </c>
      <c r="B19" s="4" t="s">
        <v>207</v>
      </c>
      <c r="C19" s="4" t="s">
        <v>246</v>
      </c>
      <c r="D19" s="4" t="s">
        <v>247</v>
      </c>
      <c r="E19" s="4" t="s">
        <v>248</v>
      </c>
      <c r="F19" s="4" t="s">
        <v>202</v>
      </c>
      <c r="G19" s="4" t="s">
        <v>93</v>
      </c>
      <c r="H19" s="4" t="s">
        <v>252</v>
      </c>
      <c r="I19" s="16">
        <v>2.23</v>
      </c>
      <c r="J19" s="16">
        <v>1.8839999999999999</v>
      </c>
      <c r="K19" s="16">
        <v>2.2930000000000001</v>
      </c>
      <c r="L19" s="16">
        <v>2.57</v>
      </c>
      <c r="M19" s="16">
        <v>2.3210000000000002</v>
      </c>
      <c r="N19" s="16">
        <v>2.78</v>
      </c>
      <c r="O19" s="16">
        <v>3.0590000000000002</v>
      </c>
      <c r="P19" s="16">
        <v>3.14</v>
      </c>
      <c r="Q19" s="16">
        <v>3.452</v>
      </c>
      <c r="R19" s="16">
        <v>3.6320000000000001</v>
      </c>
      <c r="S19" s="16">
        <v>3.3740000000000001</v>
      </c>
      <c r="T19" s="16">
        <v>3.532</v>
      </c>
      <c r="U19" s="16">
        <v>3.6070000000000002</v>
      </c>
      <c r="V19" s="16">
        <v>3.4590000000000001</v>
      </c>
      <c r="W19" s="16">
        <v>3.3769999999999998</v>
      </c>
      <c r="X19" s="16">
        <v>3.1789999999999998</v>
      </c>
      <c r="Y19" s="16">
        <v>2.8090000000000002</v>
      </c>
      <c r="Z19" s="16">
        <v>3.226</v>
      </c>
      <c r="AA19" s="16">
        <v>3.5590000000000002</v>
      </c>
      <c r="AB19" s="16">
        <v>3.8519999999999999</v>
      </c>
      <c r="AC19" s="16">
        <v>3.8250000000000002</v>
      </c>
      <c r="AD19" s="16">
        <v>3.6059999999999999</v>
      </c>
      <c r="AE19" s="16">
        <v>3.8929999999999998</v>
      </c>
      <c r="AF19" s="16">
        <v>4.0880000000000001</v>
      </c>
      <c r="AG19" s="16">
        <v>3.657</v>
      </c>
      <c r="AH19" s="16">
        <v>3.62</v>
      </c>
      <c r="AI19" s="16">
        <v>3.9329999999999998</v>
      </c>
      <c r="AJ19" s="16">
        <v>3.9390000000000001</v>
      </c>
      <c r="AK19" s="16">
        <v>3.722</v>
      </c>
      <c r="AL19" s="16">
        <v>3.129</v>
      </c>
      <c r="AM19" s="16">
        <v>3.1859999999999999</v>
      </c>
      <c r="AN19" s="16">
        <v>2.5470000000000002</v>
      </c>
      <c r="AO19" s="16">
        <v>2.1579999999999999</v>
      </c>
      <c r="AP19" s="16">
        <v>1.9390000000000001</v>
      </c>
      <c r="AQ19" s="16">
        <v>2.1019999999999999</v>
      </c>
      <c r="AR19" s="16">
        <v>2.1640000000000001</v>
      </c>
      <c r="AS19" s="16">
        <v>2.044</v>
      </c>
      <c r="AT19" s="7">
        <v>21.4819739</v>
      </c>
    </row>
    <row r="20" spans="1:46" x14ac:dyDescent="0.25">
      <c r="A20" s="4" t="s">
        <v>198</v>
      </c>
      <c r="B20" s="4" t="s">
        <v>207</v>
      </c>
      <c r="C20" s="4" t="s">
        <v>246</v>
      </c>
      <c r="D20" s="4" t="s">
        <v>247</v>
      </c>
      <c r="E20" s="4" t="s">
        <v>248</v>
      </c>
      <c r="F20" s="4" t="s">
        <v>202</v>
      </c>
      <c r="G20" s="4" t="s">
        <v>116</v>
      </c>
      <c r="H20" s="4" t="s">
        <v>151</v>
      </c>
      <c r="I20" s="9">
        <v>0</v>
      </c>
      <c r="J20" s="9">
        <v>0</v>
      </c>
      <c r="K20" s="5">
        <v>0</v>
      </c>
      <c r="L20" s="5">
        <v>25.719000000000001</v>
      </c>
      <c r="M20" s="5">
        <v>0</v>
      </c>
      <c r="N20" s="5">
        <v>27.169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60.09</v>
      </c>
      <c r="AB20" s="8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5">
        <v>0</v>
      </c>
      <c r="AO20" s="5">
        <v>0</v>
      </c>
      <c r="AP20" s="5">
        <v>75.206999999999994</v>
      </c>
      <c r="AQ20" s="5">
        <v>0</v>
      </c>
      <c r="AR20" s="5">
        <v>0</v>
      </c>
      <c r="AS20" s="5">
        <v>0</v>
      </c>
      <c r="AT20" s="5">
        <v>0</v>
      </c>
    </row>
    <row r="21" spans="1:46" x14ac:dyDescent="0.25">
      <c r="A21" s="4" t="s">
        <v>198</v>
      </c>
      <c r="B21" s="4" t="s">
        <v>207</v>
      </c>
      <c r="C21" s="4" t="s">
        <v>246</v>
      </c>
      <c r="D21" s="4" t="s">
        <v>247</v>
      </c>
      <c r="E21" s="4" t="s">
        <v>248</v>
      </c>
      <c r="F21" s="4" t="s">
        <v>202</v>
      </c>
      <c r="G21" s="4" t="s">
        <v>116</v>
      </c>
      <c r="H21" s="4" t="s">
        <v>205</v>
      </c>
      <c r="I21" s="9">
        <v>0</v>
      </c>
      <c r="J21" s="9">
        <v>0</v>
      </c>
      <c r="K21" s="6">
        <v>0</v>
      </c>
      <c r="L21" s="6">
        <v>4346.46</v>
      </c>
      <c r="M21" s="6">
        <v>0</v>
      </c>
      <c r="N21" s="6">
        <v>4591.5919999999996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19228.931</v>
      </c>
      <c r="AB21" s="10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6">
        <v>0</v>
      </c>
      <c r="AO21" s="6">
        <v>0</v>
      </c>
      <c r="AP21" s="6">
        <v>22637.359</v>
      </c>
      <c r="AQ21" s="6">
        <v>0</v>
      </c>
      <c r="AR21" s="6">
        <v>0</v>
      </c>
      <c r="AS21" s="6">
        <v>0</v>
      </c>
      <c r="AT21" s="6">
        <v>0</v>
      </c>
    </row>
    <row r="22" spans="1:46" x14ac:dyDescent="0.25">
      <c r="A22" s="4" t="s">
        <v>198</v>
      </c>
      <c r="B22" s="4" t="s">
        <v>207</v>
      </c>
      <c r="C22" s="4" t="s">
        <v>246</v>
      </c>
      <c r="D22" s="4" t="s">
        <v>247</v>
      </c>
      <c r="E22" s="4" t="s">
        <v>248</v>
      </c>
      <c r="F22" s="4" t="s">
        <v>202</v>
      </c>
      <c r="G22" s="4" t="s">
        <v>116</v>
      </c>
      <c r="H22" s="4" t="s">
        <v>249</v>
      </c>
      <c r="I22" s="9">
        <v>0</v>
      </c>
      <c r="J22" s="9">
        <v>0</v>
      </c>
      <c r="K22" s="7">
        <v>0</v>
      </c>
      <c r="L22" s="7">
        <v>1.0999999999999999E-2</v>
      </c>
      <c r="M22" s="7">
        <v>0</v>
      </c>
      <c r="N22" s="7">
        <v>0.01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2.4E-2</v>
      </c>
      <c r="AB22" s="11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7">
        <v>0</v>
      </c>
      <c r="AO22" s="7">
        <v>0</v>
      </c>
      <c r="AP22" s="7">
        <v>1.7000000000000001E-2</v>
      </c>
      <c r="AQ22" s="7">
        <v>0</v>
      </c>
      <c r="AR22" s="7">
        <v>0</v>
      </c>
      <c r="AS22" s="7">
        <v>0</v>
      </c>
      <c r="AT22" s="7">
        <v>0</v>
      </c>
    </row>
    <row r="23" spans="1:46" x14ac:dyDescent="0.25">
      <c r="A23" s="4" t="s">
        <v>198</v>
      </c>
      <c r="B23" s="4" t="s">
        <v>207</v>
      </c>
      <c r="C23" s="4" t="s">
        <v>246</v>
      </c>
      <c r="D23" s="4" t="s">
        <v>247</v>
      </c>
      <c r="E23" s="4" t="s">
        <v>248</v>
      </c>
      <c r="F23" s="4" t="s">
        <v>202</v>
      </c>
      <c r="G23" s="4" t="s">
        <v>116</v>
      </c>
      <c r="H23" s="4" t="s">
        <v>250</v>
      </c>
      <c r="I23" s="9">
        <v>0</v>
      </c>
      <c r="J23" s="9">
        <v>0</v>
      </c>
      <c r="K23" s="7">
        <v>1.3460000000000001</v>
      </c>
      <c r="L23" s="7">
        <v>2.2730000000000001</v>
      </c>
      <c r="M23" s="7">
        <v>3.008</v>
      </c>
      <c r="N23" s="7">
        <v>2.5259999999999998</v>
      </c>
      <c r="O23" s="7">
        <v>0.82899999999999996</v>
      </c>
      <c r="P23" s="7">
        <v>1.06</v>
      </c>
      <c r="Q23" s="7">
        <v>0.63200000000000001</v>
      </c>
      <c r="R23" s="7">
        <v>0.501</v>
      </c>
      <c r="S23" s="7">
        <v>0</v>
      </c>
      <c r="T23" s="7">
        <v>0.28499999999999998</v>
      </c>
      <c r="U23" s="7">
        <v>7.0999999999999994E-2</v>
      </c>
      <c r="V23" s="7">
        <v>0.39900000000000002</v>
      </c>
      <c r="W23" s="7">
        <v>0.224</v>
      </c>
      <c r="X23" s="7">
        <v>0.52400000000000002</v>
      </c>
      <c r="Y23" s="7">
        <v>0.35399999999999998</v>
      </c>
      <c r="Z23" s="7">
        <v>0.31900000000000001</v>
      </c>
      <c r="AA23" s="7">
        <v>0.58399999999999996</v>
      </c>
      <c r="AB23" s="11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7">
        <v>0.35699999999999998</v>
      </c>
      <c r="AO23" s="7">
        <v>0.33900000000000002</v>
      </c>
      <c r="AP23" s="7">
        <v>1.163</v>
      </c>
      <c r="AQ23" s="7">
        <v>0.85699999999999998</v>
      </c>
      <c r="AR23" s="7">
        <v>0.48399999999999999</v>
      </c>
      <c r="AS23" s="7">
        <v>1.089</v>
      </c>
      <c r="AT23" s="5">
        <v>121.01600000000001</v>
      </c>
    </row>
    <row r="24" spans="1:46" x14ac:dyDescent="0.25">
      <c r="A24" s="4" t="s">
        <v>198</v>
      </c>
      <c r="B24" s="4" t="s">
        <v>207</v>
      </c>
      <c r="C24" s="4" t="s">
        <v>246</v>
      </c>
      <c r="D24" s="4" t="s">
        <v>247</v>
      </c>
      <c r="E24" s="4" t="s">
        <v>248</v>
      </c>
      <c r="F24" s="4" t="s">
        <v>202</v>
      </c>
      <c r="G24" s="4" t="s">
        <v>116</v>
      </c>
      <c r="H24" s="4" t="s">
        <v>251</v>
      </c>
      <c r="I24" s="9">
        <v>0</v>
      </c>
      <c r="J24" s="9">
        <v>0</v>
      </c>
      <c r="K24" s="7">
        <v>1.0670983999999999</v>
      </c>
      <c r="L24" s="7">
        <v>1.3870673</v>
      </c>
      <c r="M24" s="7">
        <v>1.4449928999999999</v>
      </c>
      <c r="N24" s="7">
        <v>1.3164842999999999</v>
      </c>
      <c r="O24" s="7">
        <v>0.94326790000000005</v>
      </c>
      <c r="P24" s="7">
        <v>0.94326659999999996</v>
      </c>
      <c r="Q24" s="7">
        <v>0.96025419999999995</v>
      </c>
      <c r="R24" s="7">
        <v>0.87675219999999998</v>
      </c>
      <c r="S24" s="7">
        <v>0.87675250000000005</v>
      </c>
      <c r="T24" s="7">
        <v>0.91660790000000003</v>
      </c>
      <c r="U24" s="7">
        <v>0.91660790000000003</v>
      </c>
      <c r="V24" s="7">
        <v>0.80661059999999996</v>
      </c>
      <c r="W24" s="7">
        <v>0.77559060000000002</v>
      </c>
      <c r="X24" s="7">
        <v>0.84614869999999998</v>
      </c>
      <c r="Y24" s="7">
        <v>0.84615050000000003</v>
      </c>
      <c r="Z24" s="7">
        <v>0.78571120000000005</v>
      </c>
      <c r="AA24" s="7">
        <v>0.78571179999999996</v>
      </c>
      <c r="AB24" s="7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7">
        <v>0.39247660000000001</v>
      </c>
      <c r="AO24" s="7">
        <v>0.49059639999999999</v>
      </c>
      <c r="AP24" s="7">
        <v>0.7852924</v>
      </c>
      <c r="AQ24" s="7">
        <v>0.98566929999999997</v>
      </c>
      <c r="AR24" s="7">
        <v>1.0950529</v>
      </c>
      <c r="AS24" s="7">
        <v>0.9048271</v>
      </c>
      <c r="AT24" s="7">
        <v>1.089</v>
      </c>
    </row>
    <row r="25" spans="1:46" x14ac:dyDescent="0.25">
      <c r="A25" s="4" t="s">
        <v>198</v>
      </c>
      <c r="B25" s="4" t="s">
        <v>207</v>
      </c>
      <c r="C25" s="4" t="s">
        <v>246</v>
      </c>
      <c r="D25" s="4" t="s">
        <v>247</v>
      </c>
      <c r="E25" s="4" t="s">
        <v>248</v>
      </c>
      <c r="F25" s="4" t="s">
        <v>202</v>
      </c>
      <c r="G25" s="4" t="s">
        <v>116</v>
      </c>
      <c r="H25" s="4" t="s">
        <v>252</v>
      </c>
      <c r="I25" s="9">
        <v>0</v>
      </c>
      <c r="J25" s="9">
        <v>0</v>
      </c>
      <c r="K25" s="16">
        <v>0.05</v>
      </c>
      <c r="L25" s="16">
        <v>5.8999999999999997E-2</v>
      </c>
      <c r="M25" s="16">
        <v>0.06</v>
      </c>
      <c r="N25" s="16">
        <v>4.2999999999999997E-2</v>
      </c>
      <c r="O25" s="16">
        <v>3.9E-2</v>
      </c>
      <c r="P25" s="16">
        <v>4.2000000000000003E-2</v>
      </c>
      <c r="Q25" s="16">
        <v>4.3999999999999997E-2</v>
      </c>
      <c r="R25" s="16">
        <v>4.1000000000000002E-2</v>
      </c>
      <c r="S25" s="16">
        <v>4.1000000000000002E-2</v>
      </c>
      <c r="T25" s="16">
        <v>4.2000000000000003E-2</v>
      </c>
      <c r="U25" s="16">
        <v>4.3999999999999997E-2</v>
      </c>
      <c r="V25" s="16">
        <v>3.9E-2</v>
      </c>
      <c r="W25" s="16">
        <v>3.4000000000000002E-2</v>
      </c>
      <c r="X25" s="16">
        <v>3.6999999999999998E-2</v>
      </c>
      <c r="Y25" s="16">
        <v>3.4000000000000002E-2</v>
      </c>
      <c r="Z25" s="16">
        <v>2.8000000000000001E-2</v>
      </c>
      <c r="AA25" s="17">
        <v>0</v>
      </c>
      <c r="AB25" s="17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16">
        <v>2.7E-2</v>
      </c>
      <c r="AO25" s="16">
        <v>3.5000000000000003E-2</v>
      </c>
      <c r="AP25" s="16">
        <v>5.6000000000000001E-2</v>
      </c>
      <c r="AQ25" s="16">
        <v>7.0000000000000007E-2</v>
      </c>
      <c r="AR25" s="16">
        <v>7.5999999999999998E-2</v>
      </c>
      <c r="AS25" s="16">
        <v>6.3E-2</v>
      </c>
      <c r="AT25" s="7">
        <v>0.9048271</v>
      </c>
    </row>
    <row r="26" spans="1:46" x14ac:dyDescent="0.25">
      <c r="A26" s="4" t="s">
        <v>198</v>
      </c>
      <c r="B26" s="4" t="s">
        <v>207</v>
      </c>
      <c r="C26" s="4" t="s">
        <v>246</v>
      </c>
      <c r="D26" s="4" t="s">
        <v>247</v>
      </c>
      <c r="E26" s="4" t="s">
        <v>248</v>
      </c>
      <c r="F26" s="4" t="s">
        <v>202</v>
      </c>
      <c r="G26" s="4" t="s">
        <v>103</v>
      </c>
      <c r="H26" s="4" t="s">
        <v>151</v>
      </c>
      <c r="I26" s="5">
        <v>4458.3590000000004</v>
      </c>
      <c r="J26" s="5">
        <v>3998.2750000000001</v>
      </c>
      <c r="K26" s="5">
        <v>6996.2290000000003</v>
      </c>
      <c r="L26" s="5">
        <v>10391.58</v>
      </c>
      <c r="M26" s="5">
        <v>11513.437</v>
      </c>
      <c r="N26" s="5">
        <v>13467.191999999999</v>
      </c>
      <c r="O26" s="5">
        <v>12638.249</v>
      </c>
      <c r="P26" s="5">
        <v>9981.0030000000006</v>
      </c>
      <c r="Q26" s="5">
        <v>6242.107</v>
      </c>
      <c r="R26" s="5">
        <v>4222.357</v>
      </c>
      <c r="S26" s="5">
        <v>4375.7510000000002</v>
      </c>
      <c r="T26" s="5">
        <v>3813.3939999999998</v>
      </c>
      <c r="U26" s="5">
        <v>3407.5309999999999</v>
      </c>
      <c r="V26" s="5">
        <v>2949.22</v>
      </c>
      <c r="W26" s="5">
        <v>5341.7179999999998</v>
      </c>
      <c r="X26" s="5">
        <v>10582.058999999999</v>
      </c>
      <c r="Y26" s="5">
        <v>16421.535</v>
      </c>
      <c r="Z26" s="5">
        <v>13438.974</v>
      </c>
      <c r="AA26" s="5">
        <v>15363.421</v>
      </c>
      <c r="AB26" s="5">
        <v>11772.316999999999</v>
      </c>
      <c r="AC26" s="5">
        <v>9348.0290000000005</v>
      </c>
      <c r="AD26" s="5">
        <v>7037.741</v>
      </c>
      <c r="AE26" s="5">
        <v>5808.1869999999999</v>
      </c>
      <c r="AF26" s="5">
        <v>5670.22</v>
      </c>
      <c r="AG26" s="5">
        <v>5198.22</v>
      </c>
      <c r="AH26" s="5">
        <v>6940.5050000000001</v>
      </c>
      <c r="AI26" s="5">
        <v>8928.7209999999995</v>
      </c>
      <c r="AJ26" s="5">
        <v>10227.819</v>
      </c>
      <c r="AK26" s="5">
        <v>15216.749</v>
      </c>
      <c r="AL26" s="5">
        <v>16683.183000000001</v>
      </c>
      <c r="AM26" s="5">
        <v>18869.507000000001</v>
      </c>
      <c r="AN26" s="5">
        <v>18958.787</v>
      </c>
      <c r="AO26" s="5">
        <v>13573.27</v>
      </c>
      <c r="AP26" s="5">
        <v>9012.2749999999996</v>
      </c>
      <c r="AQ26" s="5">
        <v>7774.335</v>
      </c>
      <c r="AR26" s="5">
        <v>6080.5870000000004</v>
      </c>
      <c r="AS26" s="5">
        <v>3132.8029999999999</v>
      </c>
      <c r="AT26" s="5">
        <v>3132.8029999999999</v>
      </c>
    </row>
    <row r="27" spans="1:46" x14ac:dyDescent="0.25">
      <c r="A27" s="4" t="s">
        <v>198</v>
      </c>
      <c r="B27" s="4" t="s">
        <v>207</v>
      </c>
      <c r="C27" s="4" t="s">
        <v>246</v>
      </c>
      <c r="D27" s="4" t="s">
        <v>247</v>
      </c>
      <c r="E27" s="4" t="s">
        <v>248</v>
      </c>
      <c r="F27" s="4" t="s">
        <v>202</v>
      </c>
      <c r="G27" s="4" t="s">
        <v>103</v>
      </c>
      <c r="H27" s="4" t="s">
        <v>205</v>
      </c>
      <c r="I27" s="6">
        <v>424752.99800000002</v>
      </c>
      <c r="J27" s="6">
        <v>391639.46399999998</v>
      </c>
      <c r="K27" s="6">
        <v>692440.88899999997</v>
      </c>
      <c r="L27" s="6">
        <v>1055945.307</v>
      </c>
      <c r="M27" s="6">
        <v>1175098.156</v>
      </c>
      <c r="N27" s="6">
        <v>1405218.973</v>
      </c>
      <c r="O27" s="6">
        <v>1276126.702</v>
      </c>
      <c r="P27" s="6">
        <v>995795.12300000002</v>
      </c>
      <c r="Q27" s="6">
        <v>632984.00199999998</v>
      </c>
      <c r="R27" s="6">
        <v>422758.59700000001</v>
      </c>
      <c r="S27" s="6">
        <v>449318.11700000003</v>
      </c>
      <c r="T27" s="6">
        <v>406515.80699999997</v>
      </c>
      <c r="U27" s="6">
        <v>364858.12</v>
      </c>
      <c r="V27" s="6">
        <v>325338.11599999998</v>
      </c>
      <c r="W27" s="6">
        <v>563123.58400000003</v>
      </c>
      <c r="X27" s="6">
        <v>1093412.9240000001</v>
      </c>
      <c r="Y27" s="6">
        <v>1778228.54</v>
      </c>
      <c r="Z27" s="6">
        <v>1491122.121</v>
      </c>
      <c r="AA27" s="6">
        <v>1644642.4739999999</v>
      </c>
      <c r="AB27" s="6">
        <v>1263438.42</v>
      </c>
      <c r="AC27" s="6">
        <v>946874.62199999997</v>
      </c>
      <c r="AD27" s="6">
        <v>714320.09100000001</v>
      </c>
      <c r="AE27" s="6">
        <v>618437.22600000002</v>
      </c>
      <c r="AF27" s="6">
        <v>606252.38699999999</v>
      </c>
      <c r="AG27" s="6">
        <v>532932.09699999995</v>
      </c>
      <c r="AH27" s="6">
        <v>726524.06900000002</v>
      </c>
      <c r="AI27" s="6">
        <v>1008827.86</v>
      </c>
      <c r="AJ27" s="6">
        <v>1150182.5430000001</v>
      </c>
      <c r="AK27" s="6">
        <v>1773550.7660000001</v>
      </c>
      <c r="AL27" s="6">
        <v>2030134.08</v>
      </c>
      <c r="AM27" s="6">
        <v>2249639.3670000001</v>
      </c>
      <c r="AN27" s="6">
        <v>2322514.3229999999</v>
      </c>
      <c r="AO27" s="6">
        <v>1573760.9010000001</v>
      </c>
      <c r="AP27" s="6">
        <v>1013599.746</v>
      </c>
      <c r="AQ27" s="6">
        <v>948158.24600000004</v>
      </c>
      <c r="AR27" s="6">
        <v>736514.174</v>
      </c>
      <c r="AS27" s="6">
        <v>356709.38400000002</v>
      </c>
      <c r="AT27" s="6">
        <v>356709.38400000002</v>
      </c>
    </row>
    <row r="28" spans="1:46" x14ac:dyDescent="0.25">
      <c r="A28" s="4" t="s">
        <v>198</v>
      </c>
      <c r="B28" s="4" t="s">
        <v>207</v>
      </c>
      <c r="C28" s="4" t="s">
        <v>246</v>
      </c>
      <c r="D28" s="4" t="s">
        <v>247</v>
      </c>
      <c r="E28" s="4" t="s">
        <v>248</v>
      </c>
      <c r="F28" s="4" t="s">
        <v>202</v>
      </c>
      <c r="G28" s="4" t="s">
        <v>103</v>
      </c>
      <c r="H28" s="4" t="s">
        <v>249</v>
      </c>
      <c r="I28" s="7">
        <v>1.224</v>
      </c>
      <c r="J28" s="7">
        <v>0.90100000000000002</v>
      </c>
      <c r="K28" s="7">
        <v>1.331</v>
      </c>
      <c r="L28" s="7">
        <v>1.427</v>
      </c>
      <c r="M28" s="7">
        <v>1.3919999999999999</v>
      </c>
      <c r="N28" s="7">
        <v>1.5029999999999999</v>
      </c>
      <c r="O28" s="7">
        <v>1.464</v>
      </c>
      <c r="P28" s="7">
        <v>1.4990000000000001</v>
      </c>
      <c r="Q28" s="7">
        <v>1.22</v>
      </c>
      <c r="R28" s="7">
        <v>1.1399999999999999</v>
      </c>
      <c r="S28" s="7">
        <v>1.45</v>
      </c>
      <c r="T28" s="7">
        <v>1.411</v>
      </c>
      <c r="U28" s="7">
        <v>1.2190000000000001</v>
      </c>
      <c r="V28" s="7">
        <v>0.92700000000000005</v>
      </c>
      <c r="W28" s="7">
        <v>1.1539999999999999</v>
      </c>
      <c r="X28" s="7">
        <v>1.675</v>
      </c>
      <c r="Y28" s="7">
        <v>2.1019999999999999</v>
      </c>
      <c r="Z28" s="7">
        <v>1.9330000000000001</v>
      </c>
      <c r="AA28" s="7">
        <v>2.052</v>
      </c>
      <c r="AB28" s="7">
        <v>1.9450000000000001</v>
      </c>
      <c r="AC28" s="7">
        <v>1.673</v>
      </c>
      <c r="AD28" s="7">
        <v>1.5960000000000001</v>
      </c>
      <c r="AE28" s="7">
        <v>1.6040000000000001</v>
      </c>
      <c r="AF28" s="7">
        <v>1.6859999999999999</v>
      </c>
      <c r="AG28" s="7">
        <v>1.4239999999999999</v>
      </c>
      <c r="AH28" s="7">
        <v>1.661</v>
      </c>
      <c r="AI28" s="7">
        <v>1.9059999999999999</v>
      </c>
      <c r="AJ28" s="7">
        <v>1.7749999999999999</v>
      </c>
      <c r="AK28" s="7">
        <v>2.3839999999999999</v>
      </c>
      <c r="AL28" s="7">
        <v>2.508</v>
      </c>
      <c r="AM28" s="7">
        <v>2.0390000000000001</v>
      </c>
      <c r="AN28" s="7">
        <v>2.4590000000000001</v>
      </c>
      <c r="AO28" s="7">
        <v>1.9470000000000001</v>
      </c>
      <c r="AP28" s="7">
        <v>1.413</v>
      </c>
      <c r="AQ28" s="7">
        <v>1.61</v>
      </c>
      <c r="AR28" s="7">
        <v>1.7769999999999999</v>
      </c>
      <c r="AS28" s="7">
        <v>1.2869999999999999</v>
      </c>
      <c r="AT28" s="7">
        <v>0.92300000000000004</v>
      </c>
    </row>
    <row r="29" spans="1:46" x14ac:dyDescent="0.25">
      <c r="A29" s="4" t="s">
        <v>198</v>
      </c>
      <c r="B29" s="4" t="s">
        <v>207</v>
      </c>
      <c r="C29" s="4" t="s">
        <v>246</v>
      </c>
      <c r="D29" s="4" t="s">
        <v>247</v>
      </c>
      <c r="E29" s="4" t="s">
        <v>248</v>
      </c>
      <c r="F29" s="4" t="s">
        <v>202</v>
      </c>
      <c r="G29" s="4" t="s">
        <v>103</v>
      </c>
      <c r="H29" s="4" t="s">
        <v>250</v>
      </c>
      <c r="I29" s="7">
        <v>64.320999999999998</v>
      </c>
      <c r="J29" s="7">
        <v>60.69</v>
      </c>
      <c r="K29" s="7">
        <v>64.828000000000003</v>
      </c>
      <c r="L29" s="7">
        <v>65.896000000000001</v>
      </c>
      <c r="M29" s="7">
        <v>63.287999999999997</v>
      </c>
      <c r="N29" s="7">
        <v>61.707000000000001</v>
      </c>
      <c r="O29" s="7">
        <v>55.167999999999999</v>
      </c>
      <c r="P29" s="7">
        <v>56.244</v>
      </c>
      <c r="Q29" s="7">
        <v>57.671999999999997</v>
      </c>
      <c r="R29" s="7">
        <v>58.27</v>
      </c>
      <c r="S29" s="7">
        <v>62.655000000000001</v>
      </c>
      <c r="T29" s="7">
        <v>62.61</v>
      </c>
      <c r="U29" s="7">
        <v>63.683999999999997</v>
      </c>
      <c r="V29" s="7">
        <v>62.725999999999999</v>
      </c>
      <c r="W29" s="7">
        <v>62.545000000000002</v>
      </c>
      <c r="X29" s="7">
        <v>69.275000000000006</v>
      </c>
      <c r="Y29" s="7">
        <v>71.712000000000003</v>
      </c>
      <c r="Z29" s="7">
        <v>72.834999999999994</v>
      </c>
      <c r="AA29" s="7">
        <v>72.802999999999997</v>
      </c>
      <c r="AB29" s="7">
        <v>66.316000000000003</v>
      </c>
      <c r="AC29" s="7">
        <v>63.542000000000002</v>
      </c>
      <c r="AD29" s="7">
        <v>63.136000000000003</v>
      </c>
      <c r="AE29" s="7">
        <v>62.250999999999998</v>
      </c>
      <c r="AF29" s="7">
        <v>62.734999999999999</v>
      </c>
      <c r="AG29" s="7">
        <v>64.957999999999998</v>
      </c>
      <c r="AH29" s="7">
        <v>68.554000000000002</v>
      </c>
      <c r="AI29" s="7">
        <v>68.125</v>
      </c>
      <c r="AJ29" s="7">
        <v>70.59</v>
      </c>
      <c r="AK29" s="7">
        <v>72.587999999999994</v>
      </c>
      <c r="AL29" s="7">
        <v>71.781000000000006</v>
      </c>
      <c r="AM29" s="7">
        <v>69.885999999999996</v>
      </c>
      <c r="AN29" s="7">
        <v>70.025000000000006</v>
      </c>
      <c r="AO29" s="7">
        <v>60.859000000000002</v>
      </c>
      <c r="AP29" s="7">
        <v>53.247</v>
      </c>
      <c r="AQ29" s="7">
        <v>51.860999999999997</v>
      </c>
      <c r="AR29" s="7">
        <v>56.323</v>
      </c>
      <c r="AS29" s="7">
        <v>58.095999999999997</v>
      </c>
      <c r="AT29" s="5">
        <v>9644.5779999999995</v>
      </c>
    </row>
    <row r="30" spans="1:46" x14ac:dyDescent="0.25">
      <c r="A30" s="4" t="s">
        <v>198</v>
      </c>
      <c r="B30" s="4" t="s">
        <v>207</v>
      </c>
      <c r="C30" s="4" t="s">
        <v>246</v>
      </c>
      <c r="D30" s="4" t="s">
        <v>247</v>
      </c>
      <c r="E30" s="4" t="s">
        <v>248</v>
      </c>
      <c r="F30" s="4" t="s">
        <v>202</v>
      </c>
      <c r="G30" s="4" t="s">
        <v>103</v>
      </c>
      <c r="H30" s="4" t="s">
        <v>251</v>
      </c>
      <c r="I30" s="7">
        <v>41.214468699999998</v>
      </c>
      <c r="J30" s="7">
        <v>38.283450999999999</v>
      </c>
      <c r="K30" s="7">
        <v>40.7533441</v>
      </c>
      <c r="L30" s="7">
        <v>42.0401442</v>
      </c>
      <c r="M30" s="7">
        <v>41.936094500000003</v>
      </c>
      <c r="N30" s="7">
        <v>41.101779700000002</v>
      </c>
      <c r="O30" s="7">
        <v>39.837267300000001</v>
      </c>
      <c r="P30" s="7">
        <v>38.670467500000001</v>
      </c>
      <c r="Q30" s="7">
        <v>38.399265900000003</v>
      </c>
      <c r="R30" s="7">
        <v>39.962446800000002</v>
      </c>
      <c r="S30" s="7">
        <v>39.074097000000002</v>
      </c>
      <c r="T30" s="7">
        <v>38.804776799999999</v>
      </c>
      <c r="U30" s="7">
        <v>39.061211299999997</v>
      </c>
      <c r="V30" s="7">
        <v>37.839609899999999</v>
      </c>
      <c r="W30" s="7">
        <v>40.2728343</v>
      </c>
      <c r="X30" s="7">
        <v>44.655386300000004</v>
      </c>
      <c r="Y30" s="7">
        <v>46.245253099999999</v>
      </c>
      <c r="Z30" s="7">
        <v>48.0883538</v>
      </c>
      <c r="AA30" s="7">
        <v>46.167242299999998</v>
      </c>
      <c r="AB30" s="7">
        <v>43.633583700000003</v>
      </c>
      <c r="AC30" s="7">
        <v>41.794838499999997</v>
      </c>
      <c r="AD30" s="7">
        <v>40.1133612</v>
      </c>
      <c r="AE30" s="7">
        <v>38.6197777</v>
      </c>
      <c r="AF30" s="7">
        <v>38.878063400000002</v>
      </c>
      <c r="AG30" s="7">
        <v>40.178191699999999</v>
      </c>
      <c r="AH30" s="7">
        <v>42.474972700000002</v>
      </c>
      <c r="AI30" s="7">
        <v>43.546215699999998</v>
      </c>
      <c r="AJ30" s="7">
        <v>45.718808000000003</v>
      </c>
      <c r="AK30" s="7">
        <v>47.100376099999998</v>
      </c>
      <c r="AL30" s="7">
        <v>47.259197800000003</v>
      </c>
      <c r="AM30" s="7">
        <v>46.217217300000002</v>
      </c>
      <c r="AN30" s="7">
        <v>47.2137995</v>
      </c>
      <c r="AO30" s="7">
        <v>40.789257200000002</v>
      </c>
      <c r="AP30" s="7">
        <v>37.014936300000002</v>
      </c>
      <c r="AQ30" s="7">
        <v>38.020405099999998</v>
      </c>
      <c r="AR30" s="7">
        <v>36.725114499999997</v>
      </c>
      <c r="AS30" s="7">
        <v>36.3647317</v>
      </c>
      <c r="AT30" s="7">
        <v>58.095999999999997</v>
      </c>
    </row>
    <row r="31" spans="1:46" x14ac:dyDescent="0.25">
      <c r="A31" s="4" t="s">
        <v>198</v>
      </c>
      <c r="B31" s="4" t="s">
        <v>207</v>
      </c>
      <c r="C31" s="4" t="s">
        <v>246</v>
      </c>
      <c r="D31" s="4" t="s">
        <v>247</v>
      </c>
      <c r="E31" s="4" t="s">
        <v>248</v>
      </c>
      <c r="F31" s="4" t="s">
        <v>202</v>
      </c>
      <c r="G31" s="4" t="s">
        <v>103</v>
      </c>
      <c r="H31" s="4" t="s">
        <v>252</v>
      </c>
      <c r="I31" s="16">
        <v>6.649</v>
      </c>
      <c r="J31" s="16">
        <v>6.5220000000000002</v>
      </c>
      <c r="K31" s="16">
        <v>6.8879999999999999</v>
      </c>
      <c r="L31" s="16">
        <v>6.5490000000000004</v>
      </c>
      <c r="M31" s="16">
        <v>5.5679999999999996</v>
      </c>
      <c r="N31" s="16">
        <v>6.1280000000000001</v>
      </c>
      <c r="O31" s="16">
        <v>5.0739999999999998</v>
      </c>
      <c r="P31" s="16">
        <v>6.5149999999999997</v>
      </c>
      <c r="Q31" s="16">
        <v>6.258</v>
      </c>
      <c r="R31" s="16">
        <v>6.2779999999999996</v>
      </c>
      <c r="S31" s="16">
        <v>6.6829999999999998</v>
      </c>
      <c r="T31" s="16">
        <v>6.976</v>
      </c>
      <c r="U31" s="16">
        <v>7.2560000000000002</v>
      </c>
      <c r="V31" s="16">
        <v>6.2779999999999996</v>
      </c>
      <c r="W31" s="16">
        <v>6.7489999999999997</v>
      </c>
      <c r="X31" s="16">
        <v>8.2409999999999997</v>
      </c>
      <c r="Y31" s="16">
        <v>7.4870000000000001</v>
      </c>
      <c r="Z31" s="16">
        <v>8.2159999999999993</v>
      </c>
      <c r="AA31" s="16">
        <v>8.1370000000000005</v>
      </c>
      <c r="AB31" s="16">
        <v>7.9039999999999999</v>
      </c>
      <c r="AC31" s="16">
        <v>7.3719999999999999</v>
      </c>
      <c r="AD31" s="16">
        <v>6.8639999999999999</v>
      </c>
      <c r="AE31" s="16">
        <v>6.6210000000000004</v>
      </c>
      <c r="AF31" s="16">
        <v>6.9669999999999996</v>
      </c>
      <c r="AG31" s="16">
        <v>7.0350000000000001</v>
      </c>
      <c r="AH31" s="16">
        <v>7.7480000000000002</v>
      </c>
      <c r="AI31" s="16">
        <v>7.1479999999999997</v>
      </c>
      <c r="AJ31" s="16">
        <v>7.2160000000000002</v>
      </c>
      <c r="AK31" s="16">
        <v>7.4210000000000003</v>
      </c>
      <c r="AL31" s="16">
        <v>6.7859999999999996</v>
      </c>
      <c r="AM31" s="16">
        <v>6.3579999999999997</v>
      </c>
      <c r="AN31" s="16">
        <v>5.8170000000000002</v>
      </c>
      <c r="AO31" s="16">
        <v>5.766</v>
      </c>
      <c r="AP31" s="16">
        <v>5.117</v>
      </c>
      <c r="AQ31" s="16">
        <v>5.2080000000000002</v>
      </c>
      <c r="AR31" s="16">
        <v>4.7880000000000003</v>
      </c>
      <c r="AS31" s="16">
        <v>5.048</v>
      </c>
      <c r="AT31" s="7">
        <v>36.3647317</v>
      </c>
    </row>
    <row r="32" spans="1:46" x14ac:dyDescent="0.25">
      <c r="A32" s="4" t="s">
        <v>198</v>
      </c>
      <c r="B32" s="4" t="s">
        <v>207</v>
      </c>
      <c r="C32" s="4" t="s">
        <v>246</v>
      </c>
      <c r="D32" s="4" t="s">
        <v>254</v>
      </c>
      <c r="E32" s="4" t="s">
        <v>255</v>
      </c>
      <c r="F32" s="4" t="s">
        <v>203</v>
      </c>
      <c r="G32" s="4" t="s">
        <v>93</v>
      </c>
      <c r="H32" s="4" t="s">
        <v>151</v>
      </c>
      <c r="I32" s="5">
        <v>0</v>
      </c>
      <c r="J32" s="5">
        <v>273.983</v>
      </c>
      <c r="K32" s="5">
        <v>229.10400000000001</v>
      </c>
      <c r="L32" s="5">
        <v>369.32100000000003</v>
      </c>
      <c r="M32" s="5">
        <v>455.161</v>
      </c>
      <c r="N32" s="5">
        <v>215.577</v>
      </c>
      <c r="O32" s="5">
        <v>0</v>
      </c>
      <c r="P32" s="5">
        <v>0</v>
      </c>
      <c r="Q32" s="5">
        <v>0</v>
      </c>
      <c r="R32" s="5">
        <v>42.005000000000003</v>
      </c>
      <c r="S32" s="5">
        <v>66.296999999999997</v>
      </c>
      <c r="T32" s="5">
        <v>186.01599999999999</v>
      </c>
      <c r="U32" s="5">
        <v>112.175</v>
      </c>
      <c r="V32" s="5">
        <v>135.59100000000001</v>
      </c>
      <c r="W32" s="5">
        <v>40.383000000000003</v>
      </c>
      <c r="X32" s="5">
        <v>245.887</v>
      </c>
      <c r="Y32" s="8">
        <v>0</v>
      </c>
      <c r="Z32" s="8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5">
        <v>40.743000000000002</v>
      </c>
      <c r="AK32" s="5">
        <v>0</v>
      </c>
      <c r="AL32" s="5">
        <v>31.3</v>
      </c>
      <c r="AM32" s="5">
        <v>0</v>
      </c>
      <c r="AN32" s="5">
        <v>0</v>
      </c>
      <c r="AO32" s="5">
        <v>29.521999999999998</v>
      </c>
      <c r="AP32" s="5">
        <v>27.54</v>
      </c>
      <c r="AQ32" s="8">
        <v>0</v>
      </c>
      <c r="AR32" s="9">
        <v>0</v>
      </c>
      <c r="AS32" s="9">
        <v>0</v>
      </c>
      <c r="AT32" s="9">
        <v>0</v>
      </c>
    </row>
    <row r="33" spans="1:46" x14ac:dyDescent="0.25">
      <c r="A33" s="4" t="s">
        <v>198</v>
      </c>
      <c r="B33" s="4" t="s">
        <v>207</v>
      </c>
      <c r="C33" s="4" t="s">
        <v>246</v>
      </c>
      <c r="D33" s="4" t="s">
        <v>254</v>
      </c>
      <c r="E33" s="4" t="s">
        <v>255</v>
      </c>
      <c r="F33" s="4" t="s">
        <v>203</v>
      </c>
      <c r="G33" s="4" t="s">
        <v>93</v>
      </c>
      <c r="H33" s="4" t="s">
        <v>205</v>
      </c>
      <c r="I33" s="6">
        <v>0</v>
      </c>
      <c r="J33" s="6">
        <v>31019.063999999998</v>
      </c>
      <c r="K33" s="6">
        <v>27687.071</v>
      </c>
      <c r="L33" s="6">
        <v>45393.989000000001</v>
      </c>
      <c r="M33" s="6">
        <v>52364.362999999998</v>
      </c>
      <c r="N33" s="6">
        <v>23189.032999999999</v>
      </c>
      <c r="O33" s="6">
        <v>0</v>
      </c>
      <c r="P33" s="6">
        <v>0</v>
      </c>
      <c r="Q33" s="6">
        <v>0</v>
      </c>
      <c r="R33" s="6">
        <v>4977.3069999999998</v>
      </c>
      <c r="S33" s="6">
        <v>7855.6840000000002</v>
      </c>
      <c r="T33" s="6">
        <v>22041.508000000002</v>
      </c>
      <c r="U33" s="6">
        <v>16826.278999999999</v>
      </c>
      <c r="V33" s="6">
        <v>20338.632000000001</v>
      </c>
      <c r="W33" s="6">
        <v>6057.4319999999998</v>
      </c>
      <c r="X33" s="6">
        <v>36882.997000000003</v>
      </c>
      <c r="Y33" s="10">
        <v>0</v>
      </c>
      <c r="Z33" s="10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6">
        <v>5296.6260000000002</v>
      </c>
      <c r="AK33" s="6">
        <v>0</v>
      </c>
      <c r="AL33" s="6">
        <v>4069.02</v>
      </c>
      <c r="AM33" s="6">
        <v>0</v>
      </c>
      <c r="AN33" s="6">
        <v>0</v>
      </c>
      <c r="AO33" s="6">
        <v>3837.9110000000001</v>
      </c>
      <c r="AP33" s="6">
        <v>3580.4389999999999</v>
      </c>
      <c r="AQ33" s="10">
        <v>0</v>
      </c>
      <c r="AR33" s="9">
        <v>0</v>
      </c>
      <c r="AS33" s="9">
        <v>0</v>
      </c>
      <c r="AT33" s="9">
        <v>0</v>
      </c>
    </row>
    <row r="34" spans="1:46" x14ac:dyDescent="0.25">
      <c r="A34" s="4" t="s">
        <v>198</v>
      </c>
      <c r="B34" s="4" t="s">
        <v>207</v>
      </c>
      <c r="C34" s="4" t="s">
        <v>246</v>
      </c>
      <c r="D34" s="4" t="s">
        <v>254</v>
      </c>
      <c r="E34" s="4" t="s">
        <v>255</v>
      </c>
      <c r="F34" s="4" t="s">
        <v>203</v>
      </c>
      <c r="G34" s="4" t="s">
        <v>93</v>
      </c>
      <c r="H34" s="4" t="s">
        <v>249</v>
      </c>
      <c r="I34" s="7">
        <v>0</v>
      </c>
      <c r="J34" s="7">
        <v>0.38700000000000001</v>
      </c>
      <c r="K34" s="7">
        <v>0.26200000000000001</v>
      </c>
      <c r="L34" s="7">
        <v>0.315</v>
      </c>
      <c r="M34" s="7">
        <v>0.34200000000000003</v>
      </c>
      <c r="N34" s="7">
        <v>0.15</v>
      </c>
      <c r="O34" s="7">
        <v>0</v>
      </c>
      <c r="P34" s="7">
        <v>0</v>
      </c>
      <c r="Q34" s="7">
        <v>0</v>
      </c>
      <c r="R34" s="7">
        <v>6.8000000000000005E-2</v>
      </c>
      <c r="S34" s="7">
        <v>0.128</v>
      </c>
      <c r="T34" s="7">
        <v>0.39700000000000002</v>
      </c>
      <c r="U34" s="7">
        <v>0.24399999999999999</v>
      </c>
      <c r="V34" s="7">
        <v>0.252</v>
      </c>
      <c r="W34" s="7">
        <v>5.1999999999999998E-2</v>
      </c>
      <c r="X34" s="7">
        <v>0.23499999999999999</v>
      </c>
      <c r="Y34" s="11">
        <v>0</v>
      </c>
      <c r="Z34" s="11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7">
        <v>0.04</v>
      </c>
      <c r="AK34" s="7">
        <v>0</v>
      </c>
      <c r="AL34" s="7">
        <v>2.5999999999999999E-2</v>
      </c>
      <c r="AM34" s="7">
        <v>0</v>
      </c>
      <c r="AN34" s="7">
        <v>0</v>
      </c>
      <c r="AO34" s="7">
        <v>2.7E-2</v>
      </c>
      <c r="AP34" s="7">
        <v>2.8000000000000001E-2</v>
      </c>
      <c r="AQ34" s="11">
        <v>0</v>
      </c>
      <c r="AR34" s="9">
        <v>0</v>
      </c>
      <c r="AS34" s="9">
        <v>0</v>
      </c>
      <c r="AT34" s="9">
        <v>0</v>
      </c>
    </row>
    <row r="35" spans="1:46" x14ac:dyDescent="0.25">
      <c r="A35" s="4" t="s">
        <v>198</v>
      </c>
      <c r="B35" s="4" t="s">
        <v>207</v>
      </c>
      <c r="C35" s="4" t="s">
        <v>246</v>
      </c>
      <c r="D35" s="4" t="s">
        <v>254</v>
      </c>
      <c r="E35" s="4" t="s">
        <v>255</v>
      </c>
      <c r="F35" s="4" t="s">
        <v>203</v>
      </c>
      <c r="G35" s="4" t="s">
        <v>93</v>
      </c>
      <c r="H35" s="4" t="s">
        <v>250</v>
      </c>
      <c r="I35" s="7">
        <v>0.76700000000000002</v>
      </c>
      <c r="J35" s="7">
        <v>2.9630000000000001</v>
      </c>
      <c r="K35" s="7">
        <v>1.9059999999999999</v>
      </c>
      <c r="L35" s="7">
        <v>1.8979999999999999</v>
      </c>
      <c r="M35" s="7">
        <v>2.2650000000000001</v>
      </c>
      <c r="N35" s="7">
        <v>1.9930000000000001</v>
      </c>
      <c r="O35" s="7">
        <v>0.95599999999999996</v>
      </c>
      <c r="P35" s="7">
        <v>1.171</v>
      </c>
      <c r="Q35" s="7">
        <v>1.071</v>
      </c>
      <c r="R35" s="7">
        <v>1.788</v>
      </c>
      <c r="S35" s="7">
        <v>2.3580000000000001</v>
      </c>
      <c r="T35" s="7">
        <v>2.7229999999999999</v>
      </c>
      <c r="U35" s="7">
        <v>1.5920000000000001</v>
      </c>
      <c r="V35" s="7">
        <v>1.9430000000000001</v>
      </c>
      <c r="W35" s="7">
        <v>1.423</v>
      </c>
      <c r="X35" s="7">
        <v>0.82599999999999996</v>
      </c>
      <c r="Y35" s="11">
        <v>0</v>
      </c>
      <c r="Z35" s="11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7">
        <v>0.30599999999999999</v>
      </c>
      <c r="AK35" s="7">
        <v>0.441</v>
      </c>
      <c r="AL35" s="7">
        <v>0.251</v>
      </c>
      <c r="AM35" s="7">
        <v>0</v>
      </c>
      <c r="AN35" s="7">
        <v>0.14000000000000001</v>
      </c>
      <c r="AO35" s="7">
        <v>0.21299999999999999</v>
      </c>
      <c r="AP35" s="7">
        <v>0.20399999999999999</v>
      </c>
      <c r="AQ35" s="11">
        <v>0</v>
      </c>
      <c r="AR35" s="9">
        <v>0</v>
      </c>
      <c r="AS35" s="9">
        <v>0</v>
      </c>
      <c r="AT35" s="9">
        <v>0</v>
      </c>
    </row>
    <row r="36" spans="1:46" x14ac:dyDescent="0.25">
      <c r="A36" s="4" t="s">
        <v>198</v>
      </c>
      <c r="B36" s="4" t="s">
        <v>207</v>
      </c>
      <c r="C36" s="4" t="s">
        <v>246</v>
      </c>
      <c r="D36" s="4" t="s">
        <v>254</v>
      </c>
      <c r="E36" s="4" t="s">
        <v>255</v>
      </c>
      <c r="F36" s="4" t="s">
        <v>203</v>
      </c>
      <c r="G36" s="4" t="s">
        <v>93</v>
      </c>
      <c r="H36" s="4" t="s">
        <v>251</v>
      </c>
      <c r="I36" s="7">
        <v>0.49172529999999998</v>
      </c>
      <c r="J36" s="7">
        <v>1.5058857000000001</v>
      </c>
      <c r="K36" s="7">
        <v>1.5058856</v>
      </c>
      <c r="L36" s="7">
        <v>1.4553913000000001</v>
      </c>
      <c r="M36" s="7">
        <v>1.4882009</v>
      </c>
      <c r="N36" s="7">
        <v>1.1436915000000001</v>
      </c>
      <c r="O36" s="7">
        <v>0.6515048</v>
      </c>
      <c r="P36" s="7">
        <v>0.65150390000000002</v>
      </c>
      <c r="Q36" s="7">
        <v>0.57223639999999998</v>
      </c>
      <c r="R36" s="7">
        <v>0.572237</v>
      </c>
      <c r="S36" s="7">
        <v>0.5722372</v>
      </c>
      <c r="T36" s="7">
        <v>0.57223619999999997</v>
      </c>
      <c r="U36" s="7">
        <v>0.59824650000000001</v>
      </c>
      <c r="V36" s="7">
        <v>0.57223599999999997</v>
      </c>
      <c r="W36" s="7">
        <v>0.5722351</v>
      </c>
      <c r="X36" s="7">
        <v>0.51914400000000005</v>
      </c>
      <c r="Y36" s="7">
        <v>0</v>
      </c>
      <c r="Z36" s="7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7">
        <v>0.51526530000000004</v>
      </c>
      <c r="AK36" s="7">
        <v>0.51526550000000004</v>
      </c>
      <c r="AL36" s="7">
        <v>0.50178789999999995</v>
      </c>
      <c r="AM36" s="7">
        <v>0.50178860000000003</v>
      </c>
      <c r="AN36" s="7">
        <v>0.50178750000000005</v>
      </c>
      <c r="AO36" s="7">
        <v>0.50178809999999996</v>
      </c>
      <c r="AP36" s="7">
        <v>0.52688069999999998</v>
      </c>
      <c r="AQ36" s="7">
        <v>0</v>
      </c>
      <c r="AR36" s="9">
        <v>0</v>
      </c>
      <c r="AS36" s="9">
        <v>0</v>
      </c>
      <c r="AT36" s="9">
        <v>0</v>
      </c>
    </row>
    <row r="37" spans="1:46" x14ac:dyDescent="0.25">
      <c r="A37" s="4" t="s">
        <v>198</v>
      </c>
      <c r="B37" s="4" t="s">
        <v>207</v>
      </c>
      <c r="C37" s="4" t="s">
        <v>246</v>
      </c>
      <c r="D37" s="4" t="s">
        <v>254</v>
      </c>
      <c r="E37" s="4" t="s">
        <v>255</v>
      </c>
      <c r="F37" s="4" t="s">
        <v>203</v>
      </c>
      <c r="G37" s="4" t="s">
        <v>93</v>
      </c>
      <c r="H37" s="4" t="s">
        <v>252</v>
      </c>
      <c r="I37" s="16">
        <v>3.2000000000000001E-2</v>
      </c>
      <c r="J37" s="16">
        <v>0.51300000000000001</v>
      </c>
      <c r="K37" s="16">
        <v>0.433</v>
      </c>
      <c r="L37" s="16">
        <v>0.34899999999999998</v>
      </c>
      <c r="M37" s="16">
        <v>0.186</v>
      </c>
      <c r="N37" s="16">
        <v>7.8E-2</v>
      </c>
      <c r="O37" s="16">
        <v>0.10299999999999999</v>
      </c>
      <c r="P37" s="16">
        <v>0.16900000000000001</v>
      </c>
      <c r="Q37" s="16">
        <v>0.152</v>
      </c>
      <c r="R37" s="17">
        <v>0</v>
      </c>
      <c r="S37" s="16">
        <v>6.9000000000000006E-2</v>
      </c>
      <c r="T37" s="16">
        <v>0.11600000000000001</v>
      </c>
      <c r="U37" s="16">
        <v>0.16900000000000001</v>
      </c>
      <c r="V37" s="16">
        <v>0.09</v>
      </c>
      <c r="W37" s="16">
        <v>0.13900000000000001</v>
      </c>
      <c r="X37" s="17">
        <v>0</v>
      </c>
      <c r="Y37" s="17">
        <v>0</v>
      </c>
      <c r="Z37" s="17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16">
        <v>1.4999999999999999E-2</v>
      </c>
      <c r="AK37" s="16">
        <v>1.4999999999999999E-2</v>
      </c>
      <c r="AL37" s="17">
        <v>0</v>
      </c>
      <c r="AM37" s="16">
        <v>1.4E-2</v>
      </c>
      <c r="AN37" s="16">
        <v>1.6E-2</v>
      </c>
      <c r="AO37" s="17">
        <v>0</v>
      </c>
      <c r="AP37" s="17">
        <v>0</v>
      </c>
      <c r="AQ37" s="17">
        <v>0</v>
      </c>
      <c r="AR37" s="9">
        <v>0</v>
      </c>
      <c r="AS37" s="9">
        <v>0</v>
      </c>
      <c r="AT37" s="9">
        <v>0</v>
      </c>
    </row>
    <row r="38" spans="1:46" x14ac:dyDescent="0.25">
      <c r="A38" s="4" t="s">
        <v>198</v>
      </c>
      <c r="B38" s="4" t="s">
        <v>207</v>
      </c>
      <c r="C38" s="4" t="s">
        <v>246</v>
      </c>
      <c r="D38" s="4" t="s">
        <v>254</v>
      </c>
      <c r="E38" s="4" t="s">
        <v>255</v>
      </c>
      <c r="F38" s="4" t="s">
        <v>203</v>
      </c>
      <c r="G38" s="4" t="s">
        <v>138</v>
      </c>
      <c r="H38" s="4" t="s">
        <v>151</v>
      </c>
      <c r="I38" s="5">
        <v>12.936999999999999</v>
      </c>
      <c r="J38" s="5">
        <v>43.148000000000003</v>
      </c>
      <c r="K38" s="5">
        <v>31.326000000000001</v>
      </c>
      <c r="L38" s="5">
        <v>0</v>
      </c>
      <c r="M38" s="5">
        <v>18.385999999999999</v>
      </c>
      <c r="N38" s="5">
        <v>28.14</v>
      </c>
      <c r="O38" s="8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5">
        <v>0</v>
      </c>
      <c r="AQ38" s="5">
        <v>0</v>
      </c>
      <c r="AR38" s="5">
        <v>31.382000000000001</v>
      </c>
      <c r="AS38" s="5">
        <v>25.766999999999999</v>
      </c>
      <c r="AT38" s="5">
        <v>25.766999999999999</v>
      </c>
    </row>
    <row r="39" spans="1:46" x14ac:dyDescent="0.25">
      <c r="A39" s="4" t="s">
        <v>198</v>
      </c>
      <c r="B39" s="4" t="s">
        <v>207</v>
      </c>
      <c r="C39" s="4" t="s">
        <v>246</v>
      </c>
      <c r="D39" s="4" t="s">
        <v>254</v>
      </c>
      <c r="E39" s="4" t="s">
        <v>255</v>
      </c>
      <c r="F39" s="4" t="s">
        <v>203</v>
      </c>
      <c r="G39" s="4" t="s">
        <v>138</v>
      </c>
      <c r="H39" s="4" t="s">
        <v>205</v>
      </c>
      <c r="I39" s="6">
        <v>3945.5520000000001</v>
      </c>
      <c r="J39" s="6">
        <v>13160.207</v>
      </c>
      <c r="K39" s="6">
        <v>9554.5720000000001</v>
      </c>
      <c r="L39" s="6">
        <v>0</v>
      </c>
      <c r="M39" s="6">
        <v>2298.2440000000001</v>
      </c>
      <c r="N39" s="6">
        <v>8582.7039999999997</v>
      </c>
      <c r="O39" s="10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6">
        <v>0</v>
      </c>
      <c r="AQ39" s="6">
        <v>0</v>
      </c>
      <c r="AR39" s="6">
        <v>9571.6010000000006</v>
      </c>
      <c r="AS39" s="6">
        <v>7858.8969999999999</v>
      </c>
      <c r="AT39" s="6">
        <v>7858.8969999999999</v>
      </c>
    </row>
    <row r="40" spans="1:46" x14ac:dyDescent="0.25">
      <c r="A40" s="4" t="s">
        <v>198</v>
      </c>
      <c r="B40" s="4" t="s">
        <v>207</v>
      </c>
      <c r="C40" s="4" t="s">
        <v>246</v>
      </c>
      <c r="D40" s="4" t="s">
        <v>254</v>
      </c>
      <c r="E40" s="4" t="s">
        <v>255</v>
      </c>
      <c r="F40" s="4" t="s">
        <v>203</v>
      </c>
      <c r="G40" s="4" t="s">
        <v>138</v>
      </c>
      <c r="H40" s="4" t="s">
        <v>249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11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7">
        <v>0</v>
      </c>
      <c r="AQ40" s="7">
        <v>0</v>
      </c>
      <c r="AR40" s="7">
        <v>0</v>
      </c>
      <c r="AS40" s="7">
        <v>0</v>
      </c>
      <c r="AT40" s="7">
        <v>8.0000000000000002E-3</v>
      </c>
    </row>
    <row r="41" spans="1:46" x14ac:dyDescent="0.25">
      <c r="A41" s="4" t="s">
        <v>198</v>
      </c>
      <c r="B41" s="4" t="s">
        <v>207</v>
      </c>
      <c r="C41" s="4" t="s">
        <v>246</v>
      </c>
      <c r="D41" s="4" t="s">
        <v>254</v>
      </c>
      <c r="E41" s="4" t="s">
        <v>255</v>
      </c>
      <c r="F41" s="4" t="s">
        <v>203</v>
      </c>
      <c r="G41" s="4" t="s">
        <v>138</v>
      </c>
      <c r="H41" s="4" t="s">
        <v>250</v>
      </c>
      <c r="I41" s="7">
        <v>1.335</v>
      </c>
      <c r="J41" s="7">
        <v>1.53</v>
      </c>
      <c r="K41" s="7">
        <v>1.75</v>
      </c>
      <c r="L41" s="7">
        <v>1.411</v>
      </c>
      <c r="M41" s="7">
        <v>1.3779999999999999</v>
      </c>
      <c r="N41" s="7">
        <v>0.312</v>
      </c>
      <c r="O41" s="11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7">
        <v>0.53800000000000003</v>
      </c>
      <c r="AQ41" s="7">
        <v>0.73499999999999999</v>
      </c>
      <c r="AR41" s="7">
        <v>1.018</v>
      </c>
      <c r="AS41" s="7">
        <v>0.98899999999999999</v>
      </c>
      <c r="AT41" s="5">
        <v>28.346</v>
      </c>
    </row>
    <row r="42" spans="1:46" x14ac:dyDescent="0.25">
      <c r="A42" s="4" t="s">
        <v>198</v>
      </c>
      <c r="B42" s="4" t="s">
        <v>207</v>
      </c>
      <c r="C42" s="4" t="s">
        <v>246</v>
      </c>
      <c r="D42" s="4" t="s">
        <v>254</v>
      </c>
      <c r="E42" s="4" t="s">
        <v>255</v>
      </c>
      <c r="F42" s="4" t="s">
        <v>203</v>
      </c>
      <c r="G42" s="4" t="s">
        <v>138</v>
      </c>
      <c r="H42" s="4" t="s">
        <v>251</v>
      </c>
      <c r="I42" s="7">
        <v>0.75081750000000003</v>
      </c>
      <c r="J42" s="7">
        <v>0.75081679999999995</v>
      </c>
      <c r="K42" s="7">
        <v>0.7508167</v>
      </c>
      <c r="L42" s="7">
        <v>0.7105456</v>
      </c>
      <c r="M42" s="7">
        <v>0.71054519999999999</v>
      </c>
      <c r="N42" s="7">
        <v>0.37321700000000002</v>
      </c>
      <c r="O42" s="7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7">
        <v>0.52688069999999998</v>
      </c>
      <c r="AQ42" s="7">
        <v>0.55460889999999996</v>
      </c>
      <c r="AR42" s="7">
        <v>0.49372700000000003</v>
      </c>
      <c r="AS42" s="7">
        <v>0.4937259</v>
      </c>
      <c r="AT42" s="7">
        <v>0.98899999999999999</v>
      </c>
    </row>
    <row r="43" spans="1:46" x14ac:dyDescent="0.25">
      <c r="A43" s="4" t="s">
        <v>198</v>
      </c>
      <c r="B43" s="4" t="s">
        <v>207</v>
      </c>
      <c r="C43" s="4" t="s">
        <v>246</v>
      </c>
      <c r="D43" s="4" t="s">
        <v>254</v>
      </c>
      <c r="E43" s="4" t="s">
        <v>255</v>
      </c>
      <c r="F43" s="4" t="s">
        <v>203</v>
      </c>
      <c r="G43" s="4" t="s">
        <v>138</v>
      </c>
      <c r="H43" s="4" t="s">
        <v>252</v>
      </c>
      <c r="I43" s="16">
        <v>4.5999999999999999E-2</v>
      </c>
      <c r="J43" s="16">
        <v>1.2E-2</v>
      </c>
      <c r="K43" s="16">
        <v>4.2000000000000003E-2</v>
      </c>
      <c r="L43" s="16">
        <v>3.6999999999999998E-2</v>
      </c>
      <c r="M43" s="16">
        <v>2.7E-2</v>
      </c>
      <c r="N43" s="17">
        <v>0</v>
      </c>
      <c r="O43" s="17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16">
        <v>1.6E-2</v>
      </c>
      <c r="AQ43" s="16">
        <v>1.6E-2</v>
      </c>
      <c r="AR43" s="17">
        <v>0</v>
      </c>
      <c r="AS43" s="16">
        <v>1.4999999999999999E-2</v>
      </c>
      <c r="AT43" s="7">
        <v>0.4937259</v>
      </c>
    </row>
    <row r="44" spans="1:46" x14ac:dyDescent="0.25">
      <c r="A44" s="4" t="s">
        <v>198</v>
      </c>
      <c r="B44" s="4" t="s">
        <v>207</v>
      </c>
      <c r="C44" s="4" t="s">
        <v>246</v>
      </c>
      <c r="D44" s="4" t="s">
        <v>254</v>
      </c>
      <c r="E44" s="4" t="s">
        <v>255</v>
      </c>
      <c r="F44" s="4" t="s">
        <v>195</v>
      </c>
      <c r="G44" s="4" t="s">
        <v>93</v>
      </c>
      <c r="H44" s="4" t="s">
        <v>151</v>
      </c>
      <c r="I44" s="5">
        <v>2511.36</v>
      </c>
      <c r="J44" s="5">
        <v>2167.8319999999999</v>
      </c>
      <c r="K44" s="5">
        <v>3096.701</v>
      </c>
      <c r="L44" s="5">
        <v>3896.826</v>
      </c>
      <c r="M44" s="5">
        <v>4152.7929999999997</v>
      </c>
      <c r="N44" s="5">
        <v>3673.134</v>
      </c>
      <c r="O44" s="5">
        <v>3130.93</v>
      </c>
      <c r="P44" s="5">
        <v>2731.0909999999999</v>
      </c>
      <c r="Q44" s="5">
        <v>2505.0239999999999</v>
      </c>
      <c r="R44" s="5">
        <v>1803.962</v>
      </c>
      <c r="S44" s="5">
        <v>2056.3310000000001</v>
      </c>
      <c r="T44" s="5">
        <v>1723.451</v>
      </c>
      <c r="U44" s="5">
        <v>2365.5</v>
      </c>
      <c r="V44" s="5">
        <v>1854.3219999999999</v>
      </c>
      <c r="W44" s="5">
        <v>3155.4659999999999</v>
      </c>
      <c r="X44" s="5">
        <v>3708.4360000000001</v>
      </c>
      <c r="Y44" s="5">
        <v>3193.6770000000001</v>
      </c>
      <c r="Z44" s="5">
        <v>3330.4340000000002</v>
      </c>
      <c r="AA44" s="5">
        <v>3874.1170000000002</v>
      </c>
      <c r="AB44" s="5">
        <v>2805.038</v>
      </c>
      <c r="AC44" s="5">
        <v>2323.7049999999999</v>
      </c>
      <c r="AD44" s="5">
        <v>2051.7449999999999</v>
      </c>
      <c r="AE44" s="5">
        <v>1404.5509999999999</v>
      </c>
      <c r="AF44" s="5">
        <v>1659.376</v>
      </c>
      <c r="AG44" s="5">
        <v>1839.56</v>
      </c>
      <c r="AH44" s="5">
        <v>2507.538</v>
      </c>
      <c r="AI44" s="5">
        <v>3313.0549999999998</v>
      </c>
      <c r="AJ44" s="5">
        <v>3116.395</v>
      </c>
      <c r="AK44" s="5">
        <v>3555.6619999999998</v>
      </c>
      <c r="AL44" s="5">
        <v>4026.797</v>
      </c>
      <c r="AM44" s="5">
        <v>5004.3109999999997</v>
      </c>
      <c r="AN44" s="5">
        <v>4332.3090000000002</v>
      </c>
      <c r="AO44" s="5">
        <v>3412.5520000000001</v>
      </c>
      <c r="AP44" s="5">
        <v>3301.3760000000002</v>
      </c>
      <c r="AQ44" s="5">
        <v>3454.0039999999999</v>
      </c>
      <c r="AR44" s="5">
        <v>2126.9789999999998</v>
      </c>
      <c r="AS44" s="5">
        <v>1816.52</v>
      </c>
      <c r="AT44" s="5">
        <v>1816.52</v>
      </c>
    </row>
    <row r="45" spans="1:46" x14ac:dyDescent="0.25">
      <c r="A45" s="4" t="s">
        <v>198</v>
      </c>
      <c r="B45" s="4" t="s">
        <v>207</v>
      </c>
      <c r="C45" s="4" t="s">
        <v>246</v>
      </c>
      <c r="D45" s="4" t="s">
        <v>254</v>
      </c>
      <c r="E45" s="4" t="s">
        <v>255</v>
      </c>
      <c r="F45" s="4" t="s">
        <v>195</v>
      </c>
      <c r="G45" s="4" t="s">
        <v>93</v>
      </c>
      <c r="H45" s="4" t="s">
        <v>205</v>
      </c>
      <c r="I45" s="6">
        <v>503941.53600000002</v>
      </c>
      <c r="J45" s="6">
        <v>412185.853</v>
      </c>
      <c r="K45" s="6">
        <v>585725.66200000001</v>
      </c>
      <c r="L45" s="6">
        <v>740595.92700000003</v>
      </c>
      <c r="M45" s="6">
        <v>806275.94</v>
      </c>
      <c r="N45" s="6">
        <v>706868.75300000003</v>
      </c>
      <c r="O45" s="6">
        <v>578052.35199999996</v>
      </c>
      <c r="P45" s="6">
        <v>508410.54399999999</v>
      </c>
      <c r="Q45" s="6">
        <v>480308.40700000001</v>
      </c>
      <c r="R45" s="6">
        <v>336645.81400000001</v>
      </c>
      <c r="S45" s="6">
        <v>381049.58399999997</v>
      </c>
      <c r="T45" s="6">
        <v>329680.97399999999</v>
      </c>
      <c r="U45" s="6">
        <v>456753.51799999998</v>
      </c>
      <c r="V45" s="6">
        <v>367776.86900000001</v>
      </c>
      <c r="W45" s="6">
        <v>602637.08499999996</v>
      </c>
      <c r="X45" s="6">
        <v>652580.93700000003</v>
      </c>
      <c r="Y45" s="6">
        <v>664917.47699999996</v>
      </c>
      <c r="Z45" s="6">
        <v>642636.98400000005</v>
      </c>
      <c r="AA45" s="6">
        <v>770870.25600000005</v>
      </c>
      <c r="AB45" s="6">
        <v>537066.86</v>
      </c>
      <c r="AC45" s="6">
        <v>468197.12</v>
      </c>
      <c r="AD45" s="6">
        <v>412372.41</v>
      </c>
      <c r="AE45" s="6">
        <v>274839.321</v>
      </c>
      <c r="AF45" s="6">
        <v>322915.489</v>
      </c>
      <c r="AG45" s="6">
        <v>365706.18300000002</v>
      </c>
      <c r="AH45" s="6">
        <v>477465.90399999998</v>
      </c>
      <c r="AI45" s="6">
        <v>643540.94200000004</v>
      </c>
      <c r="AJ45" s="6">
        <v>615587.20600000001</v>
      </c>
      <c r="AK45" s="6">
        <v>696709.43</v>
      </c>
      <c r="AL45" s="6">
        <v>733218.64199999999</v>
      </c>
      <c r="AM45" s="6">
        <v>912121.82499999995</v>
      </c>
      <c r="AN45" s="6">
        <v>799187.11100000003</v>
      </c>
      <c r="AO45" s="6">
        <v>635941.44499999995</v>
      </c>
      <c r="AP45" s="6">
        <v>641510.11100000003</v>
      </c>
      <c r="AQ45" s="6">
        <v>666165.60499999998</v>
      </c>
      <c r="AR45" s="6">
        <v>397601.25300000003</v>
      </c>
      <c r="AS45" s="6">
        <v>350702.24900000001</v>
      </c>
      <c r="AT45" s="6">
        <v>350702.24900000001</v>
      </c>
    </row>
    <row r="46" spans="1:46" x14ac:dyDescent="0.25">
      <c r="A46" s="4" t="s">
        <v>198</v>
      </c>
      <c r="B46" s="4" t="s">
        <v>207</v>
      </c>
      <c r="C46" s="4" t="s">
        <v>246</v>
      </c>
      <c r="D46" s="4" t="s">
        <v>254</v>
      </c>
      <c r="E46" s="4" t="s">
        <v>255</v>
      </c>
      <c r="F46" s="4" t="s">
        <v>195</v>
      </c>
      <c r="G46" s="4" t="s">
        <v>93</v>
      </c>
      <c r="H46" s="4" t="s">
        <v>249</v>
      </c>
      <c r="I46" s="7">
        <v>3.9710000000000001</v>
      </c>
      <c r="J46" s="7">
        <v>2.8420000000000001</v>
      </c>
      <c r="K46" s="7">
        <v>3.28</v>
      </c>
      <c r="L46" s="7">
        <v>3.0939999999999999</v>
      </c>
      <c r="M46" s="7">
        <v>2.9009999999999998</v>
      </c>
      <c r="N46" s="7">
        <v>2.399</v>
      </c>
      <c r="O46" s="7">
        <v>2.1379999999999999</v>
      </c>
      <c r="P46" s="7">
        <v>2.367</v>
      </c>
      <c r="Q46" s="7">
        <v>2.72</v>
      </c>
      <c r="R46" s="7">
        <v>2.7349999999999999</v>
      </c>
      <c r="S46" s="7">
        <v>3.68</v>
      </c>
      <c r="T46" s="7">
        <v>3.4140000000000001</v>
      </c>
      <c r="U46" s="7">
        <v>4.8120000000000003</v>
      </c>
      <c r="V46" s="7">
        <v>3.2080000000000002</v>
      </c>
      <c r="W46" s="7">
        <v>3.7989999999999999</v>
      </c>
      <c r="X46" s="7">
        <v>3.3069999999999999</v>
      </c>
      <c r="Y46" s="7">
        <v>2.3079999999999998</v>
      </c>
      <c r="Z46" s="7">
        <v>2.5640000000000001</v>
      </c>
      <c r="AA46" s="7">
        <v>2.8010000000000002</v>
      </c>
      <c r="AB46" s="7">
        <v>2.5209999999999999</v>
      </c>
      <c r="AC46" s="7">
        <v>2.3069999999999999</v>
      </c>
      <c r="AD46" s="7">
        <v>2.524</v>
      </c>
      <c r="AE46" s="7">
        <v>1.9690000000000001</v>
      </c>
      <c r="AF46" s="7">
        <v>2.3919999999999999</v>
      </c>
      <c r="AG46" s="7">
        <v>2.5489999999999999</v>
      </c>
      <c r="AH46" s="7">
        <v>3.0870000000000002</v>
      </c>
      <c r="AI46" s="7">
        <v>3.2549999999999999</v>
      </c>
      <c r="AJ46" s="7">
        <v>2.4809999999999999</v>
      </c>
      <c r="AK46" s="7">
        <v>2.4780000000000002</v>
      </c>
      <c r="AL46" s="7">
        <v>2.7109999999999999</v>
      </c>
      <c r="AM46" s="7">
        <v>2.8140000000000001</v>
      </c>
      <c r="AN46" s="7">
        <v>2.754</v>
      </c>
      <c r="AO46" s="7">
        <v>2.544</v>
      </c>
      <c r="AP46" s="7">
        <v>2.782</v>
      </c>
      <c r="AQ46" s="7">
        <v>3.4220000000000002</v>
      </c>
      <c r="AR46" s="7">
        <v>2.984</v>
      </c>
      <c r="AS46" s="7">
        <v>3.7010000000000001</v>
      </c>
      <c r="AT46" s="7">
        <v>0.53500000000000003</v>
      </c>
    </row>
    <row r="47" spans="1:46" x14ac:dyDescent="0.25">
      <c r="A47" s="4" t="s">
        <v>198</v>
      </c>
      <c r="B47" s="4" t="s">
        <v>207</v>
      </c>
      <c r="C47" s="4" t="s">
        <v>246</v>
      </c>
      <c r="D47" s="4" t="s">
        <v>254</v>
      </c>
      <c r="E47" s="4" t="s">
        <v>255</v>
      </c>
      <c r="F47" s="4" t="s">
        <v>195</v>
      </c>
      <c r="G47" s="4" t="s">
        <v>93</v>
      </c>
      <c r="H47" s="4" t="s">
        <v>250</v>
      </c>
      <c r="I47" s="7">
        <v>33.307000000000002</v>
      </c>
      <c r="J47" s="7">
        <v>33.673999999999999</v>
      </c>
      <c r="K47" s="7">
        <v>33.82</v>
      </c>
      <c r="L47" s="7">
        <v>28.952000000000002</v>
      </c>
      <c r="M47" s="7">
        <v>27.370999999999999</v>
      </c>
      <c r="N47" s="7">
        <v>30.599</v>
      </c>
      <c r="O47" s="7">
        <v>27.954999999999998</v>
      </c>
      <c r="P47" s="7">
        <v>28.567</v>
      </c>
      <c r="Q47" s="7">
        <v>32.814999999999998</v>
      </c>
      <c r="R47" s="7">
        <v>36.494</v>
      </c>
      <c r="S47" s="7">
        <v>35.234000000000002</v>
      </c>
      <c r="T47" s="7">
        <v>31.113</v>
      </c>
      <c r="U47" s="7">
        <v>33.390999999999998</v>
      </c>
      <c r="V47" s="7">
        <v>33.814</v>
      </c>
      <c r="W47" s="7">
        <v>33.848999999999997</v>
      </c>
      <c r="X47" s="7">
        <v>33.838999999999999</v>
      </c>
      <c r="Y47" s="7">
        <v>28.675999999999998</v>
      </c>
      <c r="Z47" s="7">
        <v>27.606000000000002</v>
      </c>
      <c r="AA47" s="7">
        <v>30.884</v>
      </c>
      <c r="AB47" s="7">
        <v>24</v>
      </c>
      <c r="AC47" s="7">
        <v>24.045000000000002</v>
      </c>
      <c r="AD47" s="7">
        <v>20.027999999999999</v>
      </c>
      <c r="AE47" s="7">
        <v>20.047999999999998</v>
      </c>
      <c r="AF47" s="7">
        <v>21.308</v>
      </c>
      <c r="AG47" s="7">
        <v>20.805</v>
      </c>
      <c r="AH47" s="7">
        <v>31.41</v>
      </c>
      <c r="AI47" s="7">
        <v>36.712000000000003</v>
      </c>
      <c r="AJ47" s="7">
        <v>32.307000000000002</v>
      </c>
      <c r="AK47" s="7">
        <v>37.756</v>
      </c>
      <c r="AL47" s="7">
        <v>34.771999999999998</v>
      </c>
      <c r="AM47" s="7">
        <v>39.049999999999997</v>
      </c>
      <c r="AN47" s="7">
        <v>35.941000000000003</v>
      </c>
      <c r="AO47" s="7">
        <v>31.677</v>
      </c>
      <c r="AP47" s="7">
        <v>26.120999999999999</v>
      </c>
      <c r="AQ47" s="7">
        <v>25.635000000000002</v>
      </c>
      <c r="AR47" s="7">
        <v>23.62</v>
      </c>
      <c r="AS47" s="7">
        <v>25.858000000000001</v>
      </c>
      <c r="AT47" s="5">
        <v>3498.069</v>
      </c>
    </row>
    <row r="48" spans="1:46" x14ac:dyDescent="0.25">
      <c r="A48" s="4" t="s">
        <v>198</v>
      </c>
      <c r="B48" s="4" t="s">
        <v>207</v>
      </c>
      <c r="C48" s="4" t="s">
        <v>246</v>
      </c>
      <c r="D48" s="4" t="s">
        <v>254</v>
      </c>
      <c r="E48" s="4" t="s">
        <v>255</v>
      </c>
      <c r="F48" s="4" t="s">
        <v>195</v>
      </c>
      <c r="G48" s="4" t="s">
        <v>93</v>
      </c>
      <c r="H48" s="4" t="s">
        <v>251</v>
      </c>
      <c r="I48" s="7">
        <v>13.946710599999999</v>
      </c>
      <c r="J48" s="7">
        <v>13.993481600000001</v>
      </c>
      <c r="K48" s="7">
        <v>15.435972</v>
      </c>
      <c r="L48" s="7">
        <v>13.564556899999999</v>
      </c>
      <c r="M48" s="7">
        <v>14.1101736</v>
      </c>
      <c r="N48" s="7">
        <v>14.2700221</v>
      </c>
      <c r="O48" s="7">
        <v>14.0731971</v>
      </c>
      <c r="P48" s="7">
        <v>14.835592</v>
      </c>
      <c r="Q48" s="7">
        <v>15.596850399999999</v>
      </c>
      <c r="R48" s="7">
        <v>16.520430399999999</v>
      </c>
      <c r="S48" s="7">
        <v>14.6894437</v>
      </c>
      <c r="T48" s="7">
        <v>13.727149000000001</v>
      </c>
      <c r="U48" s="7">
        <v>14.4846921</v>
      </c>
      <c r="V48" s="7">
        <v>14.3045896</v>
      </c>
      <c r="W48" s="7">
        <v>14.1546539</v>
      </c>
      <c r="X48" s="7">
        <v>17.1948355</v>
      </c>
      <c r="Y48" s="7">
        <v>15.2794556</v>
      </c>
      <c r="Z48" s="7">
        <v>13.932244600000001</v>
      </c>
      <c r="AA48" s="7">
        <v>14.324881299999999</v>
      </c>
      <c r="AB48" s="7">
        <v>11.7278056</v>
      </c>
      <c r="AC48" s="7">
        <v>12.3064064</v>
      </c>
      <c r="AD48" s="7">
        <v>13.2987191</v>
      </c>
      <c r="AE48" s="7">
        <v>13.002798500000001</v>
      </c>
      <c r="AF48" s="7">
        <v>12.790135299999999</v>
      </c>
      <c r="AG48" s="7">
        <v>12.9452158</v>
      </c>
      <c r="AH48" s="7">
        <v>16.219251700000001</v>
      </c>
      <c r="AI48" s="7">
        <v>18.545059500000001</v>
      </c>
      <c r="AJ48" s="7">
        <v>18.780717899999999</v>
      </c>
      <c r="AK48" s="7">
        <v>20.492628</v>
      </c>
      <c r="AL48" s="7">
        <v>19.265240299999999</v>
      </c>
      <c r="AM48" s="7">
        <v>19.813376999999999</v>
      </c>
      <c r="AN48" s="7">
        <v>19.957240500000001</v>
      </c>
      <c r="AO48" s="7">
        <v>18.830152500000001</v>
      </c>
      <c r="AP48" s="7">
        <v>17.215751999999998</v>
      </c>
      <c r="AQ48" s="7">
        <v>17.577482499999999</v>
      </c>
      <c r="AR48" s="7">
        <v>15.6724967</v>
      </c>
      <c r="AS48" s="7">
        <v>15.7693443</v>
      </c>
      <c r="AT48" s="7">
        <v>25.858000000000001</v>
      </c>
    </row>
    <row r="49" spans="1:46" x14ac:dyDescent="0.25">
      <c r="A49" s="4" t="s">
        <v>198</v>
      </c>
      <c r="B49" s="4" t="s">
        <v>207</v>
      </c>
      <c r="C49" s="4" t="s">
        <v>246</v>
      </c>
      <c r="D49" s="4" t="s">
        <v>254</v>
      </c>
      <c r="E49" s="4" t="s">
        <v>255</v>
      </c>
      <c r="F49" s="4" t="s">
        <v>195</v>
      </c>
      <c r="G49" s="4" t="s">
        <v>93</v>
      </c>
      <c r="H49" s="4" t="s">
        <v>252</v>
      </c>
      <c r="I49" s="16">
        <v>2.4860000000000002</v>
      </c>
      <c r="J49" s="16">
        <v>2.387</v>
      </c>
      <c r="K49" s="16">
        <v>2.1509999999999998</v>
      </c>
      <c r="L49" s="16">
        <v>1.52</v>
      </c>
      <c r="M49" s="16">
        <v>1.571</v>
      </c>
      <c r="N49" s="16">
        <v>1.9419999999999999</v>
      </c>
      <c r="O49" s="16">
        <v>1.776</v>
      </c>
      <c r="P49" s="16">
        <v>1.6919999999999999</v>
      </c>
      <c r="Q49" s="16">
        <v>1.7010000000000001</v>
      </c>
      <c r="R49" s="16">
        <v>1.944</v>
      </c>
      <c r="S49" s="16">
        <v>1.696</v>
      </c>
      <c r="T49" s="16">
        <v>1.637</v>
      </c>
      <c r="U49" s="16">
        <v>2.0249999999999999</v>
      </c>
      <c r="V49" s="16">
        <v>2.0550000000000002</v>
      </c>
      <c r="W49" s="16">
        <v>2.141</v>
      </c>
      <c r="X49" s="16">
        <v>1.804</v>
      </c>
      <c r="Y49" s="16">
        <v>1.3</v>
      </c>
      <c r="Z49" s="16">
        <v>1.042</v>
      </c>
      <c r="AA49" s="16">
        <v>1.4390000000000001</v>
      </c>
      <c r="AB49" s="16">
        <v>1.32</v>
      </c>
      <c r="AC49" s="16">
        <v>1.4750000000000001</v>
      </c>
      <c r="AD49" s="16">
        <v>1.4830000000000001</v>
      </c>
      <c r="AE49" s="16">
        <v>1.4219999999999999</v>
      </c>
      <c r="AF49" s="16">
        <v>1.36</v>
      </c>
      <c r="AG49" s="16">
        <v>1.7989999999999999</v>
      </c>
      <c r="AH49" s="16">
        <v>2.3610000000000002</v>
      </c>
      <c r="AI49" s="16">
        <v>2.9060000000000001</v>
      </c>
      <c r="AJ49" s="16">
        <v>2.23</v>
      </c>
      <c r="AK49" s="16">
        <v>2.452</v>
      </c>
      <c r="AL49" s="16">
        <v>1.8939999999999999</v>
      </c>
      <c r="AM49" s="16">
        <v>1.7729999999999999</v>
      </c>
      <c r="AN49" s="16">
        <v>2.2120000000000002</v>
      </c>
      <c r="AO49" s="16">
        <v>1.994</v>
      </c>
      <c r="AP49" s="16">
        <v>2.0289999999999999</v>
      </c>
      <c r="AQ49" s="16">
        <v>1.655</v>
      </c>
      <c r="AR49" s="16">
        <v>1.7949999999999999</v>
      </c>
      <c r="AS49" s="16">
        <v>1.831</v>
      </c>
      <c r="AT49" s="7">
        <v>15.7693443</v>
      </c>
    </row>
    <row r="50" spans="1:46" x14ac:dyDescent="0.25">
      <c r="A50" s="4" t="s">
        <v>198</v>
      </c>
      <c r="B50" s="4" t="s">
        <v>207</v>
      </c>
      <c r="C50" s="4" t="s">
        <v>246</v>
      </c>
      <c r="D50" s="4" t="s">
        <v>254</v>
      </c>
      <c r="E50" s="4" t="s">
        <v>255</v>
      </c>
      <c r="F50" s="4" t="s">
        <v>195</v>
      </c>
      <c r="G50" s="4" t="s">
        <v>138</v>
      </c>
      <c r="H50" s="4" t="s">
        <v>151</v>
      </c>
      <c r="I50" s="5">
        <v>28.741</v>
      </c>
      <c r="J50" s="5">
        <v>60.426000000000002</v>
      </c>
      <c r="K50" s="5">
        <v>163.41200000000001</v>
      </c>
      <c r="L50" s="5">
        <v>197.89699999999999</v>
      </c>
      <c r="M50" s="5">
        <v>253.16900000000001</v>
      </c>
      <c r="N50" s="5">
        <v>218.124</v>
      </c>
      <c r="O50" s="5">
        <v>218.77099999999999</v>
      </c>
      <c r="P50" s="5">
        <v>304.84899999999999</v>
      </c>
      <c r="Q50" s="5">
        <v>71.072999999999993</v>
      </c>
      <c r="R50" s="5">
        <v>165.90100000000001</v>
      </c>
      <c r="S50" s="5">
        <v>175.97</v>
      </c>
      <c r="T50" s="5">
        <v>157.25</v>
      </c>
      <c r="U50" s="5">
        <v>169.20099999999999</v>
      </c>
      <c r="V50" s="5">
        <v>291.00700000000001</v>
      </c>
      <c r="W50" s="5">
        <v>188.08699999999999</v>
      </c>
      <c r="X50" s="5">
        <v>57.926000000000002</v>
      </c>
      <c r="Y50" s="5">
        <v>69.694999999999993</v>
      </c>
      <c r="Z50" s="5">
        <v>35.61</v>
      </c>
      <c r="AA50" s="5">
        <v>22.771000000000001</v>
      </c>
      <c r="AB50" s="5">
        <v>21.303999999999998</v>
      </c>
      <c r="AC50" s="5">
        <v>122.489</v>
      </c>
      <c r="AD50" s="5">
        <v>119.251</v>
      </c>
      <c r="AE50" s="5">
        <v>158.631</v>
      </c>
      <c r="AF50" s="5">
        <v>73.132000000000005</v>
      </c>
      <c r="AG50" s="5">
        <v>96.320999999999998</v>
      </c>
      <c r="AH50" s="5">
        <v>47.817</v>
      </c>
      <c r="AI50" s="5">
        <v>57.118000000000002</v>
      </c>
      <c r="AJ50" s="5">
        <v>20.506</v>
      </c>
      <c r="AK50" s="5">
        <v>24.509</v>
      </c>
      <c r="AL50" s="5">
        <v>92.091999999999999</v>
      </c>
      <c r="AM50" s="5">
        <v>224.47800000000001</v>
      </c>
      <c r="AN50" s="5">
        <v>77.302999999999997</v>
      </c>
      <c r="AO50" s="5">
        <v>40.914000000000001</v>
      </c>
      <c r="AP50" s="5">
        <v>98.292000000000002</v>
      </c>
      <c r="AQ50" s="5">
        <v>298.85700000000003</v>
      </c>
      <c r="AR50" s="5">
        <v>177.91399999999999</v>
      </c>
      <c r="AS50" s="5">
        <v>36.698</v>
      </c>
      <c r="AT50" s="5">
        <v>36.698</v>
      </c>
    </row>
    <row r="51" spans="1:46" x14ac:dyDescent="0.25">
      <c r="A51" s="4" t="s">
        <v>198</v>
      </c>
      <c r="B51" s="4" t="s">
        <v>207</v>
      </c>
      <c r="C51" s="4" t="s">
        <v>246</v>
      </c>
      <c r="D51" s="4" t="s">
        <v>254</v>
      </c>
      <c r="E51" s="4" t="s">
        <v>255</v>
      </c>
      <c r="F51" s="4" t="s">
        <v>195</v>
      </c>
      <c r="G51" s="4" t="s">
        <v>138</v>
      </c>
      <c r="H51" s="4" t="s">
        <v>205</v>
      </c>
      <c r="I51" s="6">
        <v>8967.1299999999992</v>
      </c>
      <c r="J51" s="6">
        <v>18638.006000000001</v>
      </c>
      <c r="K51" s="6">
        <v>30784.634999999998</v>
      </c>
      <c r="L51" s="6">
        <v>44142.756000000001</v>
      </c>
      <c r="M51" s="6">
        <v>44530.122000000003</v>
      </c>
      <c r="N51" s="6">
        <v>39899.760999999999</v>
      </c>
      <c r="O51" s="6">
        <v>36840.470999999998</v>
      </c>
      <c r="P51" s="6">
        <v>53025.798000000003</v>
      </c>
      <c r="Q51" s="6">
        <v>21677.164000000001</v>
      </c>
      <c r="R51" s="6">
        <v>50599.798999999999</v>
      </c>
      <c r="S51" s="6">
        <v>52755.671999999999</v>
      </c>
      <c r="T51" s="6">
        <v>46441.097999999998</v>
      </c>
      <c r="U51" s="6">
        <v>51822.934000000001</v>
      </c>
      <c r="V51" s="6">
        <v>88757.25</v>
      </c>
      <c r="W51" s="6">
        <v>56325.701999999997</v>
      </c>
      <c r="X51" s="6">
        <v>18793.642</v>
      </c>
      <c r="Y51" s="6">
        <v>22857.954000000002</v>
      </c>
      <c r="Z51" s="6">
        <v>10860.94</v>
      </c>
      <c r="AA51" s="6">
        <v>7856.1080000000002</v>
      </c>
      <c r="AB51" s="6">
        <v>7349.7129999999997</v>
      </c>
      <c r="AC51" s="6">
        <v>38604.087</v>
      </c>
      <c r="AD51" s="6">
        <v>33032.652999999998</v>
      </c>
      <c r="AE51" s="6">
        <v>45179.777999999998</v>
      </c>
      <c r="AF51" s="6">
        <v>20257.698</v>
      </c>
      <c r="AG51" s="6">
        <v>29790.852999999999</v>
      </c>
      <c r="AH51" s="6">
        <v>10885.370999999999</v>
      </c>
      <c r="AI51" s="6">
        <v>15113.876</v>
      </c>
      <c r="AJ51" s="6">
        <v>3690.9690000000001</v>
      </c>
      <c r="AK51" s="6">
        <v>4411.4740000000002</v>
      </c>
      <c r="AL51" s="6">
        <v>31046.396000000001</v>
      </c>
      <c r="AM51" s="6">
        <v>80121.057000000001</v>
      </c>
      <c r="AN51" s="6">
        <v>26008.041000000001</v>
      </c>
      <c r="AO51" s="6">
        <v>12274.271000000001</v>
      </c>
      <c r="AP51" s="6">
        <v>36039.057999999997</v>
      </c>
      <c r="AQ51" s="6">
        <v>99431.960999999996</v>
      </c>
      <c r="AR51" s="6">
        <v>66805.498999999996</v>
      </c>
      <c r="AS51" s="6">
        <v>11009.362999999999</v>
      </c>
      <c r="AT51" s="6">
        <v>11009.362999999999</v>
      </c>
    </row>
    <row r="52" spans="1:46" x14ac:dyDescent="0.25">
      <c r="A52" s="4" t="s">
        <v>198</v>
      </c>
      <c r="B52" s="4" t="s">
        <v>207</v>
      </c>
      <c r="C52" s="4" t="s">
        <v>246</v>
      </c>
      <c r="D52" s="4" t="s">
        <v>254</v>
      </c>
      <c r="E52" s="4" t="s">
        <v>255</v>
      </c>
      <c r="F52" s="4" t="s">
        <v>195</v>
      </c>
      <c r="G52" s="4" t="s">
        <v>138</v>
      </c>
      <c r="H52" s="4" t="s">
        <v>249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1E-3</v>
      </c>
      <c r="Q52" s="7">
        <v>0</v>
      </c>
      <c r="R52" s="7">
        <v>1E-3</v>
      </c>
      <c r="S52" s="7">
        <v>1E-3</v>
      </c>
      <c r="T52" s="7">
        <v>1E-3</v>
      </c>
      <c r="U52" s="7">
        <v>1E-3</v>
      </c>
      <c r="V52" s="7">
        <v>1E-3</v>
      </c>
      <c r="W52" s="7">
        <v>1E-3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1E-3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1E-3</v>
      </c>
      <c r="AR52" s="7">
        <v>1E-3</v>
      </c>
      <c r="AS52" s="7">
        <v>0</v>
      </c>
      <c r="AT52" s="7">
        <v>1.0999999999999999E-2</v>
      </c>
    </row>
    <row r="53" spans="1:46" x14ac:dyDescent="0.25">
      <c r="A53" s="4" t="s">
        <v>198</v>
      </c>
      <c r="B53" s="4" t="s">
        <v>207</v>
      </c>
      <c r="C53" s="4" t="s">
        <v>246</v>
      </c>
      <c r="D53" s="4" t="s">
        <v>254</v>
      </c>
      <c r="E53" s="4" t="s">
        <v>255</v>
      </c>
      <c r="F53" s="4" t="s">
        <v>195</v>
      </c>
      <c r="G53" s="4" t="s">
        <v>138</v>
      </c>
      <c r="H53" s="4" t="s">
        <v>250</v>
      </c>
      <c r="I53" s="7">
        <v>3.4649999999999999</v>
      </c>
      <c r="J53" s="7">
        <v>5.38</v>
      </c>
      <c r="K53" s="7">
        <v>6.2190000000000003</v>
      </c>
      <c r="L53" s="7">
        <v>8.2379999999999995</v>
      </c>
      <c r="M53" s="7">
        <v>7.84</v>
      </c>
      <c r="N53" s="7">
        <v>8.7119999999999997</v>
      </c>
      <c r="O53" s="7">
        <v>9.7070000000000007</v>
      </c>
      <c r="P53" s="7">
        <v>10.436999999999999</v>
      </c>
      <c r="Q53" s="7">
        <v>9.9489999999999998</v>
      </c>
      <c r="R53" s="7">
        <v>14.368</v>
      </c>
      <c r="S53" s="7">
        <v>13.936999999999999</v>
      </c>
      <c r="T53" s="7">
        <v>9.42</v>
      </c>
      <c r="U53" s="7">
        <v>8.99</v>
      </c>
      <c r="V53" s="7">
        <v>8.94</v>
      </c>
      <c r="W53" s="7">
        <v>8.7899999999999991</v>
      </c>
      <c r="X53" s="7">
        <v>6.5789999999999997</v>
      </c>
      <c r="Y53" s="7">
        <v>6.5640000000000001</v>
      </c>
      <c r="Z53" s="7">
        <v>7.2140000000000004</v>
      </c>
      <c r="AA53" s="7">
        <v>5.859</v>
      </c>
      <c r="AB53" s="7">
        <v>5.3760000000000003</v>
      </c>
      <c r="AC53" s="7">
        <v>5.0999999999999996</v>
      </c>
      <c r="AD53" s="7">
        <v>3.9870000000000001</v>
      </c>
      <c r="AE53" s="7">
        <v>4.5110000000000001</v>
      </c>
      <c r="AF53" s="7">
        <v>3.3660000000000001</v>
      </c>
      <c r="AG53" s="7">
        <v>2.8079999999999998</v>
      </c>
      <c r="AH53" s="7">
        <v>4.5380000000000003</v>
      </c>
      <c r="AI53" s="7">
        <v>3.36</v>
      </c>
      <c r="AJ53" s="7">
        <v>3.1619999999999999</v>
      </c>
      <c r="AK53" s="7">
        <v>4.5049999999999999</v>
      </c>
      <c r="AL53" s="7">
        <v>6.3979999999999997</v>
      </c>
      <c r="AM53" s="7">
        <v>9.3000000000000007</v>
      </c>
      <c r="AN53" s="7">
        <v>11.57</v>
      </c>
      <c r="AO53" s="7">
        <v>9.1910000000000007</v>
      </c>
      <c r="AP53" s="7">
        <v>10.244</v>
      </c>
      <c r="AQ53" s="7">
        <v>7.2519999999999998</v>
      </c>
      <c r="AR53" s="7">
        <v>6.2290000000000001</v>
      </c>
      <c r="AS53" s="7">
        <v>3.851</v>
      </c>
      <c r="AT53" s="5">
        <v>339.66500000000002</v>
      </c>
    </row>
    <row r="54" spans="1:46" x14ac:dyDescent="0.25">
      <c r="A54" s="4" t="s">
        <v>198</v>
      </c>
      <c r="B54" s="4" t="s">
        <v>207</v>
      </c>
      <c r="C54" s="4" t="s">
        <v>246</v>
      </c>
      <c r="D54" s="4" t="s">
        <v>254</v>
      </c>
      <c r="E54" s="4" t="s">
        <v>255</v>
      </c>
      <c r="F54" s="4" t="s">
        <v>195</v>
      </c>
      <c r="G54" s="4" t="s">
        <v>138</v>
      </c>
      <c r="H54" s="4" t="s">
        <v>251</v>
      </c>
      <c r="I54" s="7">
        <v>0.86243879999999995</v>
      </c>
      <c r="J54" s="7">
        <v>0.83247389999999999</v>
      </c>
      <c r="K54" s="7">
        <v>1.2709025</v>
      </c>
      <c r="L54" s="7">
        <v>1.8406138000000001</v>
      </c>
      <c r="M54" s="7">
        <v>1.8734232</v>
      </c>
      <c r="N54" s="7">
        <v>1.902131</v>
      </c>
      <c r="O54" s="7">
        <v>1.9399934000000001</v>
      </c>
      <c r="P54" s="7">
        <v>2.6525778</v>
      </c>
      <c r="Q54" s="7">
        <v>1.7352721</v>
      </c>
      <c r="R54" s="7">
        <v>1.7471555000000001</v>
      </c>
      <c r="S54" s="7">
        <v>2.0524171</v>
      </c>
      <c r="T54" s="7">
        <v>1.7080318000000001</v>
      </c>
      <c r="U54" s="7">
        <v>1.3129396</v>
      </c>
      <c r="V54" s="7">
        <v>1.4438571</v>
      </c>
      <c r="W54" s="7">
        <v>1.8123214000000001</v>
      </c>
      <c r="X54" s="7">
        <v>1.5415711999999999</v>
      </c>
      <c r="Y54" s="7">
        <v>1.2936038999999999</v>
      </c>
      <c r="Z54" s="7">
        <v>1.2936015999999999</v>
      </c>
      <c r="AA54" s="7">
        <v>1.245503</v>
      </c>
      <c r="AB54" s="7">
        <v>1.2690972</v>
      </c>
      <c r="AC54" s="7">
        <v>1.2690964</v>
      </c>
      <c r="AD54" s="7">
        <v>1.2949455000000001</v>
      </c>
      <c r="AE54" s="7">
        <v>1.2949485000000001</v>
      </c>
      <c r="AF54" s="7">
        <v>0.66434559999999998</v>
      </c>
      <c r="AG54" s="7">
        <v>0.57054130000000003</v>
      </c>
      <c r="AH54" s="7">
        <v>1.1897439999999999</v>
      </c>
      <c r="AI54" s="7">
        <v>1.1699326999999999</v>
      </c>
      <c r="AJ54" s="7">
        <v>0.65466829999999998</v>
      </c>
      <c r="AK54" s="7">
        <v>0.63649860000000003</v>
      </c>
      <c r="AL54" s="7">
        <v>0.63928770000000001</v>
      </c>
      <c r="AM54" s="7">
        <v>2.4017678999999998</v>
      </c>
      <c r="AN54" s="7">
        <v>2.7190758000000002</v>
      </c>
      <c r="AO54" s="7">
        <v>3.4202846999999998</v>
      </c>
      <c r="AP54" s="7">
        <v>3.2231401000000002</v>
      </c>
      <c r="AQ54" s="7">
        <v>3.2462040999999999</v>
      </c>
      <c r="AR54" s="7">
        <v>3.2220669000000002</v>
      </c>
      <c r="AS54" s="7">
        <v>1.9770506000000001</v>
      </c>
      <c r="AT54" s="7">
        <v>3.851</v>
      </c>
    </row>
    <row r="55" spans="1:46" x14ac:dyDescent="0.25">
      <c r="A55" s="4" t="s">
        <v>198</v>
      </c>
      <c r="B55" s="4" t="s">
        <v>207</v>
      </c>
      <c r="C55" s="4" t="s">
        <v>246</v>
      </c>
      <c r="D55" s="4" t="s">
        <v>254</v>
      </c>
      <c r="E55" s="4" t="s">
        <v>255</v>
      </c>
      <c r="F55" s="4" t="s">
        <v>195</v>
      </c>
      <c r="G55" s="4" t="s">
        <v>138</v>
      </c>
      <c r="H55" s="4" t="s">
        <v>252</v>
      </c>
      <c r="I55" s="16">
        <v>0.03</v>
      </c>
      <c r="J55" s="16">
        <v>6.5000000000000002E-2</v>
      </c>
      <c r="K55" s="16">
        <v>5.8000000000000003E-2</v>
      </c>
      <c r="L55" s="16">
        <v>7.1999999999999995E-2</v>
      </c>
      <c r="M55" s="16">
        <v>9.6000000000000002E-2</v>
      </c>
      <c r="N55" s="16">
        <v>0.114</v>
      </c>
      <c r="O55" s="16">
        <v>8.6999999999999994E-2</v>
      </c>
      <c r="P55" s="16">
        <v>0.11799999999999999</v>
      </c>
      <c r="Q55" s="16">
        <v>0.17699999999999999</v>
      </c>
      <c r="R55" s="16">
        <v>0.16400000000000001</v>
      </c>
      <c r="S55" s="16">
        <v>0.22700000000000001</v>
      </c>
      <c r="T55" s="16">
        <v>0.216</v>
      </c>
      <c r="U55" s="16">
        <v>0.20499999999999999</v>
      </c>
      <c r="V55" s="16">
        <v>0.20499999999999999</v>
      </c>
      <c r="W55" s="16">
        <v>0.14699999999999999</v>
      </c>
      <c r="X55" s="16">
        <v>0.107</v>
      </c>
      <c r="Y55" s="16">
        <v>8.8999999999999996E-2</v>
      </c>
      <c r="Z55" s="16">
        <v>9.6000000000000002E-2</v>
      </c>
      <c r="AA55" s="16">
        <v>0.109</v>
      </c>
      <c r="AB55" s="16">
        <v>0.11799999999999999</v>
      </c>
      <c r="AC55" s="16">
        <v>7.4999999999999997E-2</v>
      </c>
      <c r="AD55" s="16">
        <v>0.107</v>
      </c>
      <c r="AE55" s="16">
        <v>8.6999999999999994E-2</v>
      </c>
      <c r="AF55" s="16">
        <v>8.3000000000000004E-2</v>
      </c>
      <c r="AG55" s="16">
        <v>5.1999999999999998E-2</v>
      </c>
      <c r="AH55" s="16">
        <v>8.5000000000000006E-2</v>
      </c>
      <c r="AI55" s="16">
        <v>0.06</v>
      </c>
      <c r="AJ55" s="16">
        <v>0.06</v>
      </c>
      <c r="AK55" s="16">
        <v>5.8999999999999997E-2</v>
      </c>
      <c r="AL55" s="16">
        <v>3.3000000000000002E-2</v>
      </c>
      <c r="AM55" s="16">
        <v>0.10100000000000001</v>
      </c>
      <c r="AN55" s="16">
        <v>0.224</v>
      </c>
      <c r="AO55" s="16">
        <v>0.253</v>
      </c>
      <c r="AP55" s="16">
        <v>0.23300000000000001</v>
      </c>
      <c r="AQ55" s="16">
        <v>0.20100000000000001</v>
      </c>
      <c r="AR55" s="16">
        <v>0.20100000000000001</v>
      </c>
      <c r="AS55" s="16">
        <v>0.17799999999999999</v>
      </c>
      <c r="AT55" s="7">
        <v>1.9770506000000001</v>
      </c>
    </row>
    <row r="56" spans="1:46" x14ac:dyDescent="0.25">
      <c r="A56" s="4" t="s">
        <v>198</v>
      </c>
      <c r="B56" s="4" t="s">
        <v>207</v>
      </c>
      <c r="C56" s="4" t="s">
        <v>246</v>
      </c>
      <c r="D56" s="4" t="s">
        <v>254</v>
      </c>
      <c r="E56" s="4" t="s">
        <v>255</v>
      </c>
      <c r="F56" s="4" t="s">
        <v>195</v>
      </c>
      <c r="G56" s="4" t="s">
        <v>140</v>
      </c>
      <c r="H56" s="4" t="s">
        <v>151</v>
      </c>
      <c r="I56" s="5">
        <v>213.65799999999999</v>
      </c>
      <c r="J56" s="5">
        <v>306.43</v>
      </c>
      <c r="K56" s="5">
        <v>205.85300000000001</v>
      </c>
      <c r="L56" s="5">
        <v>224.77799999999999</v>
      </c>
      <c r="M56" s="5">
        <v>154.88999999999999</v>
      </c>
      <c r="N56" s="5">
        <v>200.32</v>
      </c>
      <c r="O56" s="5">
        <v>68.216999999999999</v>
      </c>
      <c r="P56" s="5">
        <v>275.452</v>
      </c>
      <c r="Q56" s="5">
        <v>153.37899999999999</v>
      </c>
      <c r="R56" s="5">
        <v>221.66499999999999</v>
      </c>
      <c r="S56" s="5">
        <v>140.77600000000001</v>
      </c>
      <c r="T56" s="5">
        <v>138.24799999999999</v>
      </c>
      <c r="U56" s="5">
        <v>189.679</v>
      </c>
      <c r="V56" s="5">
        <v>247.53200000000001</v>
      </c>
      <c r="W56" s="5">
        <v>172.874</v>
      </c>
      <c r="X56" s="5">
        <v>273.81</v>
      </c>
      <c r="Y56" s="5">
        <v>206.58</v>
      </c>
      <c r="Z56" s="5">
        <v>298.19400000000002</v>
      </c>
      <c r="AA56" s="5">
        <v>339.07400000000001</v>
      </c>
      <c r="AB56" s="5">
        <v>153.06200000000001</v>
      </c>
      <c r="AC56" s="5">
        <v>200.733</v>
      </c>
      <c r="AD56" s="5">
        <v>220.09800000000001</v>
      </c>
      <c r="AE56" s="5">
        <v>237.14</v>
      </c>
      <c r="AF56" s="5">
        <v>265.67</v>
      </c>
      <c r="AG56" s="5">
        <v>314.226</v>
      </c>
      <c r="AH56" s="5">
        <v>355.22399999999999</v>
      </c>
      <c r="AI56" s="5">
        <v>245.46</v>
      </c>
      <c r="AJ56" s="5">
        <v>211.50399999999999</v>
      </c>
      <c r="AK56" s="5">
        <v>324.48200000000003</v>
      </c>
      <c r="AL56" s="5">
        <v>304.31799999999998</v>
      </c>
      <c r="AM56" s="5">
        <v>481.94299999999998</v>
      </c>
      <c r="AN56" s="5">
        <v>307.99</v>
      </c>
      <c r="AO56" s="5">
        <v>204.75299999999999</v>
      </c>
      <c r="AP56" s="5">
        <v>267.7</v>
      </c>
      <c r="AQ56" s="5">
        <v>299.45</v>
      </c>
      <c r="AR56" s="5">
        <v>315.04000000000002</v>
      </c>
      <c r="AS56" s="5">
        <v>134.614</v>
      </c>
      <c r="AT56" s="5">
        <v>807.68399999999997</v>
      </c>
    </row>
    <row r="57" spans="1:46" x14ac:dyDescent="0.25">
      <c r="A57" s="4" t="s">
        <v>198</v>
      </c>
      <c r="B57" s="4" t="s">
        <v>207</v>
      </c>
      <c r="C57" s="4" t="s">
        <v>246</v>
      </c>
      <c r="D57" s="4" t="s">
        <v>254</v>
      </c>
      <c r="E57" s="4" t="s">
        <v>255</v>
      </c>
      <c r="F57" s="4" t="s">
        <v>195</v>
      </c>
      <c r="G57" s="4" t="s">
        <v>140</v>
      </c>
      <c r="H57" s="4" t="s">
        <v>205</v>
      </c>
      <c r="I57" s="6">
        <v>54355.214999999997</v>
      </c>
      <c r="J57" s="6">
        <v>81487.630999999994</v>
      </c>
      <c r="K57" s="6">
        <v>51294.328999999998</v>
      </c>
      <c r="L57" s="6">
        <v>55139.305999999997</v>
      </c>
      <c r="M57" s="6">
        <v>38911.733999999997</v>
      </c>
      <c r="N57" s="6">
        <v>51835.659</v>
      </c>
      <c r="O57" s="6">
        <v>18375.895</v>
      </c>
      <c r="P57" s="6">
        <v>68534.567999999999</v>
      </c>
      <c r="Q57" s="6">
        <v>39413.014999999999</v>
      </c>
      <c r="R57" s="6">
        <v>58560.934000000001</v>
      </c>
      <c r="S57" s="6">
        <v>37023.993999999999</v>
      </c>
      <c r="T57" s="6">
        <v>36359.199000000001</v>
      </c>
      <c r="U57" s="6">
        <v>51878.875999999997</v>
      </c>
      <c r="V57" s="6">
        <v>68613.736000000004</v>
      </c>
      <c r="W57" s="6">
        <v>44664.892999999996</v>
      </c>
      <c r="X57" s="6">
        <v>82557.032000000007</v>
      </c>
      <c r="Y57" s="6">
        <v>61991.288999999997</v>
      </c>
      <c r="Z57" s="6">
        <v>94258.952000000005</v>
      </c>
      <c r="AA57" s="6">
        <v>112079.572</v>
      </c>
      <c r="AB57" s="6">
        <v>46787.186999999998</v>
      </c>
      <c r="AC57" s="6">
        <v>61860.169000000002</v>
      </c>
      <c r="AD57" s="6">
        <v>66818.260999999999</v>
      </c>
      <c r="AE57" s="6">
        <v>74809.921000000002</v>
      </c>
      <c r="AF57" s="6">
        <v>83366.688999999998</v>
      </c>
      <c r="AG57" s="6">
        <v>100112.91800000001</v>
      </c>
      <c r="AH57" s="6">
        <v>105039.28599999999</v>
      </c>
      <c r="AI57" s="6">
        <v>80108.159</v>
      </c>
      <c r="AJ57" s="6">
        <v>70798.323999999993</v>
      </c>
      <c r="AK57" s="6">
        <v>109193.73699999999</v>
      </c>
      <c r="AL57" s="6">
        <v>111123.371</v>
      </c>
      <c r="AM57" s="6">
        <v>167197.70800000001</v>
      </c>
      <c r="AN57" s="6">
        <v>118388.09</v>
      </c>
      <c r="AO57" s="6">
        <v>78544.077999999994</v>
      </c>
      <c r="AP57" s="6">
        <v>112215.787</v>
      </c>
      <c r="AQ57" s="6">
        <v>119627.19899999999</v>
      </c>
      <c r="AR57" s="6">
        <v>133639.821</v>
      </c>
      <c r="AS57" s="6">
        <v>50372.584000000003</v>
      </c>
      <c r="AT57" s="6">
        <v>50372.584000000003</v>
      </c>
    </row>
    <row r="58" spans="1:46" x14ac:dyDescent="0.25">
      <c r="A58" s="4" t="s">
        <v>198</v>
      </c>
      <c r="B58" s="4" t="s">
        <v>207</v>
      </c>
      <c r="C58" s="4" t="s">
        <v>246</v>
      </c>
      <c r="D58" s="4" t="s">
        <v>254</v>
      </c>
      <c r="E58" s="4" t="s">
        <v>255</v>
      </c>
      <c r="F58" s="4" t="s">
        <v>195</v>
      </c>
      <c r="G58" s="4" t="s">
        <v>140</v>
      </c>
      <c r="H58" s="4" t="s">
        <v>249</v>
      </c>
      <c r="I58" s="7">
        <v>6.0000000000000001E-3</v>
      </c>
      <c r="J58" s="7">
        <v>7.0000000000000001E-3</v>
      </c>
      <c r="K58" s="7">
        <v>4.0000000000000001E-3</v>
      </c>
      <c r="L58" s="7">
        <v>3.0000000000000001E-3</v>
      </c>
      <c r="M58" s="7">
        <v>2E-3</v>
      </c>
      <c r="N58" s="7">
        <v>2E-3</v>
      </c>
      <c r="O58" s="7">
        <v>1E-3</v>
      </c>
      <c r="P58" s="7">
        <v>4.0000000000000001E-3</v>
      </c>
      <c r="Q58" s="7">
        <v>3.0000000000000001E-3</v>
      </c>
      <c r="R58" s="7">
        <v>6.0000000000000001E-3</v>
      </c>
      <c r="S58" s="7">
        <v>4.0000000000000001E-3</v>
      </c>
      <c r="T58" s="7">
        <v>5.0000000000000001E-3</v>
      </c>
      <c r="U58" s="7">
        <v>6.0000000000000001E-3</v>
      </c>
      <c r="V58" s="7">
        <v>7.0000000000000001E-3</v>
      </c>
      <c r="W58" s="7">
        <v>3.0000000000000001E-3</v>
      </c>
      <c r="X58" s="7">
        <v>4.0000000000000001E-3</v>
      </c>
      <c r="Y58" s="7">
        <v>2E-3</v>
      </c>
      <c r="Z58" s="7">
        <v>4.0000000000000001E-3</v>
      </c>
      <c r="AA58" s="7">
        <v>4.0000000000000001E-3</v>
      </c>
      <c r="AB58" s="7">
        <v>2E-3</v>
      </c>
      <c r="AC58" s="7">
        <v>3.0000000000000001E-3</v>
      </c>
      <c r="AD58" s="7">
        <v>5.0000000000000001E-3</v>
      </c>
      <c r="AE58" s="7">
        <v>6.0000000000000001E-3</v>
      </c>
      <c r="AF58" s="7">
        <v>6.0000000000000001E-3</v>
      </c>
      <c r="AG58" s="7">
        <v>7.0000000000000001E-3</v>
      </c>
      <c r="AH58" s="7">
        <v>7.0000000000000001E-3</v>
      </c>
      <c r="AI58" s="7">
        <v>4.0000000000000001E-3</v>
      </c>
      <c r="AJ58" s="7">
        <v>3.0000000000000001E-3</v>
      </c>
      <c r="AK58" s="7">
        <v>4.0000000000000001E-3</v>
      </c>
      <c r="AL58" s="7">
        <v>3.0000000000000001E-3</v>
      </c>
      <c r="AM58" s="7">
        <v>5.0000000000000001E-3</v>
      </c>
      <c r="AN58" s="7">
        <v>3.0000000000000001E-3</v>
      </c>
      <c r="AO58" s="7">
        <v>3.0000000000000001E-3</v>
      </c>
      <c r="AP58" s="7">
        <v>4.0000000000000001E-3</v>
      </c>
      <c r="AQ58" s="7">
        <v>5.0000000000000001E-3</v>
      </c>
      <c r="AR58" s="7">
        <v>7.0000000000000001E-3</v>
      </c>
      <c r="AS58" s="7">
        <v>5.0000000000000001E-3</v>
      </c>
      <c r="AT58" s="7">
        <v>0.23799999999999999</v>
      </c>
    </row>
    <row r="59" spans="1:46" x14ac:dyDescent="0.25">
      <c r="A59" s="4" t="s">
        <v>198</v>
      </c>
      <c r="B59" s="4" t="s">
        <v>207</v>
      </c>
      <c r="C59" s="4" t="s">
        <v>246</v>
      </c>
      <c r="D59" s="4" t="s">
        <v>254</v>
      </c>
      <c r="E59" s="4" t="s">
        <v>255</v>
      </c>
      <c r="F59" s="4" t="s">
        <v>195</v>
      </c>
      <c r="G59" s="4" t="s">
        <v>140</v>
      </c>
      <c r="H59" s="4" t="s">
        <v>250</v>
      </c>
      <c r="I59" s="7">
        <v>10.874000000000001</v>
      </c>
      <c r="J59" s="7">
        <v>11.125999999999999</v>
      </c>
      <c r="K59" s="7">
        <v>9.5549999999999997</v>
      </c>
      <c r="L59" s="7">
        <v>10.397</v>
      </c>
      <c r="M59" s="7">
        <v>10.585000000000001</v>
      </c>
      <c r="N59" s="7">
        <v>13.135</v>
      </c>
      <c r="O59" s="7">
        <v>7.6</v>
      </c>
      <c r="P59" s="7">
        <v>10.739000000000001</v>
      </c>
      <c r="Q59" s="7">
        <v>10.522</v>
      </c>
      <c r="R59" s="7">
        <v>13.067</v>
      </c>
      <c r="S59" s="7">
        <v>11.257999999999999</v>
      </c>
      <c r="T59" s="7">
        <v>12.736000000000001</v>
      </c>
      <c r="U59" s="7">
        <v>13.760999999999999</v>
      </c>
      <c r="V59" s="7">
        <v>15.385</v>
      </c>
      <c r="W59" s="7">
        <v>12.234999999999999</v>
      </c>
      <c r="X59" s="7">
        <v>13.537000000000001</v>
      </c>
      <c r="Y59" s="7">
        <v>15.105</v>
      </c>
      <c r="Z59" s="7">
        <v>16.960999999999999</v>
      </c>
      <c r="AA59" s="7">
        <v>14.31</v>
      </c>
      <c r="AB59" s="7">
        <v>11.808999999999999</v>
      </c>
      <c r="AC59" s="7">
        <v>11.657</v>
      </c>
      <c r="AD59" s="7">
        <v>8.4610000000000003</v>
      </c>
      <c r="AE59" s="7">
        <v>10.523999999999999</v>
      </c>
      <c r="AF59" s="7">
        <v>9.5649999999999995</v>
      </c>
      <c r="AG59" s="7">
        <v>6.7880000000000003</v>
      </c>
      <c r="AH59" s="7">
        <v>11.097</v>
      </c>
      <c r="AI59" s="7">
        <v>9.1430000000000007</v>
      </c>
      <c r="AJ59" s="7">
        <v>7.3079999999999998</v>
      </c>
      <c r="AK59" s="7">
        <v>10.563000000000001</v>
      </c>
      <c r="AL59" s="7">
        <v>12.037000000000001</v>
      </c>
      <c r="AM59" s="7">
        <v>11.984999999999999</v>
      </c>
      <c r="AN59" s="7">
        <v>12.858000000000001</v>
      </c>
      <c r="AO59" s="7">
        <v>12.955</v>
      </c>
      <c r="AP59" s="7">
        <v>13.260999999999999</v>
      </c>
      <c r="AQ59" s="7">
        <v>11.486000000000001</v>
      </c>
      <c r="AR59" s="7">
        <v>10.141</v>
      </c>
      <c r="AS59" s="7">
        <v>10.436</v>
      </c>
      <c r="AT59" s="5">
        <v>5696.7640000000001</v>
      </c>
    </row>
    <row r="60" spans="1:46" x14ac:dyDescent="0.25">
      <c r="A60" s="4" t="s">
        <v>198</v>
      </c>
      <c r="B60" s="4" t="s">
        <v>207</v>
      </c>
      <c r="C60" s="4" t="s">
        <v>246</v>
      </c>
      <c r="D60" s="4" t="s">
        <v>254</v>
      </c>
      <c r="E60" s="4" t="s">
        <v>255</v>
      </c>
      <c r="F60" s="4" t="s">
        <v>195</v>
      </c>
      <c r="G60" s="4" t="s">
        <v>140</v>
      </c>
      <c r="H60" s="4" t="s">
        <v>251</v>
      </c>
      <c r="I60" s="7">
        <v>4.275976</v>
      </c>
      <c r="J60" s="7">
        <v>4.8132457999999998</v>
      </c>
      <c r="K60" s="7">
        <v>3.7049897999999999</v>
      </c>
      <c r="L60" s="7">
        <v>3.8702380999999999</v>
      </c>
      <c r="M60" s="7">
        <v>3.6728402999999998</v>
      </c>
      <c r="N60" s="7">
        <v>4.1230447000000003</v>
      </c>
      <c r="O60" s="7">
        <v>3.7393831</v>
      </c>
      <c r="P60" s="7">
        <v>5.0509386000000003</v>
      </c>
      <c r="Q60" s="7">
        <v>4.7011301000000003</v>
      </c>
      <c r="R60" s="7">
        <v>4.6817057000000002</v>
      </c>
      <c r="S60" s="7">
        <v>4.1717092999999998</v>
      </c>
      <c r="T60" s="7">
        <v>4.6822331999999998</v>
      </c>
      <c r="U60" s="7">
        <v>5.0457926000000004</v>
      </c>
      <c r="V60" s="7">
        <v>4.8932561000000003</v>
      </c>
      <c r="W60" s="7">
        <v>4.2007377000000004</v>
      </c>
      <c r="X60" s="7">
        <v>4.4643256999999998</v>
      </c>
      <c r="Y60" s="7">
        <v>4.5891013999999997</v>
      </c>
      <c r="Z60" s="7">
        <v>5.8041973000000002</v>
      </c>
      <c r="AA60" s="7">
        <v>4.6710764999999999</v>
      </c>
      <c r="AB60" s="7">
        <v>4.6178603999999996</v>
      </c>
      <c r="AC60" s="7">
        <v>4.8034698999999996</v>
      </c>
      <c r="AD60" s="7">
        <v>4.9373841000000001</v>
      </c>
      <c r="AE60" s="7">
        <v>5.1626894999999999</v>
      </c>
      <c r="AF60" s="7">
        <v>5.4934621000000003</v>
      </c>
      <c r="AG60" s="7">
        <v>5.3164331999999996</v>
      </c>
      <c r="AH60" s="7">
        <v>6.0812011999999998</v>
      </c>
      <c r="AI60" s="7">
        <v>5.6315634000000001</v>
      </c>
      <c r="AJ60" s="7">
        <v>5.1163027000000003</v>
      </c>
      <c r="AK60" s="7">
        <v>5.0822719000000003</v>
      </c>
      <c r="AL60" s="7">
        <v>5.3379211</v>
      </c>
      <c r="AM60" s="7">
        <v>5.1546396999999997</v>
      </c>
      <c r="AN60" s="7">
        <v>5.3360361000000003</v>
      </c>
      <c r="AO60" s="7">
        <v>6.0567599999999997</v>
      </c>
      <c r="AP60" s="7">
        <v>6.3980177999999999</v>
      </c>
      <c r="AQ60" s="7">
        <v>6.5814719000000004</v>
      </c>
      <c r="AR60" s="7">
        <v>6.6471676000000004</v>
      </c>
      <c r="AS60" s="7">
        <v>6.0829969999999998</v>
      </c>
      <c r="AT60" s="7">
        <v>10.436</v>
      </c>
    </row>
    <row r="61" spans="1:46" x14ac:dyDescent="0.25">
      <c r="A61" s="4" t="s">
        <v>198</v>
      </c>
      <c r="B61" s="4" t="s">
        <v>207</v>
      </c>
      <c r="C61" s="4" t="s">
        <v>246</v>
      </c>
      <c r="D61" s="4" t="s">
        <v>254</v>
      </c>
      <c r="E61" s="4" t="s">
        <v>255</v>
      </c>
      <c r="F61" s="4" t="s">
        <v>195</v>
      </c>
      <c r="G61" s="4" t="s">
        <v>140</v>
      </c>
      <c r="H61" s="4" t="s">
        <v>252</v>
      </c>
      <c r="I61" s="16">
        <v>0.27700000000000002</v>
      </c>
      <c r="J61" s="16">
        <v>0.30199999999999999</v>
      </c>
      <c r="K61" s="16">
        <v>0.28000000000000003</v>
      </c>
      <c r="L61" s="16">
        <v>0.20300000000000001</v>
      </c>
      <c r="M61" s="16">
        <v>0.21</v>
      </c>
      <c r="N61" s="16">
        <v>0.21299999999999999</v>
      </c>
      <c r="O61" s="16">
        <v>0.21299999999999999</v>
      </c>
      <c r="P61" s="16">
        <v>0.28699999999999998</v>
      </c>
      <c r="Q61" s="16">
        <v>0.38700000000000001</v>
      </c>
      <c r="R61" s="16">
        <v>0.34300000000000003</v>
      </c>
      <c r="S61" s="16">
        <v>0.36099999999999999</v>
      </c>
      <c r="T61" s="16">
        <v>0.39200000000000002</v>
      </c>
      <c r="U61" s="16">
        <v>0.42799999999999999</v>
      </c>
      <c r="V61" s="16">
        <v>0.36699999999999999</v>
      </c>
      <c r="W61" s="16">
        <v>0.25600000000000001</v>
      </c>
      <c r="X61" s="16">
        <v>0.27600000000000002</v>
      </c>
      <c r="Y61" s="16">
        <v>0.28999999999999998</v>
      </c>
      <c r="Z61" s="16">
        <v>0.42099999999999999</v>
      </c>
      <c r="AA61" s="16">
        <v>0.34</v>
      </c>
      <c r="AB61" s="16">
        <v>0.40500000000000003</v>
      </c>
      <c r="AC61" s="16">
        <v>0.35399999999999998</v>
      </c>
      <c r="AD61" s="16">
        <v>0.372</v>
      </c>
      <c r="AE61" s="16">
        <v>0.31900000000000001</v>
      </c>
      <c r="AF61" s="16">
        <v>0.41499999999999998</v>
      </c>
      <c r="AG61" s="16">
        <v>0.32700000000000001</v>
      </c>
      <c r="AH61" s="16">
        <v>0.40699999999999997</v>
      </c>
      <c r="AI61" s="16">
        <v>0.36199999999999999</v>
      </c>
      <c r="AJ61" s="16">
        <v>0.315</v>
      </c>
      <c r="AK61" s="16">
        <v>0.23</v>
      </c>
      <c r="AL61" s="16">
        <v>0.23400000000000001</v>
      </c>
      <c r="AM61" s="16">
        <v>0.33</v>
      </c>
      <c r="AN61" s="16">
        <v>0.38300000000000001</v>
      </c>
      <c r="AO61" s="16">
        <v>0.56200000000000006</v>
      </c>
      <c r="AP61" s="16">
        <v>0.56799999999999995</v>
      </c>
      <c r="AQ61" s="16">
        <v>0.55100000000000005</v>
      </c>
      <c r="AR61" s="16">
        <v>0.52</v>
      </c>
      <c r="AS61" s="16">
        <v>0.497</v>
      </c>
      <c r="AT61" s="7">
        <v>6.0829969999999998</v>
      </c>
    </row>
    <row r="62" spans="1:46" x14ac:dyDescent="0.25">
      <c r="A62" s="4" t="s">
        <v>198</v>
      </c>
      <c r="B62" s="4" t="s">
        <v>207</v>
      </c>
      <c r="C62" s="4" t="s">
        <v>246</v>
      </c>
      <c r="D62" s="4" t="s">
        <v>254</v>
      </c>
      <c r="E62" s="4" t="s">
        <v>256</v>
      </c>
      <c r="F62" s="4" t="s">
        <v>195</v>
      </c>
      <c r="G62" s="4" t="s">
        <v>93</v>
      </c>
      <c r="H62" s="4" t="s">
        <v>151</v>
      </c>
      <c r="I62" s="5">
        <v>250.09100000000001</v>
      </c>
      <c r="J62" s="5">
        <v>76.569000000000003</v>
      </c>
      <c r="K62" s="5">
        <v>80.572999999999993</v>
      </c>
      <c r="L62" s="5">
        <v>167.95099999999999</v>
      </c>
      <c r="M62" s="5">
        <v>99.971999999999994</v>
      </c>
      <c r="N62" s="5">
        <v>164.24600000000001</v>
      </c>
      <c r="O62" s="5">
        <v>247.19900000000001</v>
      </c>
      <c r="P62" s="5">
        <v>108.595</v>
      </c>
      <c r="Q62" s="5">
        <v>96.588999999999999</v>
      </c>
      <c r="R62" s="5">
        <v>19.199000000000002</v>
      </c>
      <c r="S62" s="5">
        <v>10.945</v>
      </c>
      <c r="T62" s="5">
        <v>10.945</v>
      </c>
      <c r="U62" s="5">
        <v>10.239000000000001</v>
      </c>
      <c r="V62" s="5">
        <v>95.620999999999995</v>
      </c>
      <c r="W62" s="5">
        <v>56.524999999999999</v>
      </c>
      <c r="X62" s="5">
        <v>90.739000000000004</v>
      </c>
      <c r="Y62" s="5">
        <v>401.017</v>
      </c>
      <c r="Z62" s="5">
        <v>112.033</v>
      </c>
      <c r="AA62" s="5">
        <v>103.39700000000001</v>
      </c>
      <c r="AB62" s="5">
        <v>132.12299999999999</v>
      </c>
      <c r="AC62" s="5">
        <v>358.536</v>
      </c>
      <c r="AD62" s="5">
        <v>118.607</v>
      </c>
      <c r="AE62" s="5">
        <v>140.46899999999999</v>
      </c>
      <c r="AF62" s="5">
        <v>97.947000000000003</v>
      </c>
      <c r="AG62" s="5">
        <v>392.99200000000002</v>
      </c>
      <c r="AH62" s="5">
        <v>223.96</v>
      </c>
      <c r="AI62" s="5">
        <v>573.91499999999996</v>
      </c>
      <c r="AJ62" s="5">
        <v>309.58100000000002</v>
      </c>
      <c r="AK62" s="5">
        <v>205.96899999999999</v>
      </c>
      <c r="AL62" s="5">
        <v>448.08699999999999</v>
      </c>
      <c r="AM62" s="5">
        <v>408.26900000000001</v>
      </c>
      <c r="AN62" s="5">
        <v>204.33600000000001</v>
      </c>
      <c r="AO62" s="5">
        <v>307.28800000000001</v>
      </c>
      <c r="AP62" s="5">
        <v>116.934</v>
      </c>
      <c r="AQ62" s="5">
        <v>81.141999999999996</v>
      </c>
      <c r="AR62" s="5">
        <v>40.448</v>
      </c>
      <c r="AS62" s="5">
        <v>90.281999999999996</v>
      </c>
      <c r="AT62" s="5">
        <v>90.281999999999996</v>
      </c>
    </row>
    <row r="63" spans="1:46" x14ac:dyDescent="0.25">
      <c r="A63" s="4" t="s">
        <v>198</v>
      </c>
      <c r="B63" s="4" t="s">
        <v>207</v>
      </c>
      <c r="C63" s="4" t="s">
        <v>246</v>
      </c>
      <c r="D63" s="4" t="s">
        <v>254</v>
      </c>
      <c r="E63" s="4" t="s">
        <v>256</v>
      </c>
      <c r="F63" s="4" t="s">
        <v>195</v>
      </c>
      <c r="G63" s="4" t="s">
        <v>93</v>
      </c>
      <c r="H63" s="4" t="s">
        <v>205</v>
      </c>
      <c r="I63" s="6">
        <v>69826.941000000006</v>
      </c>
      <c r="J63" s="6">
        <v>18791.48</v>
      </c>
      <c r="K63" s="6">
        <v>22758.998</v>
      </c>
      <c r="L63" s="6">
        <v>46421.919000000002</v>
      </c>
      <c r="M63" s="6">
        <v>24531.687999999998</v>
      </c>
      <c r="N63" s="6">
        <v>43352.347999999998</v>
      </c>
      <c r="O63" s="6">
        <v>67124.046000000002</v>
      </c>
      <c r="P63" s="6">
        <v>30136.401000000002</v>
      </c>
      <c r="Q63" s="6">
        <v>25017.249</v>
      </c>
      <c r="R63" s="6">
        <v>3494.1280000000002</v>
      </c>
      <c r="S63" s="6">
        <v>1991.933</v>
      </c>
      <c r="T63" s="6">
        <v>1991.933</v>
      </c>
      <c r="U63" s="6">
        <v>1978.845</v>
      </c>
      <c r="V63" s="6">
        <v>26925.55</v>
      </c>
      <c r="W63" s="6">
        <v>14784.261</v>
      </c>
      <c r="X63" s="6">
        <v>24563.042000000001</v>
      </c>
      <c r="Y63" s="6">
        <v>109994.15</v>
      </c>
      <c r="Z63" s="6">
        <v>26255.88</v>
      </c>
      <c r="AA63" s="6">
        <v>28189.674999999999</v>
      </c>
      <c r="AB63" s="6">
        <v>32844.682000000001</v>
      </c>
      <c r="AC63" s="6">
        <v>108785.928</v>
      </c>
      <c r="AD63" s="6">
        <v>33656.159</v>
      </c>
      <c r="AE63" s="6">
        <v>37960.341999999997</v>
      </c>
      <c r="AF63" s="6">
        <v>28600.491999999998</v>
      </c>
      <c r="AG63" s="6">
        <v>106951.851</v>
      </c>
      <c r="AH63" s="6">
        <v>51362.493999999999</v>
      </c>
      <c r="AI63" s="6">
        <v>158814.326</v>
      </c>
      <c r="AJ63" s="6">
        <v>78675.638000000006</v>
      </c>
      <c r="AK63" s="6">
        <v>49518.307999999997</v>
      </c>
      <c r="AL63" s="6">
        <v>122083.95600000001</v>
      </c>
      <c r="AM63" s="6">
        <v>111943.489</v>
      </c>
      <c r="AN63" s="6">
        <v>57509.540999999997</v>
      </c>
      <c r="AO63" s="6">
        <v>85202.388999999996</v>
      </c>
      <c r="AP63" s="6">
        <v>32694.86</v>
      </c>
      <c r="AQ63" s="6">
        <v>22640.965</v>
      </c>
      <c r="AR63" s="6">
        <v>11446.758</v>
      </c>
      <c r="AS63" s="6">
        <v>27242.959999999999</v>
      </c>
      <c r="AT63" s="6">
        <v>27242.959999999999</v>
      </c>
    </row>
    <row r="64" spans="1:46" x14ac:dyDescent="0.25">
      <c r="A64" s="4" t="s">
        <v>198</v>
      </c>
      <c r="B64" s="4" t="s">
        <v>207</v>
      </c>
      <c r="C64" s="4" t="s">
        <v>246</v>
      </c>
      <c r="D64" s="4" t="s">
        <v>254</v>
      </c>
      <c r="E64" s="4" t="s">
        <v>256</v>
      </c>
      <c r="F64" s="4" t="s">
        <v>195</v>
      </c>
      <c r="G64" s="4" t="s">
        <v>93</v>
      </c>
      <c r="H64" s="4" t="s">
        <v>249</v>
      </c>
      <c r="I64" s="7">
        <v>0.42399999999999999</v>
      </c>
      <c r="J64" s="7">
        <v>0.108</v>
      </c>
      <c r="K64" s="7">
        <v>9.1999999999999998E-2</v>
      </c>
      <c r="L64" s="7">
        <v>0.14299999999999999</v>
      </c>
      <c r="M64" s="7">
        <v>7.4999999999999997E-2</v>
      </c>
      <c r="N64" s="7">
        <v>0.115</v>
      </c>
      <c r="O64" s="7">
        <v>0.18</v>
      </c>
      <c r="P64" s="7">
        <v>0.1</v>
      </c>
      <c r="Q64" s="7">
        <v>0.111</v>
      </c>
      <c r="R64" s="7">
        <v>3.1E-2</v>
      </c>
      <c r="S64" s="7">
        <v>2.1000000000000001E-2</v>
      </c>
      <c r="T64" s="7">
        <v>2.3E-2</v>
      </c>
      <c r="U64" s="7">
        <v>2.1999999999999999E-2</v>
      </c>
      <c r="V64" s="7">
        <v>0.17799999999999999</v>
      </c>
      <c r="W64" s="7">
        <v>7.2999999999999995E-2</v>
      </c>
      <c r="X64" s="7">
        <v>8.6999999999999994E-2</v>
      </c>
      <c r="Y64" s="7">
        <v>0.311</v>
      </c>
      <c r="Z64" s="7">
        <v>9.2999999999999999E-2</v>
      </c>
      <c r="AA64" s="7">
        <v>8.1000000000000003E-2</v>
      </c>
      <c r="AB64" s="7">
        <v>0.128</v>
      </c>
      <c r="AC64" s="7">
        <v>0.38500000000000001</v>
      </c>
      <c r="AD64" s="7">
        <v>0.158</v>
      </c>
      <c r="AE64" s="7">
        <v>0.21299999999999999</v>
      </c>
      <c r="AF64" s="7">
        <v>0.153</v>
      </c>
      <c r="AG64" s="7">
        <v>0.58499999999999996</v>
      </c>
      <c r="AH64" s="7">
        <v>0.29599999999999999</v>
      </c>
      <c r="AI64" s="7">
        <v>0.60699999999999998</v>
      </c>
      <c r="AJ64" s="7">
        <v>0.26700000000000002</v>
      </c>
      <c r="AK64" s="7">
        <v>0.155</v>
      </c>
      <c r="AL64" s="7">
        <v>0.32600000000000001</v>
      </c>
      <c r="AM64" s="7">
        <v>0.248</v>
      </c>
      <c r="AN64" s="7">
        <v>0.14000000000000001</v>
      </c>
      <c r="AO64" s="7">
        <v>0.245</v>
      </c>
      <c r="AP64" s="7">
        <v>0.106</v>
      </c>
      <c r="AQ64" s="7">
        <v>8.5999999999999993E-2</v>
      </c>
      <c r="AR64" s="7">
        <v>6.0999999999999999E-2</v>
      </c>
      <c r="AS64" s="7">
        <v>0.19900000000000001</v>
      </c>
      <c r="AT64" s="7">
        <v>2.7E-2</v>
      </c>
    </row>
    <row r="65" spans="1:46" x14ac:dyDescent="0.25">
      <c r="A65" s="4" t="s">
        <v>198</v>
      </c>
      <c r="B65" s="4" t="s">
        <v>207</v>
      </c>
      <c r="C65" s="4" t="s">
        <v>246</v>
      </c>
      <c r="D65" s="4" t="s">
        <v>254</v>
      </c>
      <c r="E65" s="4" t="s">
        <v>256</v>
      </c>
      <c r="F65" s="4" t="s">
        <v>195</v>
      </c>
      <c r="G65" s="4" t="s">
        <v>93</v>
      </c>
      <c r="H65" s="4" t="s">
        <v>250</v>
      </c>
      <c r="I65" s="7">
        <v>7.2990000000000004</v>
      </c>
      <c r="J65" s="7">
        <v>5.4989999999999997</v>
      </c>
      <c r="K65" s="7">
        <v>4.9180000000000001</v>
      </c>
      <c r="L65" s="7">
        <v>3.7290000000000001</v>
      </c>
      <c r="M65" s="7">
        <v>2.7839999999999998</v>
      </c>
      <c r="N65" s="7">
        <v>3.8570000000000002</v>
      </c>
      <c r="O65" s="7">
        <v>3.1150000000000002</v>
      </c>
      <c r="P65" s="7">
        <v>3.4239999999999999</v>
      </c>
      <c r="Q65" s="7">
        <v>3.2509999999999999</v>
      </c>
      <c r="R65" s="7">
        <v>1.7569999999999999</v>
      </c>
      <c r="S65" s="7">
        <v>2.3980000000000001</v>
      </c>
      <c r="T65" s="7">
        <v>3.78</v>
      </c>
      <c r="U65" s="7">
        <v>3.2530000000000001</v>
      </c>
      <c r="V65" s="7">
        <v>6.6479999999999997</v>
      </c>
      <c r="W65" s="7">
        <v>4.4619999999999997</v>
      </c>
      <c r="X65" s="7">
        <v>3.8460000000000001</v>
      </c>
      <c r="Y65" s="7">
        <v>4.9189999999999996</v>
      </c>
      <c r="Z65" s="7">
        <v>3.8580000000000001</v>
      </c>
      <c r="AA65" s="7">
        <v>7.3239999999999998</v>
      </c>
      <c r="AB65" s="7">
        <v>4.9580000000000002</v>
      </c>
      <c r="AC65" s="7">
        <v>6.3019999999999996</v>
      </c>
      <c r="AD65" s="7">
        <v>3.806</v>
      </c>
      <c r="AE65" s="7">
        <v>3.2149999999999999</v>
      </c>
      <c r="AF65" s="7">
        <v>3.9329999999999998</v>
      </c>
      <c r="AG65" s="7">
        <v>6.8259999999999996</v>
      </c>
      <c r="AH65" s="7">
        <v>8.9920000000000009</v>
      </c>
      <c r="AI65" s="7">
        <v>9.4320000000000004</v>
      </c>
      <c r="AJ65" s="7">
        <v>7.8920000000000003</v>
      </c>
      <c r="AK65" s="7">
        <v>6.3979999999999997</v>
      </c>
      <c r="AL65" s="7">
        <v>4.6500000000000004</v>
      </c>
      <c r="AM65" s="7">
        <v>4.9290000000000003</v>
      </c>
      <c r="AN65" s="7">
        <v>5.7039999999999997</v>
      </c>
      <c r="AO65" s="7">
        <v>6.1440000000000001</v>
      </c>
      <c r="AP65" s="7">
        <v>5.0780000000000003</v>
      </c>
      <c r="AQ65" s="7">
        <v>3.0920000000000001</v>
      </c>
      <c r="AR65" s="7">
        <v>1.8919999999999999</v>
      </c>
      <c r="AS65" s="7">
        <v>3.601</v>
      </c>
      <c r="AT65" s="5">
        <v>346.59300000000002</v>
      </c>
    </row>
    <row r="66" spans="1:46" x14ac:dyDescent="0.25">
      <c r="A66" s="4" t="s">
        <v>198</v>
      </c>
      <c r="B66" s="4" t="s">
        <v>207</v>
      </c>
      <c r="C66" s="4" t="s">
        <v>246</v>
      </c>
      <c r="D66" s="4" t="s">
        <v>254</v>
      </c>
      <c r="E66" s="4" t="s">
        <v>256</v>
      </c>
      <c r="F66" s="4" t="s">
        <v>195</v>
      </c>
      <c r="G66" s="4" t="s">
        <v>93</v>
      </c>
      <c r="H66" s="4" t="s">
        <v>251</v>
      </c>
      <c r="I66" s="7">
        <v>4.0273399999999997</v>
      </c>
      <c r="J66" s="7">
        <v>3.5222576000000001</v>
      </c>
      <c r="K66" s="7">
        <v>2.7862084999999999</v>
      </c>
      <c r="L66" s="7">
        <v>2.7510311000000001</v>
      </c>
      <c r="M66" s="7">
        <v>2.6972068999999999</v>
      </c>
      <c r="N66" s="7">
        <v>2.5686990999999999</v>
      </c>
      <c r="O66" s="7">
        <v>2.5687006000000001</v>
      </c>
      <c r="P66" s="7">
        <v>2.8435218</v>
      </c>
      <c r="Q66" s="7">
        <v>3.0098265999999998</v>
      </c>
      <c r="R66" s="7">
        <v>2.9500898000000002</v>
      </c>
      <c r="S66" s="7">
        <v>2.9500907000000001</v>
      </c>
      <c r="T66" s="7">
        <v>2.9899426</v>
      </c>
      <c r="U66" s="7">
        <v>3.3452484</v>
      </c>
      <c r="V66" s="7">
        <v>3.5975396000000002</v>
      </c>
      <c r="W66" s="7">
        <v>3.9716038</v>
      </c>
      <c r="X66" s="7">
        <v>3.6587141999999999</v>
      </c>
      <c r="Y66" s="7">
        <v>3.9600059000000001</v>
      </c>
      <c r="Z66" s="7">
        <v>4.3685359999999998</v>
      </c>
      <c r="AA66" s="7">
        <v>4.4378922999999997</v>
      </c>
      <c r="AB66" s="7">
        <v>4.1180484000000002</v>
      </c>
      <c r="AC66" s="7">
        <v>4.2393397000000004</v>
      </c>
      <c r="AD66" s="7">
        <v>3.9684485999999999</v>
      </c>
      <c r="AE66" s="7">
        <v>3.7419894</v>
      </c>
      <c r="AF66" s="7">
        <v>4.0461831999999998</v>
      </c>
      <c r="AG66" s="7">
        <v>4.9818638000000002</v>
      </c>
      <c r="AH66" s="7">
        <v>5.2996512999999998</v>
      </c>
      <c r="AI66" s="7">
        <v>4.4828539999999997</v>
      </c>
      <c r="AJ66" s="7">
        <v>4.4828576</v>
      </c>
      <c r="AK66" s="7">
        <v>3.9054655999999999</v>
      </c>
      <c r="AL66" s="7">
        <v>3.5011700000000001</v>
      </c>
      <c r="AM66" s="7">
        <v>3.4831967000000001</v>
      </c>
      <c r="AN66" s="7">
        <v>2.8506781000000001</v>
      </c>
      <c r="AO66" s="7">
        <v>2.8974112000000001</v>
      </c>
      <c r="AP66" s="7">
        <v>2.7176003999999998</v>
      </c>
      <c r="AQ66" s="7">
        <v>2.0589610999999999</v>
      </c>
      <c r="AR66" s="7">
        <v>1.6506208</v>
      </c>
      <c r="AS66" s="7">
        <v>2.6009413000000001</v>
      </c>
      <c r="AT66" s="7">
        <v>3.601</v>
      </c>
    </row>
    <row r="67" spans="1:46" x14ac:dyDescent="0.25">
      <c r="A67" s="4" t="s">
        <v>198</v>
      </c>
      <c r="B67" s="4" t="s">
        <v>207</v>
      </c>
      <c r="C67" s="4" t="s">
        <v>246</v>
      </c>
      <c r="D67" s="4" t="s">
        <v>254</v>
      </c>
      <c r="E67" s="4" t="s">
        <v>256</v>
      </c>
      <c r="F67" s="4" t="s">
        <v>195</v>
      </c>
      <c r="G67" s="4" t="s">
        <v>93</v>
      </c>
      <c r="H67" s="4" t="s">
        <v>252</v>
      </c>
      <c r="I67" s="16">
        <v>0.35699999999999998</v>
      </c>
      <c r="J67" s="16">
        <v>0.29899999999999999</v>
      </c>
      <c r="K67" s="16">
        <v>0.20300000000000001</v>
      </c>
      <c r="L67" s="16">
        <v>0.122</v>
      </c>
      <c r="M67" s="16">
        <v>0.112</v>
      </c>
      <c r="N67" s="16">
        <v>0.153</v>
      </c>
      <c r="O67" s="16">
        <v>0.186</v>
      </c>
      <c r="P67" s="16">
        <v>0.17399999999999999</v>
      </c>
      <c r="Q67" s="16">
        <v>0.2</v>
      </c>
      <c r="R67" s="16">
        <v>0.20300000000000001</v>
      </c>
      <c r="S67" s="16">
        <v>0.19700000000000001</v>
      </c>
      <c r="T67" s="16">
        <v>0.20100000000000001</v>
      </c>
      <c r="U67" s="16">
        <v>0.23</v>
      </c>
      <c r="V67" s="16">
        <v>0.16700000000000001</v>
      </c>
      <c r="W67" s="16">
        <v>0.151</v>
      </c>
      <c r="X67" s="16">
        <v>0.127</v>
      </c>
      <c r="Y67" s="16">
        <v>0.155</v>
      </c>
      <c r="Z67" s="16">
        <v>0.17</v>
      </c>
      <c r="AA67" s="16">
        <v>0.23899999999999999</v>
      </c>
      <c r="AB67" s="16">
        <v>0.215</v>
      </c>
      <c r="AC67" s="16">
        <v>0.246</v>
      </c>
      <c r="AD67" s="16">
        <v>0.22600000000000001</v>
      </c>
      <c r="AE67" s="16">
        <v>0.20399999999999999</v>
      </c>
      <c r="AF67" s="16">
        <v>0.23100000000000001</v>
      </c>
      <c r="AG67" s="16">
        <v>0.27500000000000002</v>
      </c>
      <c r="AH67" s="16">
        <v>0.38100000000000001</v>
      </c>
      <c r="AI67" s="16">
        <v>0.35599999999999998</v>
      </c>
      <c r="AJ67" s="16">
        <v>0.28499999999999998</v>
      </c>
      <c r="AK67" s="16">
        <v>0.185</v>
      </c>
      <c r="AL67" s="16">
        <v>0.22600000000000001</v>
      </c>
      <c r="AM67" s="16">
        <v>0.251</v>
      </c>
      <c r="AN67" s="16">
        <v>0.17599999999999999</v>
      </c>
      <c r="AO67" s="16">
        <v>0.22600000000000001</v>
      </c>
      <c r="AP67" s="16">
        <v>0.19400000000000001</v>
      </c>
      <c r="AQ67" s="16">
        <v>0.157</v>
      </c>
      <c r="AR67" s="16">
        <v>0.13400000000000001</v>
      </c>
      <c r="AS67" s="16">
        <v>0.18099999999999999</v>
      </c>
      <c r="AT67" s="7">
        <v>2.6009413000000001</v>
      </c>
    </row>
    <row r="68" spans="1:46" x14ac:dyDescent="0.25">
      <c r="A68" s="4" t="s">
        <v>198</v>
      </c>
      <c r="B68" s="4" t="s">
        <v>207</v>
      </c>
      <c r="C68" s="4" t="s">
        <v>246</v>
      </c>
      <c r="D68" s="4" t="s">
        <v>254</v>
      </c>
      <c r="E68" s="4" t="s">
        <v>257</v>
      </c>
      <c r="F68" s="4" t="s">
        <v>203</v>
      </c>
      <c r="G68" s="4" t="s">
        <v>93</v>
      </c>
      <c r="H68" s="4" t="s">
        <v>151</v>
      </c>
      <c r="I68" s="5">
        <v>377.89499999999998</v>
      </c>
      <c r="J68" s="5">
        <v>652.21500000000003</v>
      </c>
      <c r="K68" s="5">
        <v>949.93200000000002</v>
      </c>
      <c r="L68" s="5">
        <v>1023.36</v>
      </c>
      <c r="M68" s="5">
        <v>1069.127</v>
      </c>
      <c r="N68" s="5">
        <v>1064.3810000000001</v>
      </c>
      <c r="O68" s="5">
        <v>1167.24</v>
      </c>
      <c r="P68" s="5">
        <v>1109.1859999999999</v>
      </c>
      <c r="Q68" s="5">
        <v>805.13099999999997</v>
      </c>
      <c r="R68" s="5">
        <v>694.50800000000004</v>
      </c>
      <c r="S68" s="5">
        <v>740.76199999999994</v>
      </c>
      <c r="T68" s="5">
        <v>601.25800000000004</v>
      </c>
      <c r="U68" s="5">
        <v>673.44100000000003</v>
      </c>
      <c r="V68" s="5">
        <v>644.79</v>
      </c>
      <c r="W68" s="5">
        <v>1056.896</v>
      </c>
      <c r="X68" s="5">
        <v>2121.2339999999999</v>
      </c>
      <c r="Y68" s="5">
        <v>2268.9050000000002</v>
      </c>
      <c r="Z68" s="5">
        <v>1360.92</v>
      </c>
      <c r="AA68" s="5">
        <v>1174.7739999999999</v>
      </c>
      <c r="AB68" s="5">
        <v>609.61099999999999</v>
      </c>
      <c r="AC68" s="5">
        <v>726.22299999999996</v>
      </c>
      <c r="AD68" s="5">
        <v>733.91499999999996</v>
      </c>
      <c r="AE68" s="5">
        <v>703.92700000000002</v>
      </c>
      <c r="AF68" s="5">
        <v>761.64200000000005</v>
      </c>
      <c r="AG68" s="5">
        <v>767.274</v>
      </c>
      <c r="AH68" s="5">
        <v>957.08399999999995</v>
      </c>
      <c r="AI68" s="5">
        <v>1257.7360000000001</v>
      </c>
      <c r="AJ68" s="5">
        <v>1091.028</v>
      </c>
      <c r="AK68" s="5">
        <v>1220.0719999999999</v>
      </c>
      <c r="AL68" s="5">
        <v>1704.7370000000001</v>
      </c>
      <c r="AM68" s="5">
        <v>1306.028</v>
      </c>
      <c r="AN68" s="5">
        <v>1277.633</v>
      </c>
      <c r="AO68" s="5">
        <v>832.42399999999998</v>
      </c>
      <c r="AP68" s="5">
        <v>666.22400000000005</v>
      </c>
      <c r="AQ68" s="5">
        <v>442.19600000000003</v>
      </c>
      <c r="AR68" s="5">
        <v>201.78</v>
      </c>
      <c r="AS68" s="5">
        <v>187.28200000000001</v>
      </c>
      <c r="AT68" s="5">
        <v>187.28200000000001</v>
      </c>
    </row>
    <row r="69" spans="1:46" x14ac:dyDescent="0.25">
      <c r="A69" s="4" t="s">
        <v>198</v>
      </c>
      <c r="B69" s="4" t="s">
        <v>207</v>
      </c>
      <c r="C69" s="4" t="s">
        <v>246</v>
      </c>
      <c r="D69" s="4" t="s">
        <v>254</v>
      </c>
      <c r="E69" s="4" t="s">
        <v>257</v>
      </c>
      <c r="F69" s="4" t="s">
        <v>203</v>
      </c>
      <c r="G69" s="4" t="s">
        <v>93</v>
      </c>
      <c r="H69" s="4" t="s">
        <v>205</v>
      </c>
      <c r="I69" s="6">
        <v>39539.692999999999</v>
      </c>
      <c r="J69" s="6">
        <v>73565.909</v>
      </c>
      <c r="K69" s="6">
        <v>115446.37</v>
      </c>
      <c r="L69" s="6">
        <v>127169.962</v>
      </c>
      <c r="M69" s="6">
        <v>135217.01699999999</v>
      </c>
      <c r="N69" s="6">
        <v>132215.671</v>
      </c>
      <c r="O69" s="6">
        <v>149563.61900000001</v>
      </c>
      <c r="P69" s="6">
        <v>143490.505</v>
      </c>
      <c r="Q69" s="6">
        <v>100387.433</v>
      </c>
      <c r="R69" s="6">
        <v>89934.451000000001</v>
      </c>
      <c r="S69" s="6">
        <v>96927.808000000005</v>
      </c>
      <c r="T69" s="6">
        <v>71249.137000000002</v>
      </c>
      <c r="U69" s="6">
        <v>85652.930999999997</v>
      </c>
      <c r="V69" s="6">
        <v>86038.713000000003</v>
      </c>
      <c r="W69" s="6">
        <v>137714.77499999999</v>
      </c>
      <c r="X69" s="6">
        <v>282210.897</v>
      </c>
      <c r="Y69" s="6">
        <v>306611.23700000002</v>
      </c>
      <c r="Z69" s="6">
        <v>179428.31</v>
      </c>
      <c r="AA69" s="6">
        <v>148533.46900000001</v>
      </c>
      <c r="AB69" s="6">
        <v>84516.834000000003</v>
      </c>
      <c r="AC69" s="6">
        <v>100779.147</v>
      </c>
      <c r="AD69" s="6">
        <v>99417.877999999997</v>
      </c>
      <c r="AE69" s="6">
        <v>93317.073000000004</v>
      </c>
      <c r="AF69" s="6">
        <v>95832.639999999999</v>
      </c>
      <c r="AG69" s="6">
        <v>104753.32799999999</v>
      </c>
      <c r="AH69" s="6">
        <v>134472.766</v>
      </c>
      <c r="AI69" s="6">
        <v>183969.777</v>
      </c>
      <c r="AJ69" s="6">
        <v>131998.24900000001</v>
      </c>
      <c r="AK69" s="6">
        <v>153356.20600000001</v>
      </c>
      <c r="AL69" s="6">
        <v>235234.40400000001</v>
      </c>
      <c r="AM69" s="6">
        <v>151149.45800000001</v>
      </c>
      <c r="AN69" s="6">
        <v>176805.598</v>
      </c>
      <c r="AO69" s="6">
        <v>103969.508</v>
      </c>
      <c r="AP69" s="6">
        <v>83937.956999999995</v>
      </c>
      <c r="AQ69" s="6">
        <v>59635.92</v>
      </c>
      <c r="AR69" s="6">
        <v>28784.683000000001</v>
      </c>
      <c r="AS69" s="6">
        <v>26704.886999999999</v>
      </c>
      <c r="AT69" s="6">
        <v>26704.886999999999</v>
      </c>
    </row>
    <row r="70" spans="1:46" x14ac:dyDescent="0.25">
      <c r="A70" s="4" t="s">
        <v>198</v>
      </c>
      <c r="B70" s="4" t="s">
        <v>207</v>
      </c>
      <c r="C70" s="4" t="s">
        <v>246</v>
      </c>
      <c r="D70" s="4" t="s">
        <v>254</v>
      </c>
      <c r="E70" s="4" t="s">
        <v>257</v>
      </c>
      <c r="F70" s="4" t="s">
        <v>203</v>
      </c>
      <c r="G70" s="4" t="s">
        <v>93</v>
      </c>
      <c r="H70" s="4" t="s">
        <v>249</v>
      </c>
      <c r="I70" s="7">
        <v>0.53600000000000003</v>
      </c>
      <c r="J70" s="7">
        <v>0.74099999999999999</v>
      </c>
      <c r="K70" s="7">
        <v>0.86</v>
      </c>
      <c r="L70" s="7">
        <v>0.69</v>
      </c>
      <c r="M70" s="7">
        <v>0.63500000000000001</v>
      </c>
      <c r="N70" s="7">
        <v>0.58699999999999997</v>
      </c>
      <c r="O70" s="7">
        <v>0.67</v>
      </c>
      <c r="P70" s="7">
        <v>0.78800000000000003</v>
      </c>
      <c r="Q70" s="7">
        <v>0.73399999999999999</v>
      </c>
      <c r="R70" s="7">
        <v>0.878</v>
      </c>
      <c r="S70" s="7">
        <v>1.119</v>
      </c>
      <c r="T70" s="7">
        <v>1.0660000000000001</v>
      </c>
      <c r="U70" s="7">
        <v>1.1599999999999999</v>
      </c>
      <c r="V70" s="7">
        <v>0.92100000000000004</v>
      </c>
      <c r="W70" s="7">
        <v>1.0609999999999999</v>
      </c>
      <c r="X70" s="7">
        <v>1.5860000000000001</v>
      </c>
      <c r="Y70" s="7">
        <v>1.379</v>
      </c>
      <c r="Z70" s="7">
        <v>0.88800000000000001</v>
      </c>
      <c r="AA70" s="7">
        <v>0.73199999999999998</v>
      </c>
      <c r="AB70" s="7">
        <v>0.45500000000000002</v>
      </c>
      <c r="AC70" s="7">
        <v>0.6</v>
      </c>
      <c r="AD70" s="7">
        <v>0.751</v>
      </c>
      <c r="AE70" s="7">
        <v>0.82199999999999995</v>
      </c>
      <c r="AF70" s="7">
        <v>0.91300000000000003</v>
      </c>
      <c r="AG70" s="7">
        <v>0.879</v>
      </c>
      <c r="AH70" s="7">
        <v>0.97199999999999998</v>
      </c>
      <c r="AI70" s="7">
        <v>1.0229999999999999</v>
      </c>
      <c r="AJ70" s="7">
        <v>0.72399999999999998</v>
      </c>
      <c r="AK70" s="7">
        <v>0.70599999999999996</v>
      </c>
      <c r="AL70" s="7">
        <v>0.95499999999999996</v>
      </c>
      <c r="AM70" s="7">
        <v>0.61099999999999999</v>
      </c>
      <c r="AN70" s="7">
        <v>0.67400000000000004</v>
      </c>
      <c r="AO70" s="7">
        <v>0.51</v>
      </c>
      <c r="AP70" s="7">
        <v>0.46400000000000002</v>
      </c>
      <c r="AQ70" s="7">
        <v>0.36099999999999999</v>
      </c>
      <c r="AR70" s="7">
        <v>0.23400000000000001</v>
      </c>
      <c r="AS70" s="7">
        <v>0.317</v>
      </c>
      <c r="AT70" s="7">
        <v>5.5E-2</v>
      </c>
    </row>
    <row r="71" spans="1:46" x14ac:dyDescent="0.25">
      <c r="A71" s="4" t="s">
        <v>198</v>
      </c>
      <c r="B71" s="4" t="s">
        <v>207</v>
      </c>
      <c r="C71" s="4" t="s">
        <v>246</v>
      </c>
      <c r="D71" s="4" t="s">
        <v>254</v>
      </c>
      <c r="E71" s="4" t="s">
        <v>257</v>
      </c>
      <c r="F71" s="4" t="s">
        <v>203</v>
      </c>
      <c r="G71" s="4" t="s">
        <v>93</v>
      </c>
      <c r="H71" s="4" t="s">
        <v>250</v>
      </c>
      <c r="I71" s="7">
        <v>10.151</v>
      </c>
      <c r="J71" s="7">
        <v>10.426</v>
      </c>
      <c r="K71" s="7">
        <v>12.013999999999999</v>
      </c>
      <c r="L71" s="7">
        <v>14.34</v>
      </c>
      <c r="M71" s="7">
        <v>10.491</v>
      </c>
      <c r="N71" s="7">
        <v>11.35</v>
      </c>
      <c r="O71" s="7">
        <v>13.622999999999999</v>
      </c>
      <c r="P71" s="7">
        <v>11.426</v>
      </c>
      <c r="Q71" s="7">
        <v>14.159000000000001</v>
      </c>
      <c r="R71" s="7">
        <v>16.751000000000001</v>
      </c>
      <c r="S71" s="7">
        <v>14.593999999999999</v>
      </c>
      <c r="T71" s="7">
        <v>12.718</v>
      </c>
      <c r="U71" s="7">
        <v>15.654</v>
      </c>
      <c r="V71" s="7">
        <v>16.224</v>
      </c>
      <c r="W71" s="7">
        <v>18.097999999999999</v>
      </c>
      <c r="X71" s="7">
        <v>17.853000000000002</v>
      </c>
      <c r="Y71" s="7">
        <v>15.981</v>
      </c>
      <c r="Z71" s="7">
        <v>10.731999999999999</v>
      </c>
      <c r="AA71" s="7">
        <v>11.568</v>
      </c>
      <c r="AB71" s="7">
        <v>6.3479999999999999</v>
      </c>
      <c r="AC71" s="7">
        <v>9.0619999999999994</v>
      </c>
      <c r="AD71" s="7">
        <v>8.2119999999999997</v>
      </c>
      <c r="AE71" s="7">
        <v>10.09</v>
      </c>
      <c r="AF71" s="7">
        <v>11.705</v>
      </c>
      <c r="AG71" s="7">
        <v>12.04</v>
      </c>
      <c r="AH71" s="7">
        <v>8.1020000000000003</v>
      </c>
      <c r="AI71" s="7">
        <v>7.2610000000000001</v>
      </c>
      <c r="AJ71" s="7">
        <v>7.5830000000000002</v>
      </c>
      <c r="AK71" s="7">
        <v>7.89</v>
      </c>
      <c r="AL71" s="7">
        <v>8.0809999999999995</v>
      </c>
      <c r="AM71" s="7">
        <v>7.0780000000000003</v>
      </c>
      <c r="AN71" s="7">
        <v>7.4269999999999996</v>
      </c>
      <c r="AO71" s="7">
        <v>7.63</v>
      </c>
      <c r="AP71" s="7">
        <v>6.96</v>
      </c>
      <c r="AQ71" s="7">
        <v>4.1390000000000002</v>
      </c>
      <c r="AR71" s="7">
        <v>3.2650000000000001</v>
      </c>
      <c r="AS71" s="7">
        <v>4.7329999999999997</v>
      </c>
      <c r="AT71" s="5">
        <v>664.30799999999999</v>
      </c>
    </row>
    <row r="72" spans="1:46" x14ac:dyDescent="0.25">
      <c r="A72" s="4" t="s">
        <v>198</v>
      </c>
      <c r="B72" s="4" t="s">
        <v>207</v>
      </c>
      <c r="C72" s="4" t="s">
        <v>246</v>
      </c>
      <c r="D72" s="4" t="s">
        <v>254</v>
      </c>
      <c r="E72" s="4" t="s">
        <v>257</v>
      </c>
      <c r="F72" s="4" t="s">
        <v>203</v>
      </c>
      <c r="G72" s="4" t="s">
        <v>93</v>
      </c>
      <c r="H72" s="4" t="s">
        <v>251</v>
      </c>
      <c r="I72" s="7">
        <v>3.7171425</v>
      </c>
      <c r="J72" s="7">
        <v>4.4496925999999997</v>
      </c>
      <c r="K72" s="7">
        <v>5.4918155000000004</v>
      </c>
      <c r="L72" s="7">
        <v>5.9755948999999999</v>
      </c>
      <c r="M72" s="7">
        <v>5.4258037999999997</v>
      </c>
      <c r="N72" s="7">
        <v>4.6567530000000001</v>
      </c>
      <c r="O72" s="7">
        <v>4.9655258</v>
      </c>
      <c r="P72" s="7">
        <v>4.2794682999999996</v>
      </c>
      <c r="Q72" s="7">
        <v>4.9325421</v>
      </c>
      <c r="R72" s="7">
        <v>4.8893548999999998</v>
      </c>
      <c r="S72" s="7">
        <v>4.6589418</v>
      </c>
      <c r="T72" s="7">
        <v>5.1364808999999996</v>
      </c>
      <c r="U72" s="7">
        <v>5.4385165999999998</v>
      </c>
      <c r="V72" s="7">
        <v>6.0875415999999998</v>
      </c>
      <c r="W72" s="7">
        <v>5.9575316999999997</v>
      </c>
      <c r="X72" s="7">
        <v>5.3886932999999999</v>
      </c>
      <c r="Y72" s="7">
        <v>6.0487850999999999</v>
      </c>
      <c r="Z72" s="7">
        <v>5.0762571999999997</v>
      </c>
      <c r="AA72" s="7">
        <v>5.5477832999999999</v>
      </c>
      <c r="AB72" s="7">
        <v>4.8149154999999997</v>
      </c>
      <c r="AC72" s="7">
        <v>4.6388924999999999</v>
      </c>
      <c r="AD72" s="7">
        <v>6.2281803</v>
      </c>
      <c r="AE72" s="7">
        <v>6.6983351000000004</v>
      </c>
      <c r="AF72" s="7">
        <v>7.0369716999999996</v>
      </c>
      <c r="AG72" s="7">
        <v>7.0055312000000001</v>
      </c>
      <c r="AH72" s="7">
        <v>6.5058050999999999</v>
      </c>
      <c r="AI72" s="7">
        <v>6.8314215000000003</v>
      </c>
      <c r="AJ72" s="7">
        <v>6.8714466999999999</v>
      </c>
      <c r="AK72" s="7">
        <v>6.5339162999999996</v>
      </c>
      <c r="AL72" s="7">
        <v>5.7210970999999997</v>
      </c>
      <c r="AM72" s="7">
        <v>4.2583396999999996</v>
      </c>
      <c r="AN72" s="7">
        <v>3.9198089</v>
      </c>
      <c r="AO72" s="7">
        <v>3.0448149999999998</v>
      </c>
      <c r="AP72" s="7">
        <v>2.8848837999999999</v>
      </c>
      <c r="AQ72" s="7">
        <v>2.4470534000000002</v>
      </c>
      <c r="AR72" s="7">
        <v>2.5083891</v>
      </c>
      <c r="AS72" s="7">
        <v>3.0334414000000001</v>
      </c>
      <c r="AT72" s="7">
        <v>4.7329999999999997</v>
      </c>
    </row>
    <row r="73" spans="1:46" x14ac:dyDescent="0.25">
      <c r="A73" s="4" t="s">
        <v>198</v>
      </c>
      <c r="B73" s="4" t="s">
        <v>207</v>
      </c>
      <c r="C73" s="4" t="s">
        <v>246</v>
      </c>
      <c r="D73" s="4" t="s">
        <v>254</v>
      </c>
      <c r="E73" s="4" t="s">
        <v>257</v>
      </c>
      <c r="F73" s="4" t="s">
        <v>203</v>
      </c>
      <c r="G73" s="4" t="s">
        <v>93</v>
      </c>
      <c r="H73" s="4" t="s">
        <v>252</v>
      </c>
      <c r="I73" s="16">
        <v>0.371</v>
      </c>
      <c r="J73" s="16">
        <v>0.24199999999999999</v>
      </c>
      <c r="K73" s="16">
        <v>0.88</v>
      </c>
      <c r="L73" s="16">
        <v>0.81</v>
      </c>
      <c r="M73" s="16">
        <v>0.68600000000000005</v>
      </c>
      <c r="N73" s="16">
        <v>0.745</v>
      </c>
      <c r="O73" s="16">
        <v>0.72599999999999998</v>
      </c>
      <c r="P73" s="16">
        <v>0.69299999999999995</v>
      </c>
      <c r="Q73" s="16">
        <v>0.81</v>
      </c>
      <c r="R73" s="16">
        <v>0.97299999999999998</v>
      </c>
      <c r="S73" s="16">
        <v>0.76200000000000001</v>
      </c>
      <c r="T73" s="16">
        <v>0.76100000000000001</v>
      </c>
      <c r="U73" s="16">
        <v>1.0049999999999999</v>
      </c>
      <c r="V73" s="16">
        <v>1.056</v>
      </c>
      <c r="W73" s="16">
        <v>0.64600000000000002</v>
      </c>
      <c r="X73" s="16">
        <v>0.93200000000000005</v>
      </c>
      <c r="Y73" s="16">
        <v>1.125</v>
      </c>
      <c r="Z73" s="16">
        <v>0.81499999999999995</v>
      </c>
      <c r="AA73" s="16">
        <v>0.61499999999999999</v>
      </c>
      <c r="AB73" s="16">
        <v>0.65</v>
      </c>
      <c r="AC73" s="16">
        <v>0.68100000000000005</v>
      </c>
      <c r="AD73" s="16">
        <v>0.82</v>
      </c>
      <c r="AE73" s="16">
        <v>0.84599999999999997</v>
      </c>
      <c r="AF73" s="16">
        <v>1.0720000000000001</v>
      </c>
      <c r="AG73" s="16">
        <v>0.94199999999999995</v>
      </c>
      <c r="AH73" s="16">
        <v>0.94399999999999995</v>
      </c>
      <c r="AI73" s="16">
        <v>0.91</v>
      </c>
      <c r="AJ73" s="16">
        <v>0.66</v>
      </c>
      <c r="AK73" s="16">
        <v>0.65200000000000002</v>
      </c>
      <c r="AL73" s="16">
        <v>0.41499999999999998</v>
      </c>
      <c r="AM73" s="16">
        <v>0.37</v>
      </c>
      <c r="AN73" s="16">
        <v>0.36699999999999999</v>
      </c>
      <c r="AO73" s="16">
        <v>0.41799999999999998</v>
      </c>
      <c r="AP73" s="16">
        <v>0.312</v>
      </c>
      <c r="AQ73" s="16">
        <v>0.153</v>
      </c>
      <c r="AR73" s="16">
        <v>0.16500000000000001</v>
      </c>
      <c r="AS73" s="16">
        <v>0.34799999999999998</v>
      </c>
      <c r="AT73" s="7">
        <v>3.0334414000000001</v>
      </c>
    </row>
    <row r="74" spans="1:46" x14ac:dyDescent="0.25">
      <c r="A74" s="4" t="s">
        <v>198</v>
      </c>
      <c r="B74" s="4" t="s">
        <v>207</v>
      </c>
      <c r="C74" s="4" t="s">
        <v>246</v>
      </c>
      <c r="D74" s="4" t="s">
        <v>254</v>
      </c>
      <c r="E74" s="4" t="s">
        <v>258</v>
      </c>
      <c r="F74" s="4" t="s">
        <v>203</v>
      </c>
      <c r="G74" s="4" t="s">
        <v>93</v>
      </c>
      <c r="H74" s="4" t="s">
        <v>151</v>
      </c>
      <c r="I74" s="5">
        <v>441.839</v>
      </c>
      <c r="J74" s="5">
        <v>415.07400000000001</v>
      </c>
      <c r="K74" s="5">
        <v>662.66200000000003</v>
      </c>
      <c r="L74" s="5">
        <v>818.23</v>
      </c>
      <c r="M74" s="5">
        <v>581.90599999999995</v>
      </c>
      <c r="N74" s="5">
        <v>519.06600000000003</v>
      </c>
      <c r="O74" s="5">
        <v>363.69099999999997</v>
      </c>
      <c r="P74" s="5">
        <v>417.55599999999998</v>
      </c>
      <c r="Q74" s="5">
        <v>152.535</v>
      </c>
      <c r="R74" s="5">
        <v>0</v>
      </c>
      <c r="S74" s="5">
        <v>0</v>
      </c>
      <c r="T74" s="5">
        <v>0</v>
      </c>
      <c r="U74" s="5">
        <v>0</v>
      </c>
      <c r="V74" s="5">
        <v>129.33699999999999</v>
      </c>
      <c r="W74" s="5">
        <v>604.39700000000005</v>
      </c>
      <c r="X74" s="5">
        <v>408.14</v>
      </c>
      <c r="Y74" s="5">
        <v>243.172</v>
      </c>
      <c r="Z74" s="5">
        <v>385.58800000000002</v>
      </c>
      <c r="AA74" s="5">
        <v>182.03299999999999</v>
      </c>
      <c r="AB74" s="5">
        <v>100.622</v>
      </c>
      <c r="AC74" s="5">
        <v>304.05200000000002</v>
      </c>
      <c r="AD74" s="5">
        <v>89.149000000000001</v>
      </c>
      <c r="AE74" s="5">
        <v>453.77699999999999</v>
      </c>
      <c r="AF74" s="5">
        <v>548.13300000000004</v>
      </c>
      <c r="AG74" s="5">
        <v>150.56100000000001</v>
      </c>
      <c r="AH74" s="5">
        <v>132.48400000000001</v>
      </c>
      <c r="AI74" s="5">
        <v>232.636</v>
      </c>
      <c r="AJ74" s="5">
        <v>1121.2349999999999</v>
      </c>
      <c r="AK74" s="5">
        <v>1557.1</v>
      </c>
      <c r="AL74" s="5">
        <v>1737.6179999999999</v>
      </c>
      <c r="AM74" s="5">
        <v>1655.71</v>
      </c>
      <c r="AN74" s="5">
        <v>1408.8520000000001</v>
      </c>
      <c r="AO74" s="5">
        <v>1209.039</v>
      </c>
      <c r="AP74" s="5">
        <v>977.87300000000005</v>
      </c>
      <c r="AQ74" s="5">
        <v>1408.3610000000001</v>
      </c>
      <c r="AR74" s="5">
        <v>787.46100000000001</v>
      </c>
      <c r="AS74" s="5">
        <v>730.29399999999998</v>
      </c>
      <c r="AT74" s="5">
        <v>730.29399999999998</v>
      </c>
    </row>
    <row r="75" spans="1:46" x14ac:dyDescent="0.25">
      <c r="A75" s="4" t="s">
        <v>198</v>
      </c>
      <c r="B75" s="4" t="s">
        <v>207</v>
      </c>
      <c r="C75" s="4" t="s">
        <v>246</v>
      </c>
      <c r="D75" s="4" t="s">
        <v>254</v>
      </c>
      <c r="E75" s="4" t="s">
        <v>258</v>
      </c>
      <c r="F75" s="4" t="s">
        <v>203</v>
      </c>
      <c r="G75" s="4" t="s">
        <v>93</v>
      </c>
      <c r="H75" s="4" t="s">
        <v>205</v>
      </c>
      <c r="I75" s="6">
        <v>56035.398999999998</v>
      </c>
      <c r="J75" s="6">
        <v>48082.101999999999</v>
      </c>
      <c r="K75" s="6">
        <v>69409.171000000002</v>
      </c>
      <c r="L75" s="6">
        <v>83620.717999999993</v>
      </c>
      <c r="M75" s="6">
        <v>75939.687999999995</v>
      </c>
      <c r="N75" s="6">
        <v>68519.149999999994</v>
      </c>
      <c r="O75" s="6">
        <v>42608.114000000001</v>
      </c>
      <c r="P75" s="6">
        <v>49405.41</v>
      </c>
      <c r="Q75" s="6">
        <v>18800.09</v>
      </c>
      <c r="R75" s="6">
        <v>0</v>
      </c>
      <c r="S75" s="6">
        <v>0</v>
      </c>
      <c r="T75" s="6">
        <v>0</v>
      </c>
      <c r="U75" s="6">
        <v>0</v>
      </c>
      <c r="V75" s="6">
        <v>15003.047</v>
      </c>
      <c r="W75" s="6">
        <v>80654.7</v>
      </c>
      <c r="X75" s="6">
        <v>55711.826000000001</v>
      </c>
      <c r="Y75" s="6">
        <v>27639.206999999999</v>
      </c>
      <c r="Z75" s="6">
        <v>47186.945</v>
      </c>
      <c r="AA75" s="6">
        <v>23008.476999999999</v>
      </c>
      <c r="AB75" s="6">
        <v>11068.401</v>
      </c>
      <c r="AC75" s="6">
        <v>40592.269</v>
      </c>
      <c r="AD75" s="6">
        <v>10175.712</v>
      </c>
      <c r="AE75" s="6">
        <v>65384.19</v>
      </c>
      <c r="AF75" s="6">
        <v>76152.679999999993</v>
      </c>
      <c r="AG75" s="6">
        <v>19362.588</v>
      </c>
      <c r="AH75" s="6">
        <v>19306.061000000002</v>
      </c>
      <c r="AI75" s="6">
        <v>33522.593000000001</v>
      </c>
      <c r="AJ75" s="6">
        <v>159861.91399999999</v>
      </c>
      <c r="AK75" s="6">
        <v>239960.38500000001</v>
      </c>
      <c r="AL75" s="6">
        <v>265219.90999999997</v>
      </c>
      <c r="AM75" s="6">
        <v>265384.163</v>
      </c>
      <c r="AN75" s="6">
        <v>231838.052</v>
      </c>
      <c r="AO75" s="6">
        <v>215850.72899999999</v>
      </c>
      <c r="AP75" s="6">
        <v>165962.573</v>
      </c>
      <c r="AQ75" s="6">
        <v>247966.375</v>
      </c>
      <c r="AR75" s="6">
        <v>133744.13399999999</v>
      </c>
      <c r="AS75" s="6">
        <v>123860.823</v>
      </c>
      <c r="AT75" s="6">
        <v>123860.823</v>
      </c>
    </row>
    <row r="76" spans="1:46" x14ac:dyDescent="0.25">
      <c r="A76" s="4" t="s">
        <v>198</v>
      </c>
      <c r="B76" s="4" t="s">
        <v>207</v>
      </c>
      <c r="C76" s="4" t="s">
        <v>246</v>
      </c>
      <c r="D76" s="4" t="s">
        <v>254</v>
      </c>
      <c r="E76" s="4" t="s">
        <v>258</v>
      </c>
      <c r="F76" s="4" t="s">
        <v>203</v>
      </c>
      <c r="G76" s="4" t="s">
        <v>93</v>
      </c>
      <c r="H76" s="4" t="s">
        <v>249</v>
      </c>
      <c r="I76" s="7">
        <v>0.57599999999999996</v>
      </c>
      <c r="J76" s="7">
        <v>0.45100000000000001</v>
      </c>
      <c r="K76" s="7">
        <v>0.58199999999999996</v>
      </c>
      <c r="L76" s="7">
        <v>0.53700000000000003</v>
      </c>
      <c r="M76" s="7">
        <v>0.33700000000000002</v>
      </c>
      <c r="N76" s="7">
        <v>0.27900000000000003</v>
      </c>
      <c r="O76" s="7">
        <v>0.20399999999999999</v>
      </c>
      <c r="P76" s="7">
        <v>0.29699999999999999</v>
      </c>
      <c r="Q76" s="7">
        <v>0.13500000000000001</v>
      </c>
      <c r="R76" s="7">
        <v>0</v>
      </c>
      <c r="S76" s="7">
        <v>0</v>
      </c>
      <c r="T76" s="7">
        <v>0</v>
      </c>
      <c r="U76" s="7">
        <v>0</v>
      </c>
      <c r="V76" s="7">
        <v>0.185</v>
      </c>
      <c r="W76" s="7">
        <v>0.68899999999999995</v>
      </c>
      <c r="X76" s="7">
        <v>0.35099999999999998</v>
      </c>
      <c r="Y76" s="7">
        <v>0.14499999999999999</v>
      </c>
      <c r="Z76" s="7">
        <v>0.26200000000000001</v>
      </c>
      <c r="AA76" s="7">
        <v>0.121</v>
      </c>
      <c r="AB76" s="7">
        <v>7.4999999999999997E-2</v>
      </c>
      <c r="AC76" s="7">
        <v>0.251</v>
      </c>
      <c r="AD76" s="7">
        <v>9.0999999999999998E-2</v>
      </c>
      <c r="AE76" s="7">
        <v>0.53</v>
      </c>
      <c r="AF76" s="7">
        <v>0.65700000000000003</v>
      </c>
      <c r="AG76" s="7">
        <v>0.17199999999999999</v>
      </c>
      <c r="AH76" s="7">
        <v>0.13500000000000001</v>
      </c>
      <c r="AI76" s="7">
        <v>0.189</v>
      </c>
      <c r="AJ76" s="7">
        <v>0.74399999999999999</v>
      </c>
      <c r="AK76" s="7">
        <v>0.90100000000000002</v>
      </c>
      <c r="AL76" s="7">
        <v>0.97299999999999998</v>
      </c>
      <c r="AM76" s="7">
        <v>0.77400000000000002</v>
      </c>
      <c r="AN76" s="7">
        <v>0.74299999999999999</v>
      </c>
      <c r="AO76" s="7">
        <v>0.74099999999999999</v>
      </c>
      <c r="AP76" s="7">
        <v>0.68100000000000005</v>
      </c>
      <c r="AQ76" s="7">
        <v>1.151</v>
      </c>
      <c r="AR76" s="7">
        <v>0.91300000000000003</v>
      </c>
      <c r="AS76" s="7">
        <v>1.238</v>
      </c>
      <c r="AT76" s="7">
        <v>0.215</v>
      </c>
    </row>
    <row r="77" spans="1:46" x14ac:dyDescent="0.25">
      <c r="A77" s="4" t="s">
        <v>198</v>
      </c>
      <c r="B77" s="4" t="s">
        <v>207</v>
      </c>
      <c r="C77" s="4" t="s">
        <v>246</v>
      </c>
      <c r="D77" s="4" t="s">
        <v>254</v>
      </c>
      <c r="E77" s="4" t="s">
        <v>258</v>
      </c>
      <c r="F77" s="4" t="s">
        <v>203</v>
      </c>
      <c r="G77" s="4" t="s">
        <v>93</v>
      </c>
      <c r="H77" s="4" t="s">
        <v>250</v>
      </c>
      <c r="I77" s="7">
        <v>8.702</v>
      </c>
      <c r="J77" s="7">
        <v>6.7190000000000003</v>
      </c>
      <c r="K77" s="7">
        <v>5.6</v>
      </c>
      <c r="L77" s="7">
        <v>6.3380000000000001</v>
      </c>
      <c r="M77" s="7">
        <v>4.5999999999999996</v>
      </c>
      <c r="N77" s="7">
        <v>4.7220000000000004</v>
      </c>
      <c r="O77" s="7">
        <v>3.661</v>
      </c>
      <c r="P77" s="7">
        <v>5.5949999999999998</v>
      </c>
      <c r="Q77" s="7">
        <v>5.9210000000000003</v>
      </c>
      <c r="R77" s="7">
        <v>7.7130000000000001</v>
      </c>
      <c r="S77" s="7">
        <v>7.6680000000000001</v>
      </c>
      <c r="T77" s="7">
        <v>7.2809999999999997</v>
      </c>
      <c r="U77" s="7">
        <v>6.968</v>
      </c>
      <c r="V77" s="7">
        <v>7.5839999999999996</v>
      </c>
      <c r="W77" s="7">
        <v>7.8710000000000004</v>
      </c>
      <c r="X77" s="7">
        <v>5.6929999999999996</v>
      </c>
      <c r="Y77" s="7">
        <v>4.6159999999999997</v>
      </c>
      <c r="Z77" s="7">
        <v>4.8159999999999998</v>
      </c>
      <c r="AA77" s="7">
        <v>2.6949999999999998</v>
      </c>
      <c r="AB77" s="7">
        <v>0.77200000000000002</v>
      </c>
      <c r="AC77" s="7">
        <v>1.589</v>
      </c>
      <c r="AD77" s="7">
        <v>0.40300000000000002</v>
      </c>
      <c r="AE77" s="7">
        <v>1.9590000000000001</v>
      </c>
      <c r="AF77" s="7">
        <v>2.319</v>
      </c>
      <c r="AG77" s="7">
        <v>1.2929999999999999</v>
      </c>
      <c r="AH77" s="7">
        <v>1.474</v>
      </c>
      <c r="AI77" s="7">
        <v>1.2969999999999999</v>
      </c>
      <c r="AJ77" s="7">
        <v>4.0940000000000003</v>
      </c>
      <c r="AK77" s="7">
        <v>6.7610000000000001</v>
      </c>
      <c r="AL77" s="7">
        <v>8.32</v>
      </c>
      <c r="AM77" s="7">
        <v>10.268000000000001</v>
      </c>
      <c r="AN77" s="7">
        <v>9.3019999999999996</v>
      </c>
      <c r="AO77" s="7">
        <v>8.4689999999999994</v>
      </c>
      <c r="AP77" s="7">
        <v>8.59</v>
      </c>
      <c r="AQ77" s="7">
        <v>10.318</v>
      </c>
      <c r="AR77" s="7">
        <v>7.9669999999999996</v>
      </c>
      <c r="AS77" s="7">
        <v>14.252000000000001</v>
      </c>
      <c r="AT77" s="5">
        <v>839.09100000000001</v>
      </c>
    </row>
    <row r="78" spans="1:46" x14ac:dyDescent="0.25">
      <c r="A78" s="4" t="s">
        <v>198</v>
      </c>
      <c r="B78" s="4" t="s">
        <v>207</v>
      </c>
      <c r="C78" s="4" t="s">
        <v>246</v>
      </c>
      <c r="D78" s="4" t="s">
        <v>254</v>
      </c>
      <c r="E78" s="4" t="s">
        <v>258</v>
      </c>
      <c r="F78" s="4" t="s">
        <v>203</v>
      </c>
      <c r="G78" s="4" t="s">
        <v>93</v>
      </c>
      <c r="H78" s="4" t="s">
        <v>251</v>
      </c>
      <c r="I78" s="7">
        <v>3.0412005999999998</v>
      </c>
      <c r="J78" s="7">
        <v>2.3780329999999998</v>
      </c>
      <c r="K78" s="7">
        <v>2.7691102999999999</v>
      </c>
      <c r="L78" s="7">
        <v>2.6995070000000001</v>
      </c>
      <c r="M78" s="7">
        <v>1.0595832000000001</v>
      </c>
      <c r="N78" s="7">
        <v>1.0407222</v>
      </c>
      <c r="O78" s="7">
        <v>1.1616166999999999</v>
      </c>
      <c r="P78" s="7">
        <v>1.2359171</v>
      </c>
      <c r="Q78" s="7">
        <v>1.236189</v>
      </c>
      <c r="R78" s="7">
        <v>0.31789830000000002</v>
      </c>
      <c r="S78" s="7">
        <v>0.31789840000000003</v>
      </c>
      <c r="T78" s="7">
        <v>0.2914139</v>
      </c>
      <c r="U78" s="7">
        <v>0.2914139</v>
      </c>
      <c r="V78" s="7">
        <v>0.2914138</v>
      </c>
      <c r="W78" s="7">
        <v>0.79713639999999997</v>
      </c>
      <c r="X78" s="7">
        <v>1.1306361</v>
      </c>
      <c r="Y78" s="7">
        <v>1.6026989</v>
      </c>
      <c r="Z78" s="7">
        <v>1.6026959999999999</v>
      </c>
      <c r="AA78" s="7">
        <v>1.0854033999999999</v>
      </c>
      <c r="AB78" s="7">
        <v>0.92263870000000003</v>
      </c>
      <c r="AC78" s="7">
        <v>1.7005598</v>
      </c>
      <c r="AD78" s="7">
        <v>1.7005576</v>
      </c>
      <c r="AE78" s="7">
        <v>2.2954883000000001</v>
      </c>
      <c r="AF78" s="7">
        <v>2.2678652000000001</v>
      </c>
      <c r="AG78" s="7">
        <v>2.4092463</v>
      </c>
      <c r="AH78" s="7">
        <v>2.4092443000000001</v>
      </c>
      <c r="AI78" s="7">
        <v>2.2840525</v>
      </c>
      <c r="AJ78" s="7">
        <v>3.3129537999999998</v>
      </c>
      <c r="AK78" s="7">
        <v>4.4395973</v>
      </c>
      <c r="AL78" s="7">
        <v>6.5856399000000003</v>
      </c>
      <c r="AM78" s="7">
        <v>7.1733536999999998</v>
      </c>
      <c r="AN78" s="7">
        <v>6.8858791999999998</v>
      </c>
      <c r="AO78" s="7">
        <v>5.8455786999999999</v>
      </c>
      <c r="AP78" s="7">
        <v>4.9931321999999998</v>
      </c>
      <c r="AQ78" s="7">
        <v>5.0951694999999999</v>
      </c>
      <c r="AR78" s="7">
        <v>5.1133806000000002</v>
      </c>
      <c r="AS78" s="7">
        <v>5.4475261000000001</v>
      </c>
      <c r="AT78" s="7">
        <v>14.252000000000001</v>
      </c>
    </row>
    <row r="79" spans="1:46" x14ac:dyDescent="0.25">
      <c r="A79" s="4" t="s">
        <v>198</v>
      </c>
      <c r="B79" s="4" t="s">
        <v>207</v>
      </c>
      <c r="C79" s="4" t="s">
        <v>246</v>
      </c>
      <c r="D79" s="4" t="s">
        <v>254</v>
      </c>
      <c r="E79" s="4" t="s">
        <v>258</v>
      </c>
      <c r="F79" s="4" t="s">
        <v>203</v>
      </c>
      <c r="G79" s="4" t="s">
        <v>93</v>
      </c>
      <c r="H79" s="4" t="s">
        <v>252</v>
      </c>
      <c r="I79" s="16">
        <v>0.52900000000000003</v>
      </c>
      <c r="J79" s="16">
        <v>0.45800000000000002</v>
      </c>
      <c r="K79" s="16">
        <v>0.503</v>
      </c>
      <c r="L79" s="16">
        <v>0.14899999999999999</v>
      </c>
      <c r="M79" s="16">
        <v>0.151</v>
      </c>
      <c r="N79" s="16">
        <v>5.5E-2</v>
      </c>
      <c r="O79" s="16">
        <v>9.6000000000000002E-2</v>
      </c>
      <c r="P79" s="16">
        <v>9.1999999999999998E-2</v>
      </c>
      <c r="Q79" s="16">
        <v>7.0000000000000007E-2</v>
      </c>
      <c r="R79" s="16">
        <v>7.1999999999999995E-2</v>
      </c>
      <c r="S79" s="16">
        <v>7.1999999999999995E-2</v>
      </c>
      <c r="T79" s="16">
        <v>7.0999999999999994E-2</v>
      </c>
      <c r="U79" s="16">
        <v>7.3999999999999996E-2</v>
      </c>
      <c r="V79" s="17">
        <v>0</v>
      </c>
      <c r="W79" s="16">
        <v>0.105</v>
      </c>
      <c r="X79" s="16">
        <v>0.12</v>
      </c>
      <c r="Y79" s="16">
        <v>0.121</v>
      </c>
      <c r="Z79" s="16">
        <v>5.7000000000000002E-2</v>
      </c>
      <c r="AA79" s="16">
        <v>2.5000000000000001E-2</v>
      </c>
      <c r="AB79" s="16">
        <v>0.14499999999999999</v>
      </c>
      <c r="AC79" s="16">
        <v>0.434</v>
      </c>
      <c r="AD79" s="16">
        <v>0.44</v>
      </c>
      <c r="AE79" s="16">
        <v>0.38300000000000001</v>
      </c>
      <c r="AF79" s="16">
        <v>0.107</v>
      </c>
      <c r="AG79" s="16">
        <v>0.34</v>
      </c>
      <c r="AH79" s="16">
        <v>0.27800000000000002</v>
      </c>
      <c r="AI79" s="16">
        <v>0.32900000000000001</v>
      </c>
      <c r="AJ79" s="16">
        <v>0.32600000000000001</v>
      </c>
      <c r="AK79" s="16">
        <v>0.38800000000000001</v>
      </c>
      <c r="AL79" s="16">
        <v>0.66800000000000004</v>
      </c>
      <c r="AM79" s="16">
        <v>0.41099999999999998</v>
      </c>
      <c r="AN79" s="16">
        <v>0.40799999999999997</v>
      </c>
      <c r="AO79" s="16">
        <v>0.36499999999999999</v>
      </c>
      <c r="AP79" s="16">
        <v>0.71199999999999997</v>
      </c>
      <c r="AQ79" s="16">
        <v>0.40100000000000002</v>
      </c>
      <c r="AR79" s="16">
        <v>0.36299999999999999</v>
      </c>
      <c r="AS79" s="16">
        <v>0.439</v>
      </c>
      <c r="AT79" s="7">
        <v>5.4475261000000001</v>
      </c>
    </row>
    <row r="80" spans="1:46" x14ac:dyDescent="0.25">
      <c r="A80" s="4" t="s">
        <v>198</v>
      </c>
      <c r="B80" s="4" t="s">
        <v>207</v>
      </c>
      <c r="C80" s="4" t="s">
        <v>246</v>
      </c>
      <c r="D80" s="4" t="s">
        <v>254</v>
      </c>
      <c r="E80" s="4" t="s">
        <v>258</v>
      </c>
      <c r="F80" s="4" t="s">
        <v>195</v>
      </c>
      <c r="G80" s="4" t="s">
        <v>93</v>
      </c>
      <c r="H80" s="4" t="s">
        <v>151</v>
      </c>
      <c r="I80" s="5">
        <v>78.343999999999994</v>
      </c>
      <c r="J80" s="5">
        <v>116.367</v>
      </c>
      <c r="K80" s="5">
        <v>28.771999999999998</v>
      </c>
      <c r="L80" s="5">
        <v>0</v>
      </c>
      <c r="M80" s="5">
        <v>93.775000000000006</v>
      </c>
      <c r="N80" s="5">
        <v>83.656000000000006</v>
      </c>
      <c r="O80" s="5">
        <v>111.837</v>
      </c>
      <c r="P80" s="5">
        <v>142.41</v>
      </c>
      <c r="Q80" s="5">
        <v>151.20699999999999</v>
      </c>
      <c r="R80" s="5">
        <v>36.950000000000003</v>
      </c>
      <c r="S80" s="5">
        <v>0</v>
      </c>
      <c r="T80" s="5">
        <v>0</v>
      </c>
      <c r="U80" s="5">
        <v>0</v>
      </c>
      <c r="V80" s="5">
        <v>95.480999999999995</v>
      </c>
      <c r="W80" s="5">
        <v>275.94200000000001</v>
      </c>
      <c r="X80" s="5">
        <v>347.08600000000001</v>
      </c>
      <c r="Y80" s="5">
        <v>224.18199999999999</v>
      </c>
      <c r="Z80" s="5">
        <v>251.376</v>
      </c>
      <c r="AA80" s="5">
        <v>447.38499999999999</v>
      </c>
      <c r="AB80" s="5">
        <v>0</v>
      </c>
      <c r="AC80" s="5">
        <v>386.30399999999997</v>
      </c>
      <c r="AD80" s="5">
        <v>137.755</v>
      </c>
      <c r="AE80" s="5">
        <v>213.26300000000001</v>
      </c>
      <c r="AF80" s="5">
        <v>161.084</v>
      </c>
      <c r="AG80" s="5">
        <v>484.45499999999998</v>
      </c>
      <c r="AH80" s="5">
        <v>170.143</v>
      </c>
      <c r="AI80" s="5">
        <v>137.27199999999999</v>
      </c>
      <c r="AJ80" s="5">
        <v>144.596</v>
      </c>
      <c r="AK80" s="5">
        <v>481.142</v>
      </c>
      <c r="AL80" s="5">
        <v>279.625</v>
      </c>
      <c r="AM80" s="5">
        <v>522.34500000000003</v>
      </c>
      <c r="AN80" s="5">
        <v>624.24</v>
      </c>
      <c r="AO80" s="5">
        <v>510.16500000000002</v>
      </c>
      <c r="AP80" s="5">
        <v>495.185</v>
      </c>
      <c r="AQ80" s="5">
        <v>569.10199999999998</v>
      </c>
      <c r="AR80" s="5">
        <v>216.61</v>
      </c>
      <c r="AS80" s="5">
        <v>124.85599999999999</v>
      </c>
      <c r="AT80" s="5">
        <v>124.85599999999999</v>
      </c>
    </row>
    <row r="81" spans="1:46" x14ac:dyDescent="0.25">
      <c r="A81" s="4" t="s">
        <v>198</v>
      </c>
      <c r="B81" s="4" t="s">
        <v>207</v>
      </c>
      <c r="C81" s="4" t="s">
        <v>246</v>
      </c>
      <c r="D81" s="4" t="s">
        <v>254</v>
      </c>
      <c r="E81" s="4" t="s">
        <v>258</v>
      </c>
      <c r="F81" s="4" t="s">
        <v>195</v>
      </c>
      <c r="G81" s="4" t="s">
        <v>93</v>
      </c>
      <c r="H81" s="4" t="s">
        <v>205</v>
      </c>
      <c r="I81" s="6">
        <v>14909.736000000001</v>
      </c>
      <c r="J81" s="6">
        <v>27731.811000000002</v>
      </c>
      <c r="K81" s="6">
        <v>6761.518</v>
      </c>
      <c r="L81" s="6">
        <v>0</v>
      </c>
      <c r="M81" s="6">
        <v>22821.215</v>
      </c>
      <c r="N81" s="6">
        <v>20858.393</v>
      </c>
      <c r="O81" s="6">
        <v>24380.482</v>
      </c>
      <c r="P81" s="6">
        <v>34678.207999999999</v>
      </c>
      <c r="Q81" s="6">
        <v>35614.934000000001</v>
      </c>
      <c r="R81" s="6">
        <v>8424.5310000000009</v>
      </c>
      <c r="S81" s="6">
        <v>0</v>
      </c>
      <c r="T81" s="6">
        <v>0</v>
      </c>
      <c r="U81" s="6">
        <v>0</v>
      </c>
      <c r="V81" s="6">
        <v>23953.151000000002</v>
      </c>
      <c r="W81" s="6">
        <v>68252.797000000006</v>
      </c>
      <c r="X81" s="6">
        <v>81673.418999999994</v>
      </c>
      <c r="Y81" s="6">
        <v>48410.438000000002</v>
      </c>
      <c r="Z81" s="6">
        <v>56672.107000000004</v>
      </c>
      <c r="AA81" s="6">
        <v>103631.099</v>
      </c>
      <c r="AB81" s="6">
        <v>0</v>
      </c>
      <c r="AC81" s="6">
        <v>94778.67</v>
      </c>
      <c r="AD81" s="6">
        <v>35477.368000000002</v>
      </c>
      <c r="AE81" s="6">
        <v>45548.218000000001</v>
      </c>
      <c r="AF81" s="6">
        <v>39257.731</v>
      </c>
      <c r="AG81" s="6">
        <v>103308.075</v>
      </c>
      <c r="AH81" s="6">
        <v>35874.680999999997</v>
      </c>
      <c r="AI81" s="6">
        <v>32321.879000000001</v>
      </c>
      <c r="AJ81" s="6">
        <v>33310.894</v>
      </c>
      <c r="AK81" s="6">
        <v>109993.19899999999</v>
      </c>
      <c r="AL81" s="6">
        <v>72793.695000000007</v>
      </c>
      <c r="AM81" s="6">
        <v>132301.76800000001</v>
      </c>
      <c r="AN81" s="6">
        <v>163731.889</v>
      </c>
      <c r="AO81" s="6">
        <v>132298.80300000001</v>
      </c>
      <c r="AP81" s="6">
        <v>125494.829</v>
      </c>
      <c r="AQ81" s="6">
        <v>134936.32500000001</v>
      </c>
      <c r="AR81" s="6">
        <v>50235.48</v>
      </c>
      <c r="AS81" s="6">
        <v>33826.053999999996</v>
      </c>
      <c r="AT81" s="6">
        <v>33826.053999999996</v>
      </c>
    </row>
    <row r="82" spans="1:46" x14ac:dyDescent="0.25">
      <c r="A82" s="4" t="s">
        <v>198</v>
      </c>
      <c r="B82" s="4" t="s">
        <v>207</v>
      </c>
      <c r="C82" s="4" t="s">
        <v>246</v>
      </c>
      <c r="D82" s="4" t="s">
        <v>254</v>
      </c>
      <c r="E82" s="4" t="s">
        <v>258</v>
      </c>
      <c r="F82" s="4" t="s">
        <v>195</v>
      </c>
      <c r="G82" s="4" t="s">
        <v>93</v>
      </c>
      <c r="H82" s="4" t="s">
        <v>249</v>
      </c>
      <c r="I82" s="7">
        <v>0.123</v>
      </c>
      <c r="J82" s="7">
        <v>0.152</v>
      </c>
      <c r="K82" s="7">
        <v>0.03</v>
      </c>
      <c r="L82" s="7">
        <v>0</v>
      </c>
      <c r="M82" s="7">
        <v>6.5000000000000002E-2</v>
      </c>
      <c r="N82" s="7">
        <v>5.3999999999999999E-2</v>
      </c>
      <c r="O82" s="7">
        <v>7.4999999999999997E-2</v>
      </c>
      <c r="P82" s="7">
        <v>0.121</v>
      </c>
      <c r="Q82" s="7">
        <v>0.161</v>
      </c>
      <c r="R82" s="7">
        <v>5.5E-2</v>
      </c>
      <c r="S82" s="7">
        <v>0</v>
      </c>
      <c r="T82" s="7">
        <v>0</v>
      </c>
      <c r="U82" s="7">
        <v>0</v>
      </c>
      <c r="V82" s="7">
        <v>0.16400000000000001</v>
      </c>
      <c r="W82" s="7">
        <v>0.32900000000000001</v>
      </c>
      <c r="X82" s="7">
        <v>0.30599999999999999</v>
      </c>
      <c r="Y82" s="7">
        <v>0.161</v>
      </c>
      <c r="Z82" s="7">
        <v>0.192</v>
      </c>
      <c r="AA82" s="7">
        <v>0.32200000000000001</v>
      </c>
      <c r="AB82" s="7">
        <v>0</v>
      </c>
      <c r="AC82" s="7">
        <v>0.38300000000000001</v>
      </c>
      <c r="AD82" s="7">
        <v>0.16900000000000001</v>
      </c>
      <c r="AE82" s="7">
        <v>0.29899999999999999</v>
      </c>
      <c r="AF82" s="7">
        <v>0.23200000000000001</v>
      </c>
      <c r="AG82" s="7">
        <v>0.66600000000000004</v>
      </c>
      <c r="AH82" s="7">
        <v>0.20699999999999999</v>
      </c>
      <c r="AI82" s="7">
        <v>0.13400000000000001</v>
      </c>
      <c r="AJ82" s="7">
        <v>0.115</v>
      </c>
      <c r="AK82" s="7">
        <v>0.33600000000000002</v>
      </c>
      <c r="AL82" s="7">
        <v>0.189</v>
      </c>
      <c r="AM82" s="7">
        <v>0.29499999999999998</v>
      </c>
      <c r="AN82" s="7">
        <v>0.39600000000000002</v>
      </c>
      <c r="AO82" s="7">
        <v>0.378</v>
      </c>
      <c r="AP82" s="7">
        <v>0.42</v>
      </c>
      <c r="AQ82" s="7">
        <v>0.56200000000000006</v>
      </c>
      <c r="AR82" s="7">
        <v>0.30299999999999999</v>
      </c>
      <c r="AS82" s="7">
        <v>0.26100000000000001</v>
      </c>
      <c r="AT82" s="7">
        <v>3.6999999999999998E-2</v>
      </c>
    </row>
    <row r="83" spans="1:46" x14ac:dyDescent="0.25">
      <c r="A83" s="4" t="s">
        <v>198</v>
      </c>
      <c r="B83" s="4" t="s">
        <v>207</v>
      </c>
      <c r="C83" s="4" t="s">
        <v>246</v>
      </c>
      <c r="D83" s="4" t="s">
        <v>254</v>
      </c>
      <c r="E83" s="4" t="s">
        <v>258</v>
      </c>
      <c r="F83" s="4" t="s">
        <v>195</v>
      </c>
      <c r="G83" s="4" t="s">
        <v>93</v>
      </c>
      <c r="H83" s="4" t="s">
        <v>250</v>
      </c>
      <c r="I83" s="7">
        <v>3.738</v>
      </c>
      <c r="J83" s="7">
        <v>3.242</v>
      </c>
      <c r="K83" s="7">
        <v>1.8620000000000001</v>
      </c>
      <c r="L83" s="7">
        <v>1.109</v>
      </c>
      <c r="M83" s="7">
        <v>1.6120000000000001</v>
      </c>
      <c r="N83" s="7">
        <v>2.0649999999999999</v>
      </c>
      <c r="O83" s="7">
        <v>3.089</v>
      </c>
      <c r="P83" s="7">
        <v>3.83</v>
      </c>
      <c r="Q83" s="7">
        <v>1.5149999999999999</v>
      </c>
      <c r="R83" s="7">
        <v>1.92</v>
      </c>
      <c r="S83" s="7">
        <v>0.59899999999999998</v>
      </c>
      <c r="T83" s="7">
        <v>1.61</v>
      </c>
      <c r="U83" s="7">
        <v>1.403</v>
      </c>
      <c r="V83" s="7">
        <v>5.9790000000000001</v>
      </c>
      <c r="W83" s="7">
        <v>4.7759999999999998</v>
      </c>
      <c r="X83" s="7">
        <v>5.7670000000000003</v>
      </c>
      <c r="Y83" s="7">
        <v>5.5890000000000004</v>
      </c>
      <c r="Z83" s="7">
        <v>4.2939999999999996</v>
      </c>
      <c r="AA83" s="7">
        <v>7.2359999999999998</v>
      </c>
      <c r="AB83" s="7">
        <v>3.0510000000000002</v>
      </c>
      <c r="AC83" s="7">
        <v>7.5449999999999999</v>
      </c>
      <c r="AD83" s="7">
        <v>5.04</v>
      </c>
      <c r="AE83" s="7">
        <v>5.2789999999999999</v>
      </c>
      <c r="AF83" s="7">
        <v>8.7970000000000006</v>
      </c>
      <c r="AG83" s="7">
        <v>10.246</v>
      </c>
      <c r="AH83" s="7">
        <v>7.3239999999999998</v>
      </c>
      <c r="AI83" s="7">
        <v>8.3040000000000003</v>
      </c>
      <c r="AJ83" s="7">
        <v>7.0590000000000002</v>
      </c>
      <c r="AK83" s="7">
        <v>8.9990000000000006</v>
      </c>
      <c r="AL83" s="7">
        <v>6.9669999999999996</v>
      </c>
      <c r="AM83" s="7">
        <v>10.08</v>
      </c>
      <c r="AN83" s="7">
        <v>9.81</v>
      </c>
      <c r="AO83" s="7">
        <v>8.5739999999999998</v>
      </c>
      <c r="AP83" s="7">
        <v>9.8919999999999995</v>
      </c>
      <c r="AQ83" s="7">
        <v>6.798</v>
      </c>
      <c r="AR83" s="7">
        <v>6.4850000000000003</v>
      </c>
      <c r="AS83" s="7">
        <v>6.234</v>
      </c>
      <c r="AT83" s="5">
        <v>990.79700000000003</v>
      </c>
    </row>
    <row r="84" spans="1:46" x14ac:dyDescent="0.25">
      <c r="A84" s="4" t="s">
        <v>198</v>
      </c>
      <c r="B84" s="4" t="s">
        <v>207</v>
      </c>
      <c r="C84" s="4" t="s">
        <v>246</v>
      </c>
      <c r="D84" s="4" t="s">
        <v>254</v>
      </c>
      <c r="E84" s="4" t="s">
        <v>258</v>
      </c>
      <c r="F84" s="4" t="s">
        <v>195</v>
      </c>
      <c r="G84" s="4" t="s">
        <v>93</v>
      </c>
      <c r="H84" s="4" t="s">
        <v>251</v>
      </c>
      <c r="I84" s="7">
        <v>2.1671406000000002</v>
      </c>
      <c r="J84" s="7">
        <v>1.4648979</v>
      </c>
      <c r="K84" s="7">
        <v>1.4648977000000001</v>
      </c>
      <c r="L84" s="7">
        <v>1.5031766</v>
      </c>
      <c r="M84" s="7">
        <v>1.5583597</v>
      </c>
      <c r="N84" s="7">
        <v>1.3534774999999999</v>
      </c>
      <c r="O84" s="7">
        <v>1.9604037999999999</v>
      </c>
      <c r="P84" s="7">
        <v>1.9604010999999999</v>
      </c>
      <c r="Q84" s="7">
        <v>1.3308278</v>
      </c>
      <c r="R84" s="7">
        <v>1.3427108000000001</v>
      </c>
      <c r="S84" s="7">
        <v>1.3427112000000001</v>
      </c>
      <c r="T84" s="7">
        <v>1.3427089000000001</v>
      </c>
      <c r="U84" s="7">
        <v>1.3427089000000001</v>
      </c>
      <c r="V84" s="7">
        <v>2.2517274</v>
      </c>
      <c r="W84" s="7">
        <v>2.7001257999999999</v>
      </c>
      <c r="X84" s="7">
        <v>2.7425556000000002</v>
      </c>
      <c r="Y84" s="7">
        <v>3.4023732</v>
      </c>
      <c r="Z84" s="7">
        <v>4.2032425</v>
      </c>
      <c r="AA84" s="7">
        <v>4.0774543999999997</v>
      </c>
      <c r="AB84" s="7">
        <v>2.7127319999999999</v>
      </c>
      <c r="AC84" s="7">
        <v>3.6988712000000001</v>
      </c>
      <c r="AD84" s="7">
        <v>2.5949756000000002</v>
      </c>
      <c r="AE84" s="7">
        <v>2.3438167999999999</v>
      </c>
      <c r="AF84" s="7">
        <v>3.4153432000000001</v>
      </c>
      <c r="AG84" s="7">
        <v>3.845167</v>
      </c>
      <c r="AH84" s="7">
        <v>3.7209075999999999</v>
      </c>
      <c r="AI84" s="7">
        <v>2.9498489999999999</v>
      </c>
      <c r="AJ84" s="7">
        <v>2.5600559000000001</v>
      </c>
      <c r="AK84" s="7">
        <v>3.2700412000000001</v>
      </c>
      <c r="AL84" s="7">
        <v>2.7204169</v>
      </c>
      <c r="AM84" s="7">
        <v>4.6180289999999999</v>
      </c>
      <c r="AN84" s="7">
        <v>4.6189077999999997</v>
      </c>
      <c r="AO84" s="7">
        <v>4.8430755999999997</v>
      </c>
      <c r="AP84" s="7">
        <v>4.0360388</v>
      </c>
      <c r="AQ84" s="7">
        <v>3.8378428000000002</v>
      </c>
      <c r="AR84" s="7">
        <v>3.5834815</v>
      </c>
      <c r="AS84" s="7">
        <v>3.6533817000000002</v>
      </c>
      <c r="AT84" s="7">
        <v>6.234</v>
      </c>
    </row>
    <row r="85" spans="1:46" x14ac:dyDescent="0.25">
      <c r="A85" s="4" t="s">
        <v>198</v>
      </c>
      <c r="B85" s="4" t="s">
        <v>207</v>
      </c>
      <c r="C85" s="4" t="s">
        <v>246</v>
      </c>
      <c r="D85" s="4" t="s">
        <v>254</v>
      </c>
      <c r="E85" s="4" t="s">
        <v>258</v>
      </c>
      <c r="F85" s="4" t="s">
        <v>195</v>
      </c>
      <c r="G85" s="4" t="s">
        <v>93</v>
      </c>
      <c r="H85" s="4" t="s">
        <v>252</v>
      </c>
      <c r="I85" s="16">
        <v>6.3E-2</v>
      </c>
      <c r="J85" s="16">
        <v>5.7000000000000002E-2</v>
      </c>
      <c r="K85" s="16">
        <v>3.5000000000000003E-2</v>
      </c>
      <c r="L85" s="16">
        <v>4.9000000000000002E-2</v>
      </c>
      <c r="M85" s="16">
        <v>9.0999999999999998E-2</v>
      </c>
      <c r="N85" s="16">
        <v>6.0999999999999999E-2</v>
      </c>
      <c r="O85" s="16">
        <v>0.113</v>
      </c>
      <c r="P85" s="16">
        <v>8.5999999999999993E-2</v>
      </c>
      <c r="Q85" s="16">
        <v>0.23899999999999999</v>
      </c>
      <c r="R85" s="16">
        <v>0.22500000000000001</v>
      </c>
      <c r="S85" s="16">
        <v>0.22500000000000001</v>
      </c>
      <c r="T85" s="16">
        <v>0.22900000000000001</v>
      </c>
      <c r="U85" s="16">
        <v>0.23499999999999999</v>
      </c>
      <c r="V85" s="16">
        <v>0.32300000000000001</v>
      </c>
      <c r="W85" s="16">
        <v>0.28399999999999997</v>
      </c>
      <c r="X85" s="16">
        <v>0.125</v>
      </c>
      <c r="Y85" s="16">
        <v>0.218</v>
      </c>
      <c r="Z85" s="16">
        <v>0.23</v>
      </c>
      <c r="AA85" s="16">
        <v>0.191</v>
      </c>
      <c r="AB85" s="16">
        <v>0.20799999999999999</v>
      </c>
      <c r="AC85" s="16">
        <v>0.30499999999999999</v>
      </c>
      <c r="AD85" s="16">
        <v>0.25800000000000001</v>
      </c>
      <c r="AE85" s="16">
        <v>0.20899999999999999</v>
      </c>
      <c r="AF85" s="16">
        <v>0.29199999999999998</v>
      </c>
      <c r="AG85" s="16">
        <v>0.33500000000000002</v>
      </c>
      <c r="AH85" s="16">
        <v>0.29299999999999998</v>
      </c>
      <c r="AI85" s="16">
        <v>0.24399999999999999</v>
      </c>
      <c r="AJ85" s="16">
        <v>0.21299999999999999</v>
      </c>
      <c r="AK85" s="16">
        <v>0.112</v>
      </c>
      <c r="AL85" s="16">
        <v>0.219</v>
      </c>
      <c r="AM85" s="16">
        <v>0.372</v>
      </c>
      <c r="AN85" s="16">
        <v>0.28999999999999998</v>
      </c>
      <c r="AO85" s="16">
        <v>0.31</v>
      </c>
      <c r="AP85" s="16">
        <v>0.36899999999999999</v>
      </c>
      <c r="AQ85" s="16">
        <v>0.36399999999999999</v>
      </c>
      <c r="AR85" s="16">
        <v>0.438</v>
      </c>
      <c r="AS85" s="16">
        <v>0.51900000000000002</v>
      </c>
      <c r="AT85" s="7">
        <v>3.6533817000000002</v>
      </c>
    </row>
    <row r="86" spans="1:46" x14ac:dyDescent="0.25">
      <c r="A86" s="4" t="s">
        <v>198</v>
      </c>
      <c r="B86" s="4" t="s">
        <v>207</v>
      </c>
      <c r="C86" s="4" t="s">
        <v>246</v>
      </c>
      <c r="D86" s="4" t="s">
        <v>259</v>
      </c>
      <c r="E86" s="4" t="s">
        <v>248</v>
      </c>
      <c r="F86" s="4" t="s">
        <v>203</v>
      </c>
      <c r="G86" s="4" t="s">
        <v>93</v>
      </c>
      <c r="H86" s="4" t="s">
        <v>151</v>
      </c>
      <c r="I86" s="5">
        <v>3822.1619999999998</v>
      </c>
      <c r="J86" s="5">
        <v>5218.3230000000003</v>
      </c>
      <c r="K86" s="5">
        <v>8228.3989999999994</v>
      </c>
      <c r="L86" s="5">
        <v>13564.947</v>
      </c>
      <c r="M86" s="5">
        <v>14790.806</v>
      </c>
      <c r="N86" s="5">
        <v>17029.899000000001</v>
      </c>
      <c r="O86" s="5">
        <v>14424.085999999999</v>
      </c>
      <c r="P86" s="5">
        <v>11166.009</v>
      </c>
      <c r="Q86" s="5">
        <v>8542.8050000000003</v>
      </c>
      <c r="R86" s="5">
        <v>5423.3630000000003</v>
      </c>
      <c r="S86" s="5">
        <v>4812.9669999999996</v>
      </c>
      <c r="T86" s="5">
        <v>5083.8590000000004</v>
      </c>
      <c r="U86" s="5">
        <v>4127.0060000000003</v>
      </c>
      <c r="V86" s="5">
        <v>5216.183</v>
      </c>
      <c r="W86" s="5">
        <v>7998.4470000000001</v>
      </c>
      <c r="X86" s="5">
        <v>10368.778</v>
      </c>
      <c r="Y86" s="5">
        <v>12929.462</v>
      </c>
      <c r="Z86" s="5">
        <v>14565.553</v>
      </c>
      <c r="AA86" s="5">
        <v>13781.65</v>
      </c>
      <c r="AB86" s="5">
        <v>10210.958000000001</v>
      </c>
      <c r="AC86" s="5">
        <v>8138.5609999999997</v>
      </c>
      <c r="AD86" s="5">
        <v>6843.2849999999999</v>
      </c>
      <c r="AE86" s="5">
        <v>5093.7179999999998</v>
      </c>
      <c r="AF86" s="5">
        <v>4892.0389999999998</v>
      </c>
      <c r="AG86" s="5">
        <v>4026.444</v>
      </c>
      <c r="AH86" s="5">
        <v>5354.26</v>
      </c>
      <c r="AI86" s="5">
        <v>5856.6570000000002</v>
      </c>
      <c r="AJ86" s="5">
        <v>9607.2540000000008</v>
      </c>
      <c r="AK86" s="5">
        <v>9668.8709999999992</v>
      </c>
      <c r="AL86" s="5">
        <v>11344.326999999999</v>
      </c>
      <c r="AM86" s="5">
        <v>14307.499</v>
      </c>
      <c r="AN86" s="5">
        <v>13921.644</v>
      </c>
      <c r="AO86" s="5">
        <v>9953.0990000000002</v>
      </c>
      <c r="AP86" s="5">
        <v>8114.53</v>
      </c>
      <c r="AQ86" s="5">
        <v>6676.2380000000003</v>
      </c>
      <c r="AR86" s="5">
        <v>4919.9979999999996</v>
      </c>
      <c r="AS86" s="5">
        <v>4194.5690000000004</v>
      </c>
      <c r="AT86" s="5">
        <v>4194.5690000000004</v>
      </c>
    </row>
    <row r="87" spans="1:46" x14ac:dyDescent="0.25">
      <c r="A87" s="4" t="s">
        <v>198</v>
      </c>
      <c r="B87" s="4" t="s">
        <v>207</v>
      </c>
      <c r="C87" s="4" t="s">
        <v>246</v>
      </c>
      <c r="D87" s="4" t="s">
        <v>259</v>
      </c>
      <c r="E87" s="4" t="s">
        <v>248</v>
      </c>
      <c r="F87" s="4" t="s">
        <v>203</v>
      </c>
      <c r="G87" s="4" t="s">
        <v>93</v>
      </c>
      <c r="H87" s="4" t="s">
        <v>205</v>
      </c>
      <c r="I87" s="6">
        <v>346530.27799999999</v>
      </c>
      <c r="J87" s="6">
        <v>466952.99</v>
      </c>
      <c r="K87" s="6">
        <v>719841.01599999995</v>
      </c>
      <c r="L87" s="6">
        <v>1200456.7709999999</v>
      </c>
      <c r="M87" s="6">
        <v>1332276.176</v>
      </c>
      <c r="N87" s="6">
        <v>1546519.8910000001</v>
      </c>
      <c r="O87" s="6">
        <v>1310738.459</v>
      </c>
      <c r="P87" s="6">
        <v>1033095.5330000001</v>
      </c>
      <c r="Q87" s="6">
        <v>777538.83400000003</v>
      </c>
      <c r="R87" s="6">
        <v>505682.17300000001</v>
      </c>
      <c r="S87" s="6">
        <v>439690.56</v>
      </c>
      <c r="T87" s="6">
        <v>484182.27799999999</v>
      </c>
      <c r="U87" s="6">
        <v>396517.73</v>
      </c>
      <c r="V87" s="6">
        <v>513857.35700000002</v>
      </c>
      <c r="W87" s="6">
        <v>777254.66099999996</v>
      </c>
      <c r="X87" s="6">
        <v>1008199.322</v>
      </c>
      <c r="Y87" s="6">
        <v>1255941.6200000001</v>
      </c>
      <c r="Z87" s="6">
        <v>1433311.5519999999</v>
      </c>
      <c r="AA87" s="6">
        <v>1383904.9839999999</v>
      </c>
      <c r="AB87" s="6">
        <v>1036196.199</v>
      </c>
      <c r="AC87" s="6">
        <v>843477.66799999995</v>
      </c>
      <c r="AD87" s="6">
        <v>725183.28500000003</v>
      </c>
      <c r="AE87" s="6">
        <v>531008.326</v>
      </c>
      <c r="AF87" s="6">
        <v>515454.40100000001</v>
      </c>
      <c r="AG87" s="6">
        <v>416837.71299999999</v>
      </c>
      <c r="AH87" s="6">
        <v>567619.12</v>
      </c>
      <c r="AI87" s="6">
        <v>635045.93000000005</v>
      </c>
      <c r="AJ87" s="6">
        <v>1024922.233</v>
      </c>
      <c r="AK87" s="6">
        <v>1065647.7309999999</v>
      </c>
      <c r="AL87" s="6">
        <v>1249249.77</v>
      </c>
      <c r="AM87" s="6">
        <v>1553181.3019999999</v>
      </c>
      <c r="AN87" s="6">
        <v>1547936.1710000001</v>
      </c>
      <c r="AO87" s="6">
        <v>1104281.3600000001</v>
      </c>
      <c r="AP87" s="6">
        <v>958262.23699999996</v>
      </c>
      <c r="AQ87" s="6">
        <v>753083.79700000002</v>
      </c>
      <c r="AR87" s="6">
        <v>556594.90300000005</v>
      </c>
      <c r="AS87" s="6">
        <v>494119.14199999999</v>
      </c>
      <c r="AT87" s="6">
        <v>494119.14199999999</v>
      </c>
    </row>
    <row r="88" spans="1:46" x14ac:dyDescent="0.25">
      <c r="A88" s="4" t="s">
        <v>198</v>
      </c>
      <c r="B88" s="4" t="s">
        <v>207</v>
      </c>
      <c r="C88" s="4" t="s">
        <v>246</v>
      </c>
      <c r="D88" s="4" t="s">
        <v>259</v>
      </c>
      <c r="E88" s="4" t="s">
        <v>248</v>
      </c>
      <c r="F88" s="4" t="s">
        <v>203</v>
      </c>
      <c r="G88" s="4" t="s">
        <v>93</v>
      </c>
      <c r="H88" s="4" t="s">
        <v>249</v>
      </c>
      <c r="I88" s="7">
        <v>5.1929999999999996</v>
      </c>
      <c r="J88" s="7">
        <v>5.8739999999999997</v>
      </c>
      <c r="K88" s="7">
        <v>7.39</v>
      </c>
      <c r="L88" s="7">
        <v>9.1039999999999992</v>
      </c>
      <c r="M88" s="7">
        <v>8.7230000000000008</v>
      </c>
      <c r="N88" s="7">
        <v>9.3569999999999993</v>
      </c>
      <c r="O88" s="7">
        <v>8.3089999999999993</v>
      </c>
      <c r="P88" s="7">
        <v>8.1389999999999993</v>
      </c>
      <c r="Q88" s="7">
        <v>7.7450000000000001</v>
      </c>
      <c r="R88" s="7">
        <v>6.8949999999999996</v>
      </c>
      <c r="S88" s="7">
        <v>7.2560000000000002</v>
      </c>
      <c r="T88" s="7">
        <v>8.4220000000000006</v>
      </c>
      <c r="U88" s="7">
        <v>6.9160000000000004</v>
      </c>
      <c r="V88" s="7">
        <v>7.5860000000000003</v>
      </c>
      <c r="W88" s="7">
        <v>8.0869999999999997</v>
      </c>
      <c r="X88" s="7">
        <v>7.806</v>
      </c>
      <c r="Y88" s="7">
        <v>7.9050000000000002</v>
      </c>
      <c r="Z88" s="7">
        <v>9.4860000000000007</v>
      </c>
      <c r="AA88" s="7">
        <v>8.3640000000000008</v>
      </c>
      <c r="AB88" s="7">
        <v>7.718</v>
      </c>
      <c r="AC88" s="7">
        <v>6.8150000000000004</v>
      </c>
      <c r="AD88" s="7">
        <v>7.1420000000000003</v>
      </c>
      <c r="AE88" s="7">
        <v>6.0330000000000004</v>
      </c>
      <c r="AF88" s="7">
        <v>5.9359999999999999</v>
      </c>
      <c r="AG88" s="7">
        <v>4.7050000000000001</v>
      </c>
      <c r="AH88" s="7">
        <v>5.5270000000000001</v>
      </c>
      <c r="AI88" s="7">
        <v>4.8570000000000002</v>
      </c>
      <c r="AJ88" s="7">
        <v>6.49</v>
      </c>
      <c r="AK88" s="7">
        <v>5.7080000000000002</v>
      </c>
      <c r="AL88" s="7">
        <v>6.3769999999999998</v>
      </c>
      <c r="AM88" s="7">
        <v>6.718</v>
      </c>
      <c r="AN88" s="7">
        <v>7.3929999999999998</v>
      </c>
      <c r="AO88" s="7">
        <v>6.1719999999999997</v>
      </c>
      <c r="AP88" s="7">
        <v>5.7549999999999999</v>
      </c>
      <c r="AQ88" s="7">
        <v>5.577</v>
      </c>
      <c r="AR88" s="7">
        <v>5.8419999999999996</v>
      </c>
      <c r="AS88" s="7">
        <v>7.2439999999999998</v>
      </c>
      <c r="AT88" s="7">
        <v>1.236</v>
      </c>
    </row>
    <row r="89" spans="1:46" x14ac:dyDescent="0.25">
      <c r="A89" s="4" t="s">
        <v>198</v>
      </c>
      <c r="B89" s="4" t="s">
        <v>207</v>
      </c>
      <c r="C89" s="4" t="s">
        <v>246</v>
      </c>
      <c r="D89" s="4" t="s">
        <v>259</v>
      </c>
      <c r="E89" s="4" t="s">
        <v>248</v>
      </c>
      <c r="F89" s="4" t="s">
        <v>203</v>
      </c>
      <c r="G89" s="4" t="s">
        <v>93</v>
      </c>
      <c r="H89" s="4" t="s">
        <v>250</v>
      </c>
      <c r="I89" s="7">
        <v>45.304000000000002</v>
      </c>
      <c r="J89" s="7">
        <v>47.372999999999998</v>
      </c>
      <c r="K89" s="7">
        <v>53.302</v>
      </c>
      <c r="L89" s="7">
        <v>57.356000000000002</v>
      </c>
      <c r="M89" s="7">
        <v>55.551000000000002</v>
      </c>
      <c r="N89" s="7">
        <v>60.2</v>
      </c>
      <c r="O89" s="7">
        <v>53.906999999999996</v>
      </c>
      <c r="P89" s="7">
        <v>52.826000000000001</v>
      </c>
      <c r="Q89" s="7">
        <v>50.24</v>
      </c>
      <c r="R89" s="7">
        <v>42.878999999999998</v>
      </c>
      <c r="S89" s="7">
        <v>46.712000000000003</v>
      </c>
      <c r="T89" s="7">
        <v>49.12</v>
      </c>
      <c r="U89" s="7">
        <v>46.259</v>
      </c>
      <c r="V89" s="7">
        <v>48.537999999999997</v>
      </c>
      <c r="W89" s="7">
        <v>55.119</v>
      </c>
      <c r="X89" s="7">
        <v>56.247999999999998</v>
      </c>
      <c r="Y89" s="7">
        <v>54.281999999999996</v>
      </c>
      <c r="Z89" s="7">
        <v>58.423999999999999</v>
      </c>
      <c r="AA89" s="7">
        <v>59.993000000000002</v>
      </c>
      <c r="AB89" s="7">
        <v>53.749000000000002</v>
      </c>
      <c r="AC89" s="7">
        <v>52.607999999999997</v>
      </c>
      <c r="AD89" s="7">
        <v>48.289000000000001</v>
      </c>
      <c r="AE89" s="7">
        <v>51.35</v>
      </c>
      <c r="AF89" s="7">
        <v>53.256999999999998</v>
      </c>
      <c r="AG89" s="7">
        <v>52.192</v>
      </c>
      <c r="AH89" s="7">
        <v>46.292999999999999</v>
      </c>
      <c r="AI89" s="7">
        <v>48.24</v>
      </c>
      <c r="AJ89" s="7">
        <v>51.500999999999998</v>
      </c>
      <c r="AK89" s="7">
        <v>52.735999999999997</v>
      </c>
      <c r="AL89" s="7">
        <v>53.886000000000003</v>
      </c>
      <c r="AM89" s="7">
        <v>55.256999999999998</v>
      </c>
      <c r="AN89" s="7">
        <v>50.220999999999997</v>
      </c>
      <c r="AO89" s="7">
        <v>42.232999999999997</v>
      </c>
      <c r="AP89" s="7">
        <v>44.369</v>
      </c>
      <c r="AQ89" s="7">
        <v>40.383000000000003</v>
      </c>
      <c r="AR89" s="7">
        <v>36.473999999999997</v>
      </c>
      <c r="AS89" s="7">
        <v>39.213999999999999</v>
      </c>
      <c r="AT89" s="5">
        <v>7595.951</v>
      </c>
    </row>
    <row r="90" spans="1:46" x14ac:dyDescent="0.25">
      <c r="A90" s="4" t="s">
        <v>198</v>
      </c>
      <c r="B90" s="4" t="s">
        <v>207</v>
      </c>
      <c r="C90" s="4" t="s">
        <v>246</v>
      </c>
      <c r="D90" s="4" t="s">
        <v>259</v>
      </c>
      <c r="E90" s="4" t="s">
        <v>248</v>
      </c>
      <c r="F90" s="4" t="s">
        <v>203</v>
      </c>
      <c r="G90" s="4" t="s">
        <v>93</v>
      </c>
      <c r="H90" s="4" t="s">
        <v>251</v>
      </c>
      <c r="I90" s="7">
        <v>27.507850000000001</v>
      </c>
      <c r="J90" s="7">
        <v>28.870373099999998</v>
      </c>
      <c r="K90" s="7">
        <v>31.476992899999999</v>
      </c>
      <c r="L90" s="7">
        <v>31.4573672</v>
      </c>
      <c r="M90" s="7">
        <v>33.675548200000001</v>
      </c>
      <c r="N90" s="7">
        <v>36.059863499999999</v>
      </c>
      <c r="O90" s="7">
        <v>33.626934499999997</v>
      </c>
      <c r="P90" s="7">
        <v>29.963834500000001</v>
      </c>
      <c r="Q90" s="7">
        <v>26.3613705</v>
      </c>
      <c r="R90" s="7">
        <v>26.332930399999999</v>
      </c>
      <c r="S90" s="7">
        <v>24.701221400000001</v>
      </c>
      <c r="T90" s="7">
        <v>25.487423199999999</v>
      </c>
      <c r="U90" s="7">
        <v>26.0227149</v>
      </c>
      <c r="V90" s="7">
        <v>27.396895099999998</v>
      </c>
      <c r="W90" s="7">
        <v>29.3397705</v>
      </c>
      <c r="X90" s="7">
        <v>30.162758100000001</v>
      </c>
      <c r="Y90" s="7">
        <v>29.886313300000001</v>
      </c>
      <c r="Z90" s="7">
        <v>31.4891647</v>
      </c>
      <c r="AA90" s="7">
        <v>33.746938800000002</v>
      </c>
      <c r="AB90" s="7">
        <v>30.5383225</v>
      </c>
      <c r="AC90" s="7">
        <v>28.919864100000002</v>
      </c>
      <c r="AD90" s="7">
        <v>26.599398300000001</v>
      </c>
      <c r="AE90" s="7">
        <v>26.4961953</v>
      </c>
      <c r="AF90" s="7">
        <v>27.165381400000001</v>
      </c>
      <c r="AG90" s="7">
        <v>26.830141999999999</v>
      </c>
      <c r="AH90" s="7">
        <v>26.7999467</v>
      </c>
      <c r="AI90" s="7">
        <v>27.622055199999998</v>
      </c>
      <c r="AJ90" s="7">
        <v>30.232515800000002</v>
      </c>
      <c r="AK90" s="7">
        <v>29.627714999999998</v>
      </c>
      <c r="AL90" s="7">
        <v>31.385929000000001</v>
      </c>
      <c r="AM90" s="7">
        <v>32.506159799999999</v>
      </c>
      <c r="AN90" s="7">
        <v>28.479767500000001</v>
      </c>
      <c r="AO90" s="7">
        <v>25.2543589</v>
      </c>
      <c r="AP90" s="7">
        <v>24.179489400000001</v>
      </c>
      <c r="AQ90" s="7">
        <v>23.636172999999999</v>
      </c>
      <c r="AR90" s="7">
        <v>22.324948800000001</v>
      </c>
      <c r="AS90" s="7">
        <v>22.584737400000002</v>
      </c>
      <c r="AT90" s="7">
        <v>39.213999999999999</v>
      </c>
    </row>
    <row r="91" spans="1:46" x14ac:dyDescent="0.25">
      <c r="A91" s="4" t="s">
        <v>198</v>
      </c>
      <c r="B91" s="4" t="s">
        <v>207</v>
      </c>
      <c r="C91" s="4" t="s">
        <v>246</v>
      </c>
      <c r="D91" s="4" t="s">
        <v>259</v>
      </c>
      <c r="E91" s="4" t="s">
        <v>248</v>
      </c>
      <c r="F91" s="4" t="s">
        <v>203</v>
      </c>
      <c r="G91" s="4" t="s">
        <v>93</v>
      </c>
      <c r="H91" s="4" t="s">
        <v>252</v>
      </c>
      <c r="I91" s="16">
        <v>4.8520000000000003</v>
      </c>
      <c r="J91" s="16">
        <v>5.3869999999999996</v>
      </c>
      <c r="K91" s="16">
        <v>6.2380000000000004</v>
      </c>
      <c r="L91" s="16">
        <v>5.3449999999999998</v>
      </c>
      <c r="M91" s="16">
        <v>5.1970000000000001</v>
      </c>
      <c r="N91" s="16">
        <v>5.7060000000000004</v>
      </c>
      <c r="O91" s="16">
        <v>4.2370000000000001</v>
      </c>
      <c r="P91" s="16">
        <v>4.9349999999999996</v>
      </c>
      <c r="Q91" s="16">
        <v>4.4710000000000001</v>
      </c>
      <c r="R91" s="16">
        <v>5.335</v>
      </c>
      <c r="S91" s="16">
        <v>5.1260000000000003</v>
      </c>
      <c r="T91" s="16">
        <v>4.8360000000000003</v>
      </c>
      <c r="U91" s="16">
        <v>4.5359999999999996</v>
      </c>
      <c r="V91" s="16">
        <v>4.431</v>
      </c>
      <c r="W91" s="16">
        <v>5.1449999999999996</v>
      </c>
      <c r="X91" s="16">
        <v>4.931</v>
      </c>
      <c r="Y91" s="16">
        <v>4.6509999999999998</v>
      </c>
      <c r="Z91" s="16">
        <v>4.2679999999999998</v>
      </c>
      <c r="AA91" s="16">
        <v>4.5519999999999996</v>
      </c>
      <c r="AB91" s="16">
        <v>3.9119999999999999</v>
      </c>
      <c r="AC91" s="16">
        <v>3.5779999999999998</v>
      </c>
      <c r="AD91" s="16">
        <v>4.2679999999999998</v>
      </c>
      <c r="AE91" s="16">
        <v>3.7570000000000001</v>
      </c>
      <c r="AF91" s="16">
        <v>3.758</v>
      </c>
      <c r="AG91" s="16">
        <v>3.589</v>
      </c>
      <c r="AH91" s="16">
        <v>3.4670000000000001</v>
      </c>
      <c r="AI91" s="16">
        <v>4.1319999999999997</v>
      </c>
      <c r="AJ91" s="16">
        <v>4.4740000000000002</v>
      </c>
      <c r="AK91" s="16">
        <v>4.1859999999999999</v>
      </c>
      <c r="AL91" s="16">
        <v>4.7889999999999997</v>
      </c>
      <c r="AM91" s="16">
        <v>5.0359999999999996</v>
      </c>
      <c r="AN91" s="16">
        <v>4.8490000000000002</v>
      </c>
      <c r="AO91" s="16">
        <v>3.359</v>
      </c>
      <c r="AP91" s="16">
        <v>3.9420000000000002</v>
      </c>
      <c r="AQ91" s="16">
        <v>4.093</v>
      </c>
      <c r="AR91" s="16">
        <v>4.0750000000000002</v>
      </c>
      <c r="AS91" s="16">
        <v>3.8140000000000001</v>
      </c>
      <c r="AT91" s="7">
        <v>22.584737400000002</v>
      </c>
    </row>
    <row r="92" spans="1:46" x14ac:dyDescent="0.25">
      <c r="A92" s="4" t="s">
        <v>198</v>
      </c>
      <c r="B92" s="4" t="s">
        <v>207</v>
      </c>
      <c r="C92" s="4" t="s">
        <v>246</v>
      </c>
      <c r="D92" s="4" t="s">
        <v>259</v>
      </c>
      <c r="E92" s="4" t="s">
        <v>248</v>
      </c>
      <c r="F92" s="4" t="s">
        <v>201</v>
      </c>
      <c r="G92" s="4" t="s">
        <v>93</v>
      </c>
      <c r="H92" s="4" t="s">
        <v>151</v>
      </c>
      <c r="I92" s="5">
        <v>2780.5039999999999</v>
      </c>
      <c r="J92" s="5">
        <v>4668.732</v>
      </c>
      <c r="K92" s="5">
        <v>6289.2489999999998</v>
      </c>
      <c r="L92" s="5">
        <v>8108.7209999999995</v>
      </c>
      <c r="M92" s="5">
        <v>8810.8330000000005</v>
      </c>
      <c r="N92" s="5">
        <v>10931.73</v>
      </c>
      <c r="O92" s="5">
        <v>9308.2150000000001</v>
      </c>
      <c r="P92" s="5">
        <v>8531.5930000000008</v>
      </c>
      <c r="Q92" s="5">
        <v>6217.0379999999996</v>
      </c>
      <c r="R92" s="5">
        <v>3307.4690000000001</v>
      </c>
      <c r="S92" s="5">
        <v>2680.11</v>
      </c>
      <c r="T92" s="5">
        <v>2743.1979999999999</v>
      </c>
      <c r="U92" s="5">
        <v>2857.6329999999998</v>
      </c>
      <c r="V92" s="5">
        <v>3051.4929999999999</v>
      </c>
      <c r="W92" s="5">
        <v>4455.3019999999997</v>
      </c>
      <c r="X92" s="5">
        <v>6052.192</v>
      </c>
      <c r="Y92" s="5">
        <v>8700.0519999999997</v>
      </c>
      <c r="Z92" s="5">
        <v>7270.15</v>
      </c>
      <c r="AA92" s="5">
        <v>8146.2120000000004</v>
      </c>
      <c r="AB92" s="5">
        <v>6331.9250000000002</v>
      </c>
      <c r="AC92" s="5">
        <v>6708.49</v>
      </c>
      <c r="AD92" s="5">
        <v>4760.0990000000002</v>
      </c>
      <c r="AE92" s="5">
        <v>4248.9260000000004</v>
      </c>
      <c r="AF92" s="5">
        <v>4527.5510000000004</v>
      </c>
      <c r="AG92" s="5">
        <v>5604.6509999999998</v>
      </c>
      <c r="AH92" s="5">
        <v>6317.8140000000003</v>
      </c>
      <c r="AI92" s="5">
        <v>7720.6890000000003</v>
      </c>
      <c r="AJ92" s="5">
        <v>8741.6389999999992</v>
      </c>
      <c r="AK92" s="5">
        <v>9442.5480000000007</v>
      </c>
      <c r="AL92" s="5">
        <v>10233.144</v>
      </c>
      <c r="AM92" s="5">
        <v>12535.813</v>
      </c>
      <c r="AN92" s="5">
        <v>12196.508</v>
      </c>
      <c r="AO92" s="5">
        <v>8571.8639999999996</v>
      </c>
      <c r="AP92" s="5">
        <v>8795.8680000000004</v>
      </c>
      <c r="AQ92" s="5">
        <v>7030.3909999999996</v>
      </c>
      <c r="AR92" s="5">
        <v>5078.4740000000002</v>
      </c>
      <c r="AS92" s="5">
        <v>2486.6950000000002</v>
      </c>
      <c r="AT92" s="5">
        <v>2734.4859999999999</v>
      </c>
    </row>
    <row r="93" spans="1:46" x14ac:dyDescent="0.25">
      <c r="A93" s="4" t="s">
        <v>198</v>
      </c>
      <c r="B93" s="4" t="s">
        <v>207</v>
      </c>
      <c r="C93" s="4" t="s">
        <v>246</v>
      </c>
      <c r="D93" s="4" t="s">
        <v>259</v>
      </c>
      <c r="E93" s="4" t="s">
        <v>248</v>
      </c>
      <c r="F93" s="4" t="s">
        <v>201</v>
      </c>
      <c r="G93" s="4" t="s">
        <v>93</v>
      </c>
      <c r="H93" s="4" t="s">
        <v>205</v>
      </c>
      <c r="I93" s="6">
        <v>374084.73800000001</v>
      </c>
      <c r="J93" s="6">
        <v>607310.86100000003</v>
      </c>
      <c r="K93" s="6">
        <v>842677.522</v>
      </c>
      <c r="L93" s="6">
        <v>1052135.5319999999</v>
      </c>
      <c r="M93" s="6">
        <v>1133450.72</v>
      </c>
      <c r="N93" s="6">
        <v>1450596.9580000001</v>
      </c>
      <c r="O93" s="6">
        <v>1259210.834</v>
      </c>
      <c r="P93" s="6">
        <v>1187564.077</v>
      </c>
      <c r="Q93" s="6">
        <v>855818.78799999994</v>
      </c>
      <c r="R93" s="6">
        <v>458881.29200000002</v>
      </c>
      <c r="S93" s="6">
        <v>368805.58799999999</v>
      </c>
      <c r="T93" s="6">
        <v>382420.49800000002</v>
      </c>
      <c r="U93" s="6">
        <v>397717.402</v>
      </c>
      <c r="V93" s="6">
        <v>429836.36599999998</v>
      </c>
      <c r="W93" s="6">
        <v>641826.04599999997</v>
      </c>
      <c r="X93" s="6">
        <v>878620.46200000006</v>
      </c>
      <c r="Y93" s="6">
        <v>1285202.6070000001</v>
      </c>
      <c r="Z93" s="6">
        <v>1094453.7309999999</v>
      </c>
      <c r="AA93" s="6">
        <v>1229778.175</v>
      </c>
      <c r="AB93" s="6">
        <v>945706.55900000001</v>
      </c>
      <c r="AC93" s="6">
        <v>991257.22</v>
      </c>
      <c r="AD93" s="6">
        <v>724396.05200000003</v>
      </c>
      <c r="AE93" s="6">
        <v>628113.04</v>
      </c>
      <c r="AF93" s="6">
        <v>656610.75699999998</v>
      </c>
      <c r="AG93" s="6">
        <v>819780.34699999995</v>
      </c>
      <c r="AH93" s="6">
        <v>916010.076</v>
      </c>
      <c r="AI93" s="6">
        <v>1173697.0789999999</v>
      </c>
      <c r="AJ93" s="6">
        <v>1316581.835</v>
      </c>
      <c r="AK93" s="6">
        <v>1408484.46</v>
      </c>
      <c r="AL93" s="6">
        <v>1551124.4350000001</v>
      </c>
      <c r="AM93" s="6">
        <v>1899765.361</v>
      </c>
      <c r="AN93" s="6">
        <v>1831372.655</v>
      </c>
      <c r="AO93" s="6">
        <v>1284139.3929999999</v>
      </c>
      <c r="AP93" s="6">
        <v>1278275.361</v>
      </c>
      <c r="AQ93" s="6">
        <v>1039876.139</v>
      </c>
      <c r="AR93" s="6">
        <v>753710.73400000005</v>
      </c>
      <c r="AS93" s="6">
        <v>359367.78200000001</v>
      </c>
      <c r="AT93" s="6">
        <v>359367.78200000001</v>
      </c>
    </row>
    <row r="94" spans="1:46" x14ac:dyDescent="0.25">
      <c r="A94" s="4" t="s">
        <v>198</v>
      </c>
      <c r="B94" s="4" t="s">
        <v>207</v>
      </c>
      <c r="C94" s="4" t="s">
        <v>246</v>
      </c>
      <c r="D94" s="4" t="s">
        <v>259</v>
      </c>
      <c r="E94" s="4" t="s">
        <v>248</v>
      </c>
      <c r="F94" s="4" t="s">
        <v>201</v>
      </c>
      <c r="G94" s="4" t="s">
        <v>93</v>
      </c>
      <c r="H94" s="4" t="s">
        <v>249</v>
      </c>
      <c r="I94" s="7">
        <v>4.3789999999999996</v>
      </c>
      <c r="J94" s="7">
        <v>6.0960000000000001</v>
      </c>
      <c r="K94" s="7">
        <v>6.6680000000000001</v>
      </c>
      <c r="L94" s="7">
        <v>6.3920000000000003</v>
      </c>
      <c r="M94" s="7">
        <v>6.1340000000000003</v>
      </c>
      <c r="N94" s="7">
        <v>7.0629999999999997</v>
      </c>
      <c r="O94" s="7">
        <v>6.2949999999999999</v>
      </c>
      <c r="P94" s="7">
        <v>7.2889999999999997</v>
      </c>
      <c r="Q94" s="7">
        <v>6.6440000000000001</v>
      </c>
      <c r="R94" s="7">
        <v>4.9550000000000001</v>
      </c>
      <c r="S94" s="7">
        <v>4.8609999999999998</v>
      </c>
      <c r="T94" s="7">
        <v>5.4489999999999998</v>
      </c>
      <c r="U94" s="7">
        <v>5.7850000000000001</v>
      </c>
      <c r="V94" s="7">
        <v>5.2309999999999999</v>
      </c>
      <c r="W94" s="7">
        <v>5.319</v>
      </c>
      <c r="X94" s="7">
        <v>5.3410000000000002</v>
      </c>
      <c r="Y94" s="7">
        <v>6.2290000000000001</v>
      </c>
      <c r="Z94" s="7">
        <v>5.5590000000000002</v>
      </c>
      <c r="AA94" s="7">
        <v>5.8659999999999997</v>
      </c>
      <c r="AB94" s="7">
        <v>5.6710000000000003</v>
      </c>
      <c r="AC94" s="7">
        <v>6.6529999999999996</v>
      </c>
      <c r="AD94" s="7">
        <v>5.8479999999999999</v>
      </c>
      <c r="AE94" s="7">
        <v>5.9550000000000001</v>
      </c>
      <c r="AF94" s="7">
        <v>6.516</v>
      </c>
      <c r="AG94" s="7">
        <v>7.7009999999999996</v>
      </c>
      <c r="AH94" s="7">
        <v>7.5720000000000001</v>
      </c>
      <c r="AI94" s="7">
        <v>7.5339999999999998</v>
      </c>
      <c r="AJ94" s="7">
        <v>6.9610000000000003</v>
      </c>
      <c r="AK94" s="7">
        <v>6.5419999999999998</v>
      </c>
      <c r="AL94" s="7">
        <v>6.8029999999999999</v>
      </c>
      <c r="AM94" s="7">
        <v>6.9580000000000002</v>
      </c>
      <c r="AN94" s="7">
        <v>7.6449999999999996</v>
      </c>
      <c r="AO94" s="7">
        <v>6.1879999999999997</v>
      </c>
      <c r="AP94" s="7">
        <v>7.3150000000000004</v>
      </c>
      <c r="AQ94" s="7">
        <v>6.7130000000000001</v>
      </c>
      <c r="AR94" s="7">
        <v>6.7930000000000001</v>
      </c>
      <c r="AS94" s="7">
        <v>5.0570000000000004</v>
      </c>
      <c r="AT94" s="7">
        <v>0.80600000000000005</v>
      </c>
    </row>
    <row r="95" spans="1:46" x14ac:dyDescent="0.25">
      <c r="A95" s="4" t="s">
        <v>198</v>
      </c>
      <c r="B95" s="4" t="s">
        <v>207</v>
      </c>
      <c r="C95" s="4" t="s">
        <v>246</v>
      </c>
      <c r="D95" s="4" t="s">
        <v>259</v>
      </c>
      <c r="E95" s="4" t="s">
        <v>248</v>
      </c>
      <c r="F95" s="4" t="s">
        <v>201</v>
      </c>
      <c r="G95" s="4" t="s">
        <v>93</v>
      </c>
      <c r="H95" s="4" t="s">
        <v>250</v>
      </c>
      <c r="I95" s="7">
        <v>37.145000000000003</v>
      </c>
      <c r="J95" s="7">
        <v>42.997</v>
      </c>
      <c r="K95" s="7">
        <v>46.167999999999999</v>
      </c>
      <c r="L95" s="7">
        <v>46.405000000000001</v>
      </c>
      <c r="M95" s="7">
        <v>51.987000000000002</v>
      </c>
      <c r="N95" s="7">
        <v>50.459000000000003</v>
      </c>
      <c r="O95" s="7">
        <v>49.646999999999998</v>
      </c>
      <c r="P95" s="7">
        <v>46.66</v>
      </c>
      <c r="Q95" s="7">
        <v>46.945</v>
      </c>
      <c r="R95" s="7">
        <v>43.17</v>
      </c>
      <c r="S95" s="7">
        <v>42.110999999999997</v>
      </c>
      <c r="T95" s="7">
        <v>42.576000000000001</v>
      </c>
      <c r="U95" s="7">
        <v>43.204000000000001</v>
      </c>
      <c r="V95" s="7">
        <v>43.136000000000003</v>
      </c>
      <c r="W95" s="7">
        <v>46.460999999999999</v>
      </c>
      <c r="X95" s="7">
        <v>46.472999999999999</v>
      </c>
      <c r="Y95" s="7">
        <v>50.162999999999997</v>
      </c>
      <c r="Z95" s="7">
        <v>47.627000000000002</v>
      </c>
      <c r="AA95" s="7">
        <v>48.213000000000001</v>
      </c>
      <c r="AB95" s="7">
        <v>45.581000000000003</v>
      </c>
      <c r="AC95" s="7">
        <v>51.213000000000001</v>
      </c>
      <c r="AD95" s="7">
        <v>53.668999999999997</v>
      </c>
      <c r="AE95" s="7">
        <v>51.942999999999998</v>
      </c>
      <c r="AF95" s="7">
        <v>51.356000000000002</v>
      </c>
      <c r="AG95" s="7">
        <v>54.308999999999997</v>
      </c>
      <c r="AH95" s="7">
        <v>52.152999999999999</v>
      </c>
      <c r="AI95" s="7">
        <v>55.375999999999998</v>
      </c>
      <c r="AJ95" s="7">
        <v>49.814999999999998</v>
      </c>
      <c r="AK95" s="7">
        <v>49.372</v>
      </c>
      <c r="AL95" s="7">
        <v>55.542999999999999</v>
      </c>
      <c r="AM95" s="7">
        <v>59.965000000000003</v>
      </c>
      <c r="AN95" s="7">
        <v>58.484999999999999</v>
      </c>
      <c r="AO95" s="7">
        <v>51.81</v>
      </c>
      <c r="AP95" s="7">
        <v>49.713999999999999</v>
      </c>
      <c r="AQ95" s="7">
        <v>45.643999999999998</v>
      </c>
      <c r="AR95" s="7">
        <v>44.103999999999999</v>
      </c>
      <c r="AS95" s="7">
        <v>39.401000000000003</v>
      </c>
      <c r="AT95" s="5">
        <v>7575.7730000000001</v>
      </c>
    </row>
    <row r="96" spans="1:46" x14ac:dyDescent="0.25">
      <c r="A96" s="4" t="s">
        <v>198</v>
      </c>
      <c r="B96" s="4" t="s">
        <v>207</v>
      </c>
      <c r="C96" s="4" t="s">
        <v>246</v>
      </c>
      <c r="D96" s="4" t="s">
        <v>259</v>
      </c>
      <c r="E96" s="4" t="s">
        <v>248</v>
      </c>
      <c r="F96" s="4" t="s">
        <v>201</v>
      </c>
      <c r="G96" s="4" t="s">
        <v>93</v>
      </c>
      <c r="H96" s="4" t="s">
        <v>251</v>
      </c>
      <c r="I96" s="7">
        <v>23.733198999999999</v>
      </c>
      <c r="J96" s="7">
        <v>28.380719500000001</v>
      </c>
      <c r="K96" s="7">
        <v>29.616665900000001</v>
      </c>
      <c r="L96" s="7">
        <v>30.070102599999998</v>
      </c>
      <c r="M96" s="7">
        <v>31.800092800000002</v>
      </c>
      <c r="N96" s="7">
        <v>29.088480700000002</v>
      </c>
      <c r="O96" s="7">
        <v>30.2786142</v>
      </c>
      <c r="P96" s="7">
        <v>29.1801219</v>
      </c>
      <c r="Q96" s="7">
        <v>27.601207599999999</v>
      </c>
      <c r="R96" s="7">
        <v>28.434596200000001</v>
      </c>
      <c r="S96" s="7">
        <v>27.829333200000001</v>
      </c>
      <c r="T96" s="7">
        <v>27.696744899999999</v>
      </c>
      <c r="U96" s="7">
        <v>29.546387200000002</v>
      </c>
      <c r="V96" s="7">
        <v>26.832045999999998</v>
      </c>
      <c r="W96" s="7">
        <v>26.969906999999999</v>
      </c>
      <c r="X96" s="7">
        <v>26.452242900000002</v>
      </c>
      <c r="Y96" s="7">
        <v>26.938816299999999</v>
      </c>
      <c r="Z96" s="7">
        <v>26.339902599999999</v>
      </c>
      <c r="AA96" s="7">
        <v>25.728995300000001</v>
      </c>
      <c r="AB96" s="7">
        <v>24.972042200000001</v>
      </c>
      <c r="AC96" s="7">
        <v>27.8631958</v>
      </c>
      <c r="AD96" s="7">
        <v>27.784542800000001</v>
      </c>
      <c r="AE96" s="7">
        <v>26.230582699999999</v>
      </c>
      <c r="AF96" s="7">
        <v>26.4766698</v>
      </c>
      <c r="AG96" s="7">
        <v>26.6197494</v>
      </c>
      <c r="AH96" s="7">
        <v>28.985034299999999</v>
      </c>
      <c r="AI96" s="7">
        <v>34.514868800000002</v>
      </c>
      <c r="AJ96" s="7">
        <v>32.446843700000002</v>
      </c>
      <c r="AK96" s="7">
        <v>33.428287599999997</v>
      </c>
      <c r="AL96" s="7">
        <v>33.881550699999998</v>
      </c>
      <c r="AM96" s="7">
        <v>36.054350399999997</v>
      </c>
      <c r="AN96" s="7">
        <v>33.735611599999999</v>
      </c>
      <c r="AO96" s="7">
        <v>29.852391799999999</v>
      </c>
      <c r="AP96" s="7">
        <v>28.1738888</v>
      </c>
      <c r="AQ96" s="7">
        <v>26.407970500000001</v>
      </c>
      <c r="AR96" s="7">
        <v>26.524995000000001</v>
      </c>
      <c r="AS96" s="7">
        <v>25.5000319</v>
      </c>
      <c r="AT96" s="7">
        <v>39.401000000000003</v>
      </c>
    </row>
    <row r="97" spans="1:46" x14ac:dyDescent="0.25">
      <c r="A97" s="4" t="s">
        <v>198</v>
      </c>
      <c r="B97" s="4" t="s">
        <v>207</v>
      </c>
      <c r="C97" s="4" t="s">
        <v>246</v>
      </c>
      <c r="D97" s="4" t="s">
        <v>259</v>
      </c>
      <c r="E97" s="4" t="s">
        <v>248</v>
      </c>
      <c r="F97" s="4" t="s">
        <v>201</v>
      </c>
      <c r="G97" s="4" t="s">
        <v>93</v>
      </c>
      <c r="H97" s="4" t="s">
        <v>252</v>
      </c>
      <c r="I97" s="16">
        <v>2.7130000000000001</v>
      </c>
      <c r="J97" s="16">
        <v>3.7349999999999999</v>
      </c>
      <c r="K97" s="16">
        <v>3.4279999999999999</v>
      </c>
      <c r="L97" s="16">
        <v>3.9329999999999998</v>
      </c>
      <c r="M97" s="16">
        <v>4.0149999999999997</v>
      </c>
      <c r="N97" s="16">
        <v>3.8879999999999999</v>
      </c>
      <c r="O97" s="16">
        <v>3.6520000000000001</v>
      </c>
      <c r="P97" s="16">
        <v>3.766</v>
      </c>
      <c r="Q97" s="16">
        <v>3.7170000000000001</v>
      </c>
      <c r="R97" s="16">
        <v>3.746</v>
      </c>
      <c r="S97" s="16">
        <v>3.3479999999999999</v>
      </c>
      <c r="T97" s="16">
        <v>3.49</v>
      </c>
      <c r="U97" s="16">
        <v>3.657</v>
      </c>
      <c r="V97" s="16">
        <v>3.294</v>
      </c>
      <c r="W97" s="16">
        <v>3.4380000000000002</v>
      </c>
      <c r="X97" s="16">
        <v>2.867</v>
      </c>
      <c r="Y97" s="16">
        <v>3.61</v>
      </c>
      <c r="Z97" s="16">
        <v>3.9580000000000002</v>
      </c>
      <c r="AA97" s="16">
        <v>3.5659999999999998</v>
      </c>
      <c r="AB97" s="16">
        <v>4.2220000000000004</v>
      </c>
      <c r="AC97" s="16">
        <v>4.2670000000000003</v>
      </c>
      <c r="AD97" s="16">
        <v>4.7640000000000002</v>
      </c>
      <c r="AE97" s="16">
        <v>4.5979999999999999</v>
      </c>
      <c r="AF97" s="16">
        <v>5.0030000000000001</v>
      </c>
      <c r="AG97" s="16">
        <v>4.0910000000000002</v>
      </c>
      <c r="AH97" s="16">
        <v>4.4429999999999996</v>
      </c>
      <c r="AI97" s="16">
        <v>4.452</v>
      </c>
      <c r="AJ97" s="16">
        <v>4.1470000000000002</v>
      </c>
      <c r="AK97" s="16">
        <v>3.6139999999999999</v>
      </c>
      <c r="AL97" s="16">
        <v>3.8919999999999999</v>
      </c>
      <c r="AM97" s="16">
        <v>4.3</v>
      </c>
      <c r="AN97" s="16">
        <v>3.47</v>
      </c>
      <c r="AO97" s="16">
        <v>3.7080000000000002</v>
      </c>
      <c r="AP97" s="16">
        <v>3.3889999999999998</v>
      </c>
      <c r="AQ97" s="16">
        <v>3.6280000000000001</v>
      </c>
      <c r="AR97" s="16">
        <v>3.7250000000000001</v>
      </c>
      <c r="AS97" s="16">
        <v>3.895</v>
      </c>
      <c r="AT97" s="7">
        <v>25.5000319</v>
      </c>
    </row>
    <row r="98" spans="1:46" x14ac:dyDescent="0.25">
      <c r="A98" s="4" t="s">
        <v>198</v>
      </c>
      <c r="B98" s="4" t="s">
        <v>207</v>
      </c>
      <c r="C98" s="4" t="s">
        <v>246</v>
      </c>
      <c r="D98" s="4" t="s">
        <v>259</v>
      </c>
      <c r="E98" s="4" t="s">
        <v>248</v>
      </c>
      <c r="F98" s="4" t="s">
        <v>195</v>
      </c>
      <c r="G98" s="4" t="s">
        <v>93</v>
      </c>
      <c r="H98" s="4" t="s">
        <v>151</v>
      </c>
      <c r="I98" s="5">
        <v>7579.31</v>
      </c>
      <c r="J98" s="5">
        <v>10103.822</v>
      </c>
      <c r="K98" s="5">
        <v>10583.955</v>
      </c>
      <c r="L98" s="5">
        <v>15372.7</v>
      </c>
      <c r="M98" s="5">
        <v>17886.527999999998</v>
      </c>
      <c r="N98" s="5">
        <v>17127.882000000001</v>
      </c>
      <c r="O98" s="5">
        <v>17663.72</v>
      </c>
      <c r="P98" s="5">
        <v>14654.255999999999</v>
      </c>
      <c r="Q98" s="5">
        <v>11433.866</v>
      </c>
      <c r="R98" s="5">
        <v>8219.7099999999991</v>
      </c>
      <c r="S98" s="5">
        <v>7176.7420000000002</v>
      </c>
      <c r="T98" s="5">
        <v>6433.0630000000001</v>
      </c>
      <c r="U98" s="5">
        <v>6941.7629999999999</v>
      </c>
      <c r="V98" s="5">
        <v>7461.4930000000004</v>
      </c>
      <c r="W98" s="5">
        <v>12235.43</v>
      </c>
      <c r="X98" s="5">
        <v>14375.165999999999</v>
      </c>
      <c r="Y98" s="5">
        <v>19471.219000000001</v>
      </c>
      <c r="Z98" s="5">
        <v>17027.792000000001</v>
      </c>
      <c r="AA98" s="5">
        <v>18040.815999999999</v>
      </c>
      <c r="AB98" s="5">
        <v>15120.212</v>
      </c>
      <c r="AC98" s="5">
        <v>14186.607</v>
      </c>
      <c r="AD98" s="5">
        <v>10109.244000000001</v>
      </c>
      <c r="AE98" s="5">
        <v>9328.2379999999994</v>
      </c>
      <c r="AF98" s="5">
        <v>8859.6389999999992</v>
      </c>
      <c r="AG98" s="5">
        <v>8252.8469999999998</v>
      </c>
      <c r="AH98" s="5">
        <v>8688.9770000000008</v>
      </c>
      <c r="AI98" s="5">
        <v>10541.814</v>
      </c>
      <c r="AJ98" s="5">
        <v>15543.25</v>
      </c>
      <c r="AK98" s="5">
        <v>19484.405999999999</v>
      </c>
      <c r="AL98" s="5">
        <v>17928.719000000001</v>
      </c>
      <c r="AM98" s="5">
        <v>22018.264999999999</v>
      </c>
      <c r="AN98" s="5">
        <v>18807.78</v>
      </c>
      <c r="AO98" s="5">
        <v>16397.075000000001</v>
      </c>
      <c r="AP98" s="5">
        <v>13358.085999999999</v>
      </c>
      <c r="AQ98" s="5">
        <v>10616.825000000001</v>
      </c>
      <c r="AR98" s="5">
        <v>6023.5749999999998</v>
      </c>
      <c r="AS98" s="5">
        <v>5100.7879999999996</v>
      </c>
      <c r="AT98" s="5">
        <v>5331.1459999999997</v>
      </c>
    </row>
    <row r="99" spans="1:46" x14ac:dyDescent="0.25">
      <c r="A99" s="4" t="s">
        <v>198</v>
      </c>
      <c r="B99" s="4" t="s">
        <v>207</v>
      </c>
      <c r="C99" s="4" t="s">
        <v>246</v>
      </c>
      <c r="D99" s="4" t="s">
        <v>259</v>
      </c>
      <c r="E99" s="4" t="s">
        <v>248</v>
      </c>
      <c r="F99" s="4" t="s">
        <v>195</v>
      </c>
      <c r="G99" s="4" t="s">
        <v>93</v>
      </c>
      <c r="H99" s="4" t="s">
        <v>205</v>
      </c>
      <c r="I99" s="6">
        <v>1530626.4069999999</v>
      </c>
      <c r="J99" s="6">
        <v>2016864.5649999999</v>
      </c>
      <c r="K99" s="6">
        <v>2150013.0010000002</v>
      </c>
      <c r="L99" s="6">
        <v>3141601.449</v>
      </c>
      <c r="M99" s="6">
        <v>3587662.68</v>
      </c>
      <c r="N99" s="6">
        <v>3540053.0419999999</v>
      </c>
      <c r="O99" s="6">
        <v>3686721.5430000001</v>
      </c>
      <c r="P99" s="6">
        <v>3031488.5</v>
      </c>
      <c r="Q99" s="6">
        <v>2362842.29</v>
      </c>
      <c r="R99" s="6">
        <v>1705449.06</v>
      </c>
      <c r="S99" s="6">
        <v>1546084.53</v>
      </c>
      <c r="T99" s="6">
        <v>1377563.4809999999</v>
      </c>
      <c r="U99" s="6">
        <v>1483101.56</v>
      </c>
      <c r="V99" s="6">
        <v>1598077.4680000001</v>
      </c>
      <c r="W99" s="6">
        <v>2661817.2850000001</v>
      </c>
      <c r="X99" s="6">
        <v>3098043.5109999999</v>
      </c>
      <c r="Y99" s="6">
        <v>4257106.0360000003</v>
      </c>
      <c r="Z99" s="6">
        <v>3695916.764</v>
      </c>
      <c r="AA99" s="6">
        <v>4040760.463</v>
      </c>
      <c r="AB99" s="6">
        <v>3351166.7179999999</v>
      </c>
      <c r="AC99" s="6">
        <v>3144734.37</v>
      </c>
      <c r="AD99" s="6">
        <v>2205639.517</v>
      </c>
      <c r="AE99" s="6">
        <v>2039419.148</v>
      </c>
      <c r="AF99" s="6">
        <v>1936874.8829999999</v>
      </c>
      <c r="AG99" s="6">
        <v>1869675.486</v>
      </c>
      <c r="AH99" s="6">
        <v>1959702.665</v>
      </c>
      <c r="AI99" s="6">
        <v>2388432.44</v>
      </c>
      <c r="AJ99" s="6">
        <v>3537357.2820000001</v>
      </c>
      <c r="AK99" s="6">
        <v>4271341.352</v>
      </c>
      <c r="AL99" s="6">
        <v>4073590.057</v>
      </c>
      <c r="AM99" s="6">
        <v>5113380.341</v>
      </c>
      <c r="AN99" s="6">
        <v>4296227.0860000001</v>
      </c>
      <c r="AO99" s="6">
        <v>3826015.446</v>
      </c>
      <c r="AP99" s="6">
        <v>3145556.0219999999</v>
      </c>
      <c r="AQ99" s="6">
        <v>2469926.0550000002</v>
      </c>
      <c r="AR99" s="6">
        <v>1430115.645</v>
      </c>
      <c r="AS99" s="6">
        <v>1172836.07</v>
      </c>
      <c r="AT99" s="6">
        <v>1172836.07</v>
      </c>
    </row>
    <row r="100" spans="1:46" x14ac:dyDescent="0.25">
      <c r="A100" s="4" t="s">
        <v>198</v>
      </c>
      <c r="B100" s="4" t="s">
        <v>207</v>
      </c>
      <c r="C100" s="4" t="s">
        <v>246</v>
      </c>
      <c r="D100" s="4" t="s">
        <v>259</v>
      </c>
      <c r="E100" s="4" t="s">
        <v>248</v>
      </c>
      <c r="F100" s="4" t="s">
        <v>195</v>
      </c>
      <c r="G100" s="4" t="s">
        <v>93</v>
      </c>
      <c r="H100" s="4" t="s">
        <v>249</v>
      </c>
      <c r="I100" s="7">
        <v>12.41</v>
      </c>
      <c r="J100" s="7">
        <v>13.773999999999999</v>
      </c>
      <c r="K100" s="7">
        <v>11.824999999999999</v>
      </c>
      <c r="L100" s="7">
        <v>12.827</v>
      </c>
      <c r="M100" s="7">
        <v>13.09</v>
      </c>
      <c r="N100" s="7">
        <v>11.722</v>
      </c>
      <c r="O100" s="7">
        <v>12.72</v>
      </c>
      <c r="P100" s="7">
        <v>13.239000000000001</v>
      </c>
      <c r="Q100" s="7">
        <v>13.002000000000001</v>
      </c>
      <c r="R100" s="7">
        <v>13.13</v>
      </c>
      <c r="S100" s="7">
        <v>13.897</v>
      </c>
      <c r="T100" s="7">
        <v>13.664</v>
      </c>
      <c r="U100" s="7">
        <v>15</v>
      </c>
      <c r="V100" s="7">
        <v>13.513999999999999</v>
      </c>
      <c r="W100" s="7">
        <v>15.75</v>
      </c>
      <c r="X100" s="7">
        <v>13.672000000000001</v>
      </c>
      <c r="Y100" s="7">
        <v>14.975</v>
      </c>
      <c r="Z100" s="7">
        <v>13.856999999999999</v>
      </c>
      <c r="AA100" s="7">
        <v>13.946999999999999</v>
      </c>
      <c r="AB100" s="7">
        <v>14.541</v>
      </c>
      <c r="AC100" s="7">
        <v>15.134</v>
      </c>
      <c r="AD100" s="7">
        <v>13.067</v>
      </c>
      <c r="AE100" s="7">
        <v>13.888999999999999</v>
      </c>
      <c r="AF100" s="7">
        <v>13.412000000000001</v>
      </c>
      <c r="AG100" s="7">
        <v>12.102</v>
      </c>
      <c r="AH100" s="7">
        <v>11.021000000000001</v>
      </c>
      <c r="AI100" s="7">
        <v>10.695</v>
      </c>
      <c r="AJ100" s="7">
        <v>13.035</v>
      </c>
      <c r="AK100" s="7">
        <v>13.894</v>
      </c>
      <c r="AL100" s="7">
        <v>12.635</v>
      </c>
      <c r="AM100" s="7">
        <v>12.842000000000001</v>
      </c>
      <c r="AN100" s="7">
        <v>12.099</v>
      </c>
      <c r="AO100" s="7">
        <v>12.558999999999999</v>
      </c>
      <c r="AP100" s="7">
        <v>11.698</v>
      </c>
      <c r="AQ100" s="7">
        <v>10.864000000000001</v>
      </c>
      <c r="AR100" s="7">
        <v>8.8550000000000004</v>
      </c>
      <c r="AS100" s="7">
        <v>11.032</v>
      </c>
      <c r="AT100" s="7">
        <v>1.571</v>
      </c>
    </row>
    <row r="101" spans="1:46" x14ac:dyDescent="0.25">
      <c r="A101" s="4" t="s">
        <v>198</v>
      </c>
      <c r="B101" s="4" t="s">
        <v>207</v>
      </c>
      <c r="C101" s="4" t="s">
        <v>246</v>
      </c>
      <c r="D101" s="4" t="s">
        <v>259</v>
      </c>
      <c r="E101" s="4" t="s">
        <v>248</v>
      </c>
      <c r="F101" s="4" t="s">
        <v>195</v>
      </c>
      <c r="G101" s="4" t="s">
        <v>93</v>
      </c>
      <c r="H101" s="4" t="s">
        <v>250</v>
      </c>
      <c r="I101" s="7">
        <v>56.908999999999999</v>
      </c>
      <c r="J101" s="7">
        <v>61.515000000000001</v>
      </c>
      <c r="K101" s="7">
        <v>61.997</v>
      </c>
      <c r="L101" s="7">
        <v>60.753</v>
      </c>
      <c r="M101" s="7">
        <v>61.636000000000003</v>
      </c>
      <c r="N101" s="7">
        <v>61.024999999999999</v>
      </c>
      <c r="O101" s="7">
        <v>61.598999999999997</v>
      </c>
      <c r="P101" s="7">
        <v>62.845999999999997</v>
      </c>
      <c r="Q101" s="7">
        <v>63.787999999999997</v>
      </c>
      <c r="R101" s="7">
        <v>62.238</v>
      </c>
      <c r="S101" s="7">
        <v>60.884</v>
      </c>
      <c r="T101" s="7">
        <v>65.186999999999998</v>
      </c>
      <c r="U101" s="7">
        <v>65.126999999999995</v>
      </c>
      <c r="V101" s="7">
        <v>61.914999999999999</v>
      </c>
      <c r="W101" s="7">
        <v>63.250999999999998</v>
      </c>
      <c r="X101" s="7">
        <v>64.483000000000004</v>
      </c>
      <c r="Y101" s="7">
        <v>65.131</v>
      </c>
      <c r="Z101" s="7">
        <v>63.67</v>
      </c>
      <c r="AA101" s="7">
        <v>66.14</v>
      </c>
      <c r="AB101" s="7">
        <v>64.8</v>
      </c>
      <c r="AC101" s="7">
        <v>68.581000000000003</v>
      </c>
      <c r="AD101" s="7">
        <v>63.404000000000003</v>
      </c>
      <c r="AE101" s="7">
        <v>61.984000000000002</v>
      </c>
      <c r="AF101" s="7">
        <v>64.715999999999994</v>
      </c>
      <c r="AG101" s="7">
        <v>63.47</v>
      </c>
      <c r="AH101" s="7">
        <v>62.301000000000002</v>
      </c>
      <c r="AI101" s="7">
        <v>64.096000000000004</v>
      </c>
      <c r="AJ101" s="7">
        <v>63.851999999999997</v>
      </c>
      <c r="AK101" s="7">
        <v>66.201999999999998</v>
      </c>
      <c r="AL101" s="7">
        <v>67.747</v>
      </c>
      <c r="AM101" s="7">
        <v>69.808999999999997</v>
      </c>
      <c r="AN101" s="7">
        <v>66.927999999999997</v>
      </c>
      <c r="AO101" s="7">
        <v>64.698999999999998</v>
      </c>
      <c r="AP101" s="7">
        <v>57.109000000000002</v>
      </c>
      <c r="AQ101" s="7">
        <v>53.595999999999997</v>
      </c>
      <c r="AR101" s="7">
        <v>53.295000000000002</v>
      </c>
      <c r="AS101" s="7">
        <v>57.709000000000003</v>
      </c>
      <c r="AT101" s="5">
        <v>15240.630999999999</v>
      </c>
    </row>
    <row r="102" spans="1:46" x14ac:dyDescent="0.25">
      <c r="A102" s="4" t="s">
        <v>198</v>
      </c>
      <c r="B102" s="4" t="s">
        <v>207</v>
      </c>
      <c r="C102" s="4" t="s">
        <v>246</v>
      </c>
      <c r="D102" s="4" t="s">
        <v>259</v>
      </c>
      <c r="E102" s="4" t="s">
        <v>248</v>
      </c>
      <c r="F102" s="4" t="s">
        <v>195</v>
      </c>
      <c r="G102" s="4" t="s">
        <v>93</v>
      </c>
      <c r="H102" s="4" t="s">
        <v>251</v>
      </c>
      <c r="I102" s="7">
        <v>35.655509600000002</v>
      </c>
      <c r="J102" s="7">
        <v>37.654860900000003</v>
      </c>
      <c r="K102" s="7">
        <v>37.281405599999999</v>
      </c>
      <c r="L102" s="7">
        <v>35.975518999999998</v>
      </c>
      <c r="M102" s="7">
        <v>35.852127899999999</v>
      </c>
      <c r="N102" s="7">
        <v>34.040163200000002</v>
      </c>
      <c r="O102" s="7">
        <v>38.019568499999998</v>
      </c>
      <c r="P102" s="7">
        <v>36.930456900000003</v>
      </c>
      <c r="Q102" s="7">
        <v>35.969888900000001</v>
      </c>
      <c r="R102" s="7">
        <v>36.986326499999997</v>
      </c>
      <c r="S102" s="7">
        <v>35.184339199999997</v>
      </c>
      <c r="T102" s="7">
        <v>35.876307599999997</v>
      </c>
      <c r="U102" s="7">
        <v>36.2560012</v>
      </c>
      <c r="V102" s="7">
        <v>34.301951299999999</v>
      </c>
      <c r="W102" s="7">
        <v>37.583108500000002</v>
      </c>
      <c r="X102" s="7">
        <v>39.706035999999997</v>
      </c>
      <c r="Y102" s="7">
        <v>41.1726983</v>
      </c>
      <c r="Z102" s="7">
        <v>40.178545200000002</v>
      </c>
      <c r="AA102" s="7">
        <v>39.384453499999999</v>
      </c>
      <c r="AB102" s="7">
        <v>38.077462599999997</v>
      </c>
      <c r="AC102" s="7">
        <v>39.845890300000001</v>
      </c>
      <c r="AD102" s="7">
        <v>37.720405499999998</v>
      </c>
      <c r="AE102" s="7">
        <v>37.225565199999998</v>
      </c>
      <c r="AF102" s="7">
        <v>37.4533603</v>
      </c>
      <c r="AG102" s="7">
        <v>39.131032400000002</v>
      </c>
      <c r="AH102" s="7">
        <v>42.564838299999998</v>
      </c>
      <c r="AI102" s="7">
        <v>44.358545999999997</v>
      </c>
      <c r="AJ102" s="7">
        <v>43.484291200000001</v>
      </c>
      <c r="AK102" s="7">
        <v>42.896332999999998</v>
      </c>
      <c r="AL102" s="7">
        <v>42.778869399999998</v>
      </c>
      <c r="AM102" s="7">
        <v>43.334173800000002</v>
      </c>
      <c r="AN102" s="7">
        <v>41.664844799999997</v>
      </c>
      <c r="AO102" s="7">
        <v>40.9341364</v>
      </c>
      <c r="AP102" s="7">
        <v>40.771518899999997</v>
      </c>
      <c r="AQ102" s="7">
        <v>36.880310399999999</v>
      </c>
      <c r="AR102" s="7">
        <v>35.368074100000001</v>
      </c>
      <c r="AS102" s="7">
        <v>33.690390299999997</v>
      </c>
      <c r="AT102" s="7">
        <v>57.709000000000003</v>
      </c>
    </row>
    <row r="103" spans="1:46" x14ac:dyDescent="0.25">
      <c r="A103" s="4" t="s">
        <v>198</v>
      </c>
      <c r="B103" s="4" t="s">
        <v>207</v>
      </c>
      <c r="C103" s="4" t="s">
        <v>246</v>
      </c>
      <c r="D103" s="4" t="s">
        <v>259</v>
      </c>
      <c r="E103" s="4" t="s">
        <v>248</v>
      </c>
      <c r="F103" s="4" t="s">
        <v>195</v>
      </c>
      <c r="G103" s="4" t="s">
        <v>93</v>
      </c>
      <c r="H103" s="4" t="s">
        <v>252</v>
      </c>
      <c r="I103" s="16">
        <v>7.7279999999999998</v>
      </c>
      <c r="J103" s="16">
        <v>8.8699999999999992</v>
      </c>
      <c r="K103" s="16">
        <v>7.9850000000000003</v>
      </c>
      <c r="L103" s="16">
        <v>8.0890000000000004</v>
      </c>
      <c r="M103" s="16">
        <v>7.0380000000000003</v>
      </c>
      <c r="N103" s="16">
        <v>6.8259999999999996</v>
      </c>
      <c r="O103" s="16">
        <v>8.6300000000000008</v>
      </c>
      <c r="P103" s="16">
        <v>8.452</v>
      </c>
      <c r="Q103" s="16">
        <v>8.8350000000000009</v>
      </c>
      <c r="R103" s="16">
        <v>9.0579999999999998</v>
      </c>
      <c r="S103" s="16">
        <v>8.8249999999999993</v>
      </c>
      <c r="T103" s="16">
        <v>8.8109999999999999</v>
      </c>
      <c r="U103" s="16">
        <v>8.5739999999999998</v>
      </c>
      <c r="V103" s="16">
        <v>9.2490000000000006</v>
      </c>
      <c r="W103" s="16">
        <v>9.6150000000000002</v>
      </c>
      <c r="X103" s="16">
        <v>10.000999999999999</v>
      </c>
      <c r="Y103" s="16">
        <v>8.5060000000000002</v>
      </c>
      <c r="Z103" s="16">
        <v>8.1120000000000001</v>
      </c>
      <c r="AA103" s="16">
        <v>8.6880000000000006</v>
      </c>
      <c r="AB103" s="16">
        <v>8.2070000000000007</v>
      </c>
      <c r="AC103" s="16">
        <v>7.6379999999999999</v>
      </c>
      <c r="AD103" s="16">
        <v>7.4210000000000003</v>
      </c>
      <c r="AE103" s="16">
        <v>8.6039999999999992</v>
      </c>
      <c r="AF103" s="16">
        <v>8.2080000000000002</v>
      </c>
      <c r="AG103" s="16">
        <v>8.5559999999999992</v>
      </c>
      <c r="AH103" s="16">
        <v>10.196999999999999</v>
      </c>
      <c r="AI103" s="16">
        <v>10.336</v>
      </c>
      <c r="AJ103" s="16">
        <v>9.0609999999999999</v>
      </c>
      <c r="AK103" s="16">
        <v>8.3239999999999998</v>
      </c>
      <c r="AL103" s="16">
        <v>8.3079999999999998</v>
      </c>
      <c r="AM103" s="16">
        <v>7.3730000000000002</v>
      </c>
      <c r="AN103" s="16">
        <v>6.9489999999999998</v>
      </c>
      <c r="AO103" s="16">
        <v>6.7389999999999999</v>
      </c>
      <c r="AP103" s="16">
        <v>6.8680000000000003</v>
      </c>
      <c r="AQ103" s="16">
        <v>6.8929999999999998</v>
      </c>
      <c r="AR103" s="16">
        <v>7.1459999999999999</v>
      </c>
      <c r="AS103" s="16">
        <v>7.2930000000000001</v>
      </c>
      <c r="AT103" s="7">
        <v>33.690390299999997</v>
      </c>
    </row>
    <row r="104" spans="1:46" x14ac:dyDescent="0.25">
      <c r="A104" s="4" t="s">
        <v>198</v>
      </c>
      <c r="B104" s="4" t="s">
        <v>207</v>
      </c>
      <c r="C104" s="4" t="s">
        <v>246</v>
      </c>
      <c r="D104" s="4" t="s">
        <v>259</v>
      </c>
      <c r="E104" s="4" t="s">
        <v>248</v>
      </c>
      <c r="F104" s="4" t="s">
        <v>195</v>
      </c>
      <c r="G104" s="4" t="s">
        <v>260</v>
      </c>
      <c r="H104" s="4" t="s">
        <v>151</v>
      </c>
      <c r="I104" s="5">
        <v>0</v>
      </c>
      <c r="J104" s="5">
        <v>0</v>
      </c>
      <c r="K104" s="5">
        <v>65.641000000000005</v>
      </c>
      <c r="L104" s="5">
        <v>90.483999999999995</v>
      </c>
      <c r="M104" s="5">
        <v>392.96100000000001</v>
      </c>
      <c r="N104" s="5">
        <v>0</v>
      </c>
      <c r="O104" s="5">
        <v>231.12200000000001</v>
      </c>
      <c r="P104" s="5">
        <v>271.09300000000002</v>
      </c>
      <c r="Q104" s="5">
        <v>89.302000000000007</v>
      </c>
      <c r="R104" s="5">
        <v>0</v>
      </c>
      <c r="S104" s="5">
        <v>32.567</v>
      </c>
      <c r="T104" s="5">
        <v>0</v>
      </c>
      <c r="U104" s="5">
        <v>390.3</v>
      </c>
      <c r="V104" s="5">
        <v>0</v>
      </c>
      <c r="W104" s="5">
        <v>99.021000000000001</v>
      </c>
      <c r="X104" s="5">
        <v>191.47800000000001</v>
      </c>
      <c r="Y104" s="5">
        <v>111.099</v>
      </c>
      <c r="Z104" s="5">
        <v>94.959000000000003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45.412999999999997</v>
      </c>
      <c r="AI104" s="5">
        <v>0</v>
      </c>
      <c r="AJ104" s="5">
        <v>0</v>
      </c>
      <c r="AK104" s="5">
        <v>0</v>
      </c>
      <c r="AL104" s="5">
        <v>74.38</v>
      </c>
      <c r="AM104" s="5">
        <v>86.722999999999999</v>
      </c>
      <c r="AN104" s="5">
        <v>129.726</v>
      </c>
      <c r="AO104" s="5">
        <v>27.309000000000001</v>
      </c>
      <c r="AP104" s="5">
        <v>28.248000000000001</v>
      </c>
      <c r="AQ104" s="5">
        <v>310.04500000000002</v>
      </c>
      <c r="AR104" s="5">
        <v>333.44400000000002</v>
      </c>
      <c r="AS104" s="5">
        <v>127.501</v>
      </c>
      <c r="AT104" s="5">
        <v>1530.0150000000001</v>
      </c>
    </row>
    <row r="105" spans="1:46" x14ac:dyDescent="0.25">
      <c r="A105" s="4" t="s">
        <v>198</v>
      </c>
      <c r="B105" s="4" t="s">
        <v>207</v>
      </c>
      <c r="C105" s="4" t="s">
        <v>246</v>
      </c>
      <c r="D105" s="4" t="s">
        <v>259</v>
      </c>
      <c r="E105" s="4" t="s">
        <v>248</v>
      </c>
      <c r="F105" s="4" t="s">
        <v>195</v>
      </c>
      <c r="G105" s="4" t="s">
        <v>260</v>
      </c>
      <c r="H105" s="4" t="s">
        <v>205</v>
      </c>
      <c r="I105" s="6">
        <v>0</v>
      </c>
      <c r="J105" s="6">
        <v>0</v>
      </c>
      <c r="K105" s="6">
        <v>1312.8109999999999</v>
      </c>
      <c r="L105" s="6">
        <v>1809.6869999999999</v>
      </c>
      <c r="M105" s="6">
        <v>7859.2190000000001</v>
      </c>
      <c r="N105" s="6">
        <v>0</v>
      </c>
      <c r="O105" s="6">
        <v>5580.3829999999998</v>
      </c>
      <c r="P105" s="6">
        <v>6545.4610000000002</v>
      </c>
      <c r="Q105" s="6">
        <v>1786.0450000000001</v>
      </c>
      <c r="R105" s="6">
        <v>0</v>
      </c>
      <c r="S105" s="6">
        <v>1230.645</v>
      </c>
      <c r="T105" s="6">
        <v>0</v>
      </c>
      <c r="U105" s="6">
        <v>14620.939</v>
      </c>
      <c r="V105" s="6">
        <v>0</v>
      </c>
      <c r="W105" s="6">
        <v>3762.7939999999999</v>
      </c>
      <c r="X105" s="6">
        <v>7134.35</v>
      </c>
      <c r="Y105" s="6">
        <v>3955.7779999999998</v>
      </c>
      <c r="Z105" s="6">
        <v>3608.4430000000002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1271.5509999999999</v>
      </c>
      <c r="AI105" s="6">
        <v>0</v>
      </c>
      <c r="AJ105" s="6">
        <v>0</v>
      </c>
      <c r="AK105" s="6">
        <v>0</v>
      </c>
      <c r="AL105" s="6">
        <v>2082.6489999999999</v>
      </c>
      <c r="AM105" s="6">
        <v>2428.268</v>
      </c>
      <c r="AN105" s="6">
        <v>3632.335</v>
      </c>
      <c r="AO105" s="6">
        <v>764.64</v>
      </c>
      <c r="AP105" s="6">
        <v>790.94299999999998</v>
      </c>
      <c r="AQ105" s="6">
        <v>8681.2669999999998</v>
      </c>
      <c r="AR105" s="6">
        <v>9336.4269999999997</v>
      </c>
      <c r="AS105" s="6">
        <v>4368.7889999999998</v>
      </c>
      <c r="AT105" s="6">
        <v>4368.7889999999998</v>
      </c>
    </row>
    <row r="106" spans="1:46" x14ac:dyDescent="0.25">
      <c r="A106" s="4" t="s">
        <v>198</v>
      </c>
      <c r="B106" s="4" t="s">
        <v>207</v>
      </c>
      <c r="C106" s="4" t="s">
        <v>246</v>
      </c>
      <c r="D106" s="4" t="s">
        <v>259</v>
      </c>
      <c r="E106" s="4" t="s">
        <v>248</v>
      </c>
      <c r="F106" s="4" t="s">
        <v>195</v>
      </c>
      <c r="G106" s="4" t="s">
        <v>260</v>
      </c>
      <c r="H106" s="4" t="s">
        <v>249</v>
      </c>
      <c r="I106" s="7">
        <v>0</v>
      </c>
      <c r="J106" s="7">
        <v>0</v>
      </c>
      <c r="K106" s="7">
        <v>2E-3</v>
      </c>
      <c r="L106" s="7">
        <v>2E-3</v>
      </c>
      <c r="M106" s="7">
        <v>8.9999999999999993E-3</v>
      </c>
      <c r="N106" s="7">
        <v>0</v>
      </c>
      <c r="O106" s="7">
        <v>5.0000000000000001E-3</v>
      </c>
      <c r="P106" s="7">
        <v>8.0000000000000002E-3</v>
      </c>
      <c r="Q106" s="7">
        <v>3.0000000000000001E-3</v>
      </c>
      <c r="R106" s="7">
        <v>0</v>
      </c>
      <c r="S106" s="7">
        <v>2E-3</v>
      </c>
      <c r="T106" s="7">
        <v>0</v>
      </c>
      <c r="U106" s="7">
        <v>2.5999999999999999E-2</v>
      </c>
      <c r="V106" s="7">
        <v>0</v>
      </c>
      <c r="W106" s="7">
        <v>4.0000000000000001E-3</v>
      </c>
      <c r="X106" s="7">
        <v>6.0000000000000001E-3</v>
      </c>
      <c r="Y106" s="7">
        <v>3.0000000000000001E-3</v>
      </c>
      <c r="Z106" s="7">
        <v>2E-3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2E-3</v>
      </c>
      <c r="AI106" s="7">
        <v>0</v>
      </c>
      <c r="AJ106" s="7">
        <v>0</v>
      </c>
      <c r="AK106" s="7">
        <v>0</v>
      </c>
      <c r="AL106" s="7">
        <v>2E-3</v>
      </c>
      <c r="AM106" s="7">
        <v>2E-3</v>
      </c>
      <c r="AN106" s="7">
        <v>3.0000000000000001E-3</v>
      </c>
      <c r="AO106" s="7">
        <v>1E-3</v>
      </c>
      <c r="AP106" s="7">
        <v>1E-3</v>
      </c>
      <c r="AQ106" s="7">
        <v>0.01</v>
      </c>
      <c r="AR106" s="7">
        <v>1.4999999999999999E-2</v>
      </c>
      <c r="AS106" s="7">
        <v>8.9999999999999993E-3</v>
      </c>
      <c r="AT106" s="7">
        <v>0.45100000000000001</v>
      </c>
    </row>
    <row r="107" spans="1:46" x14ac:dyDescent="0.25">
      <c r="A107" s="4" t="s">
        <v>198</v>
      </c>
      <c r="B107" s="4" t="s">
        <v>207</v>
      </c>
      <c r="C107" s="4" t="s">
        <v>246</v>
      </c>
      <c r="D107" s="4" t="s">
        <v>259</v>
      </c>
      <c r="E107" s="4" t="s">
        <v>248</v>
      </c>
      <c r="F107" s="4" t="s">
        <v>195</v>
      </c>
      <c r="G107" s="4" t="s">
        <v>260</v>
      </c>
      <c r="H107" s="4" t="s">
        <v>250</v>
      </c>
      <c r="I107" s="7">
        <v>1</v>
      </c>
      <c r="J107" s="7">
        <v>0.36199999999999999</v>
      </c>
      <c r="K107" s="7">
        <v>0.54800000000000004</v>
      </c>
      <c r="L107" s="7">
        <v>1.4390000000000001</v>
      </c>
      <c r="M107" s="7">
        <v>2.1150000000000002</v>
      </c>
      <c r="N107" s="7">
        <v>1.7470000000000001</v>
      </c>
      <c r="O107" s="7">
        <v>1.3460000000000001</v>
      </c>
      <c r="P107" s="7">
        <v>0.66600000000000004</v>
      </c>
      <c r="Q107" s="7">
        <v>0.98899999999999999</v>
      </c>
      <c r="R107" s="7">
        <v>0.629</v>
      </c>
      <c r="S107" s="7">
        <v>0.68899999999999995</v>
      </c>
      <c r="T107" s="7">
        <v>0.40400000000000003</v>
      </c>
      <c r="U107" s="7">
        <v>2.157</v>
      </c>
      <c r="V107" s="7">
        <v>0</v>
      </c>
      <c r="W107" s="7">
        <v>2.0430000000000001</v>
      </c>
      <c r="X107" s="7">
        <v>1.2170000000000001</v>
      </c>
      <c r="Y107" s="7">
        <v>1.0740000000000001</v>
      </c>
      <c r="Z107" s="7">
        <v>0.72699999999999998</v>
      </c>
      <c r="AA107" s="7">
        <v>0.307</v>
      </c>
      <c r="AB107" s="7">
        <v>0.56999999999999995</v>
      </c>
      <c r="AC107" s="7">
        <v>6.8000000000000005E-2</v>
      </c>
      <c r="AD107" s="7">
        <v>0</v>
      </c>
      <c r="AE107" s="7">
        <v>0</v>
      </c>
      <c r="AF107" s="7">
        <v>0.23100000000000001</v>
      </c>
      <c r="AG107" s="7">
        <v>0.25800000000000001</v>
      </c>
      <c r="AH107" s="7">
        <v>1.355</v>
      </c>
      <c r="AI107" s="7">
        <v>0.86699999999999999</v>
      </c>
      <c r="AJ107" s="7">
        <v>1.046</v>
      </c>
      <c r="AK107" s="7">
        <v>0.93799999999999994</v>
      </c>
      <c r="AL107" s="7">
        <v>0.36499999999999999</v>
      </c>
      <c r="AM107" s="7">
        <v>0.38900000000000001</v>
      </c>
      <c r="AN107" s="7">
        <v>0.71599999999999997</v>
      </c>
      <c r="AO107" s="7">
        <v>1.0149999999999999</v>
      </c>
      <c r="AP107" s="7">
        <v>1.1519999999999999</v>
      </c>
      <c r="AQ107" s="7">
        <v>1.4690000000000001</v>
      </c>
      <c r="AR107" s="7">
        <v>2.8140000000000001</v>
      </c>
      <c r="AS107" s="7">
        <v>2.609</v>
      </c>
      <c r="AT107" s="5">
        <v>4000.8870000000002</v>
      </c>
    </row>
    <row r="108" spans="1:46" x14ac:dyDescent="0.25">
      <c r="A108" s="4" t="s">
        <v>198</v>
      </c>
      <c r="B108" s="4" t="s">
        <v>207</v>
      </c>
      <c r="C108" s="4" t="s">
        <v>246</v>
      </c>
      <c r="D108" s="4" t="s">
        <v>259</v>
      </c>
      <c r="E108" s="4" t="s">
        <v>248</v>
      </c>
      <c r="F108" s="4" t="s">
        <v>195</v>
      </c>
      <c r="G108" s="4" t="s">
        <v>260</v>
      </c>
      <c r="H108" s="4" t="s">
        <v>251</v>
      </c>
      <c r="I108" s="7">
        <v>0.5979892</v>
      </c>
      <c r="J108" s="7">
        <v>0.54362690000000002</v>
      </c>
      <c r="K108" s="7">
        <v>0.54362690000000002</v>
      </c>
      <c r="L108" s="7">
        <v>0.86233610000000005</v>
      </c>
      <c r="M108" s="7">
        <v>0.90878910000000002</v>
      </c>
      <c r="N108" s="7">
        <v>0.8899281</v>
      </c>
      <c r="O108" s="7">
        <v>0.87327670000000002</v>
      </c>
      <c r="P108" s="7">
        <v>0.88992740000000004</v>
      </c>
      <c r="Q108" s="7">
        <v>0.93001140000000004</v>
      </c>
      <c r="R108" s="7">
        <v>0.93001239999999996</v>
      </c>
      <c r="S108" s="7">
        <v>0.90902099999999997</v>
      </c>
      <c r="T108" s="7">
        <v>0.90901940000000003</v>
      </c>
      <c r="U108" s="7">
        <v>0.90901940000000003</v>
      </c>
      <c r="V108" s="7">
        <v>0.3149248</v>
      </c>
      <c r="W108" s="7">
        <v>0.73729579999999995</v>
      </c>
      <c r="X108" s="7">
        <v>0.67026830000000004</v>
      </c>
      <c r="Y108" s="7">
        <v>0.61620989999999998</v>
      </c>
      <c r="Z108" s="7">
        <v>0.28855710000000001</v>
      </c>
      <c r="AA108" s="7">
        <v>0.3276519</v>
      </c>
      <c r="AB108" s="7">
        <v>0.32765240000000001</v>
      </c>
      <c r="AC108" s="7">
        <v>0.3058015</v>
      </c>
      <c r="AD108" s="7">
        <v>0.30580109999999999</v>
      </c>
      <c r="AE108" s="7">
        <v>0.30580180000000001</v>
      </c>
      <c r="AF108" s="7">
        <v>0.32023849999999998</v>
      </c>
      <c r="AG108" s="7">
        <v>0.32023829999999998</v>
      </c>
      <c r="AH108" s="7">
        <v>0.4721323</v>
      </c>
      <c r="AI108" s="7">
        <v>0.44551859999999999</v>
      </c>
      <c r="AJ108" s="7">
        <v>0.14529069999999999</v>
      </c>
      <c r="AK108" s="7">
        <v>0.1392341</v>
      </c>
      <c r="AL108" s="7">
        <v>0.1653105</v>
      </c>
      <c r="AM108" s="7">
        <v>0.1584219</v>
      </c>
      <c r="AN108" s="7">
        <v>0.15842149999999999</v>
      </c>
      <c r="AO108" s="7">
        <v>0.1653105</v>
      </c>
      <c r="AP108" s="7">
        <v>0.1653107</v>
      </c>
      <c r="AQ108" s="7">
        <v>0.1584217</v>
      </c>
      <c r="AR108" s="7">
        <v>0.16372790000000001</v>
      </c>
      <c r="AS108" s="7">
        <v>0.58391780000000004</v>
      </c>
      <c r="AT108" s="7">
        <v>2.609</v>
      </c>
    </row>
    <row r="109" spans="1:46" x14ac:dyDescent="0.25">
      <c r="A109" s="4" t="s">
        <v>198</v>
      </c>
      <c r="B109" s="4" t="s">
        <v>207</v>
      </c>
      <c r="C109" s="4" t="s">
        <v>246</v>
      </c>
      <c r="D109" s="4" t="s">
        <v>259</v>
      </c>
      <c r="E109" s="4" t="s">
        <v>248</v>
      </c>
      <c r="F109" s="4" t="s">
        <v>195</v>
      </c>
      <c r="G109" s="4" t="s">
        <v>260</v>
      </c>
      <c r="H109" s="4" t="s">
        <v>252</v>
      </c>
      <c r="I109" s="16">
        <v>0.16800000000000001</v>
      </c>
      <c r="J109" s="16">
        <v>0.158</v>
      </c>
      <c r="K109" s="16">
        <v>0.106</v>
      </c>
      <c r="L109" s="16">
        <v>0.22</v>
      </c>
      <c r="M109" s="16">
        <v>0.37</v>
      </c>
      <c r="N109" s="16">
        <v>0.35</v>
      </c>
      <c r="O109" s="16">
        <v>0.23599999999999999</v>
      </c>
      <c r="P109" s="16">
        <v>0.34499999999999997</v>
      </c>
      <c r="Q109" s="16">
        <v>0.38</v>
      </c>
      <c r="R109" s="16">
        <v>0.39</v>
      </c>
      <c r="S109" s="16">
        <v>0.32500000000000001</v>
      </c>
      <c r="T109" s="16">
        <v>0.32800000000000001</v>
      </c>
      <c r="U109" s="16">
        <v>7.8E-2</v>
      </c>
      <c r="V109" s="16">
        <v>7.3999999999999996E-2</v>
      </c>
      <c r="W109" s="16">
        <v>0.23599999999999999</v>
      </c>
      <c r="X109" s="16">
        <v>0.12</v>
      </c>
      <c r="Y109" s="16">
        <v>5.1999999999999998E-2</v>
      </c>
      <c r="Z109" s="17">
        <v>0</v>
      </c>
      <c r="AA109" s="16">
        <v>9.0999999999999998E-2</v>
      </c>
      <c r="AB109" s="16">
        <v>9.9000000000000005E-2</v>
      </c>
      <c r="AC109" s="16">
        <v>9.7000000000000003E-2</v>
      </c>
      <c r="AD109" s="16">
        <v>9.5000000000000001E-2</v>
      </c>
      <c r="AE109" s="16">
        <v>9.6000000000000002E-2</v>
      </c>
      <c r="AF109" s="16">
        <v>0.1</v>
      </c>
      <c r="AG109" s="16">
        <v>9.7000000000000003E-2</v>
      </c>
      <c r="AH109" s="16">
        <v>0.26700000000000002</v>
      </c>
      <c r="AI109" s="16">
        <v>0.23599999999999999</v>
      </c>
      <c r="AJ109" s="16">
        <v>0.155</v>
      </c>
      <c r="AK109" s="16">
        <v>0.153</v>
      </c>
      <c r="AL109" s="16">
        <v>0.13200000000000001</v>
      </c>
      <c r="AM109" s="16">
        <v>0.127</v>
      </c>
      <c r="AN109" s="16">
        <v>8.2000000000000003E-2</v>
      </c>
      <c r="AO109" s="16">
        <v>7.3999999999999996E-2</v>
      </c>
      <c r="AP109" s="16">
        <v>7.3999999999999996E-2</v>
      </c>
      <c r="AQ109" s="16">
        <v>0.112</v>
      </c>
      <c r="AR109" s="16">
        <v>0.111</v>
      </c>
      <c r="AS109" s="16">
        <v>0.17499999999999999</v>
      </c>
      <c r="AT109" s="7">
        <v>0.58391780000000004</v>
      </c>
    </row>
    <row r="110" spans="1:46" x14ac:dyDescent="0.25">
      <c r="A110" s="4" t="s">
        <v>198</v>
      </c>
      <c r="B110" s="4" t="s">
        <v>207</v>
      </c>
      <c r="C110" s="4" t="s">
        <v>246</v>
      </c>
      <c r="D110" s="4" t="s">
        <v>259</v>
      </c>
      <c r="E110" s="4" t="s">
        <v>261</v>
      </c>
      <c r="F110" s="4" t="s">
        <v>201</v>
      </c>
      <c r="G110" s="4" t="s">
        <v>93</v>
      </c>
      <c r="H110" s="4" t="s">
        <v>151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5">
        <v>49.292000000000002</v>
      </c>
      <c r="AI110" s="5">
        <v>80.730999999999995</v>
      </c>
      <c r="AJ110" s="8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</row>
    <row r="111" spans="1:46" x14ac:dyDescent="0.25">
      <c r="A111" s="4" t="s">
        <v>198</v>
      </c>
      <c r="B111" s="4" t="s">
        <v>207</v>
      </c>
      <c r="C111" s="4" t="s">
        <v>246</v>
      </c>
      <c r="D111" s="4" t="s">
        <v>259</v>
      </c>
      <c r="E111" s="4" t="s">
        <v>261</v>
      </c>
      <c r="F111" s="4" t="s">
        <v>201</v>
      </c>
      <c r="G111" s="4" t="s">
        <v>93</v>
      </c>
      <c r="H111" s="4" t="s">
        <v>205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6">
        <v>9316.1419999999998</v>
      </c>
      <c r="AI111" s="6">
        <v>15258.120999999999</v>
      </c>
      <c r="AJ111" s="10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</row>
    <row r="112" spans="1:46" x14ac:dyDescent="0.25">
      <c r="A112" s="4" t="s">
        <v>198</v>
      </c>
      <c r="B112" s="4" t="s">
        <v>207</v>
      </c>
      <c r="C112" s="4" t="s">
        <v>246</v>
      </c>
      <c r="D112" s="4" t="s">
        <v>259</v>
      </c>
      <c r="E112" s="4" t="s">
        <v>261</v>
      </c>
      <c r="F112" s="4" t="s">
        <v>201</v>
      </c>
      <c r="G112" s="4" t="s">
        <v>93</v>
      </c>
      <c r="H112" s="4" t="s">
        <v>249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7">
        <v>7.2999999999999995E-2</v>
      </c>
      <c r="AI112" s="7">
        <v>9.6000000000000002E-2</v>
      </c>
      <c r="AJ112" s="11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</row>
    <row r="113" spans="1:46" x14ac:dyDescent="0.25">
      <c r="A113" s="4" t="s">
        <v>198</v>
      </c>
      <c r="B113" s="4" t="s">
        <v>207</v>
      </c>
      <c r="C113" s="4" t="s">
        <v>246</v>
      </c>
      <c r="D113" s="4" t="s">
        <v>259</v>
      </c>
      <c r="E113" s="4" t="s">
        <v>261</v>
      </c>
      <c r="F113" s="4" t="s">
        <v>201</v>
      </c>
      <c r="G113" s="4" t="s">
        <v>93</v>
      </c>
      <c r="H113" s="4" t="s">
        <v>250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7">
        <v>6.0999999999999999E-2</v>
      </c>
      <c r="AI113" s="7">
        <v>0.48599999999999999</v>
      </c>
      <c r="AJ113" s="11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</row>
    <row r="114" spans="1:46" x14ac:dyDescent="0.25">
      <c r="A114" s="4" t="s">
        <v>198</v>
      </c>
      <c r="B114" s="4" t="s">
        <v>207</v>
      </c>
      <c r="C114" s="4" t="s">
        <v>246</v>
      </c>
      <c r="D114" s="4" t="s">
        <v>259</v>
      </c>
      <c r="E114" s="4" t="s">
        <v>261</v>
      </c>
      <c r="F114" s="4" t="s">
        <v>201</v>
      </c>
      <c r="G114" s="4" t="s">
        <v>93</v>
      </c>
      <c r="H114" s="4" t="s">
        <v>251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7">
        <v>0.35405199999999998</v>
      </c>
      <c r="AI114" s="7">
        <v>0.35405189999999997</v>
      </c>
      <c r="AJ114" s="7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</row>
    <row r="115" spans="1:46" x14ac:dyDescent="0.25">
      <c r="A115" s="4" t="s">
        <v>198</v>
      </c>
      <c r="B115" s="4" t="s">
        <v>207</v>
      </c>
      <c r="C115" s="4" t="s">
        <v>246</v>
      </c>
      <c r="D115" s="4" t="s">
        <v>259</v>
      </c>
      <c r="E115" s="4" t="s">
        <v>261</v>
      </c>
      <c r="F115" s="4" t="s">
        <v>201</v>
      </c>
      <c r="G115" s="4" t="s">
        <v>93</v>
      </c>
      <c r="H115" s="4" t="s">
        <v>252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16">
        <v>5.2999999999999999E-2</v>
      </c>
      <c r="AI115" s="17">
        <v>0</v>
      </c>
      <c r="AJ115" s="17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</row>
    <row r="116" spans="1:46" x14ac:dyDescent="0.25">
      <c r="A116" s="4" t="s">
        <v>198</v>
      </c>
      <c r="B116" s="4" t="s">
        <v>207</v>
      </c>
      <c r="C116" s="4" t="s">
        <v>246</v>
      </c>
      <c r="D116" s="4" t="s">
        <v>259</v>
      </c>
      <c r="E116" s="4" t="s">
        <v>261</v>
      </c>
      <c r="F116" s="4" t="s">
        <v>195</v>
      </c>
      <c r="G116" s="4" t="s">
        <v>93</v>
      </c>
      <c r="H116" s="4" t="s">
        <v>151</v>
      </c>
      <c r="I116" s="5">
        <v>605.98599999999999</v>
      </c>
      <c r="J116" s="5">
        <v>782.03499999999997</v>
      </c>
      <c r="K116" s="5">
        <v>656.47900000000004</v>
      </c>
      <c r="L116" s="5">
        <v>343.21800000000002</v>
      </c>
      <c r="M116" s="5">
        <v>982.67600000000004</v>
      </c>
      <c r="N116" s="5">
        <v>585.58299999999997</v>
      </c>
      <c r="O116" s="5">
        <v>716.21500000000003</v>
      </c>
      <c r="P116" s="5">
        <v>426.798</v>
      </c>
      <c r="Q116" s="5">
        <v>297.79300000000001</v>
      </c>
      <c r="R116" s="5">
        <v>373.63400000000001</v>
      </c>
      <c r="S116" s="5">
        <v>145.92699999999999</v>
      </c>
      <c r="T116" s="5">
        <v>97.141999999999996</v>
      </c>
      <c r="U116" s="5">
        <v>274.089</v>
      </c>
      <c r="V116" s="5">
        <v>191.26300000000001</v>
      </c>
      <c r="W116" s="5">
        <v>232.75700000000001</v>
      </c>
      <c r="X116" s="5">
        <v>752.19299999999998</v>
      </c>
      <c r="Y116" s="5">
        <v>1032.231</v>
      </c>
      <c r="Z116" s="5">
        <v>625.44799999999998</v>
      </c>
      <c r="AA116" s="5">
        <v>826.14200000000005</v>
      </c>
      <c r="AB116" s="5">
        <v>541.59199999999998</v>
      </c>
      <c r="AC116" s="5">
        <v>262.101</v>
      </c>
      <c r="AD116" s="5">
        <v>91.387</v>
      </c>
      <c r="AE116" s="5">
        <v>173.56800000000001</v>
      </c>
      <c r="AF116" s="5">
        <v>129.57900000000001</v>
      </c>
      <c r="AG116" s="5">
        <v>0</v>
      </c>
      <c r="AH116" s="5">
        <v>59.052</v>
      </c>
      <c r="AI116" s="5">
        <v>193.32400000000001</v>
      </c>
      <c r="AJ116" s="5">
        <v>230.93600000000001</v>
      </c>
      <c r="AK116" s="5">
        <v>459.56099999999998</v>
      </c>
      <c r="AL116" s="5">
        <v>426.81</v>
      </c>
      <c r="AM116" s="5">
        <v>468.87900000000002</v>
      </c>
      <c r="AN116" s="5">
        <v>714.07500000000005</v>
      </c>
      <c r="AO116" s="5">
        <v>707.26499999999999</v>
      </c>
      <c r="AP116" s="5">
        <v>464.15199999999999</v>
      </c>
      <c r="AQ116" s="5">
        <v>538.10900000000004</v>
      </c>
      <c r="AR116" s="5">
        <v>438.01600000000002</v>
      </c>
      <c r="AS116" s="5">
        <v>269.77699999999999</v>
      </c>
      <c r="AT116" s="5">
        <v>269.77699999999999</v>
      </c>
    </row>
    <row r="117" spans="1:46" x14ac:dyDescent="0.25">
      <c r="A117" s="4" t="s">
        <v>198</v>
      </c>
      <c r="B117" s="4" t="s">
        <v>207</v>
      </c>
      <c r="C117" s="4" t="s">
        <v>246</v>
      </c>
      <c r="D117" s="4" t="s">
        <v>259</v>
      </c>
      <c r="E117" s="4" t="s">
        <v>261</v>
      </c>
      <c r="F117" s="4" t="s">
        <v>195</v>
      </c>
      <c r="G117" s="4" t="s">
        <v>93</v>
      </c>
      <c r="H117" s="4" t="s">
        <v>205</v>
      </c>
      <c r="I117" s="6">
        <v>130474.83</v>
      </c>
      <c r="J117" s="6">
        <v>162925.55100000001</v>
      </c>
      <c r="K117" s="6">
        <v>142062.451</v>
      </c>
      <c r="L117" s="6">
        <v>76565.471999999994</v>
      </c>
      <c r="M117" s="6">
        <v>233235.25099999999</v>
      </c>
      <c r="N117" s="6">
        <v>125386.697</v>
      </c>
      <c r="O117" s="6">
        <v>150695.73699999999</v>
      </c>
      <c r="P117" s="6">
        <v>95880.823999999993</v>
      </c>
      <c r="Q117" s="6">
        <v>67509.475000000006</v>
      </c>
      <c r="R117" s="6">
        <v>80792.888999999996</v>
      </c>
      <c r="S117" s="6">
        <v>31635.643</v>
      </c>
      <c r="T117" s="6">
        <v>22881.016</v>
      </c>
      <c r="U117" s="6">
        <v>63174.642</v>
      </c>
      <c r="V117" s="6">
        <v>37783.057999999997</v>
      </c>
      <c r="W117" s="6">
        <v>56619.612999999998</v>
      </c>
      <c r="X117" s="6">
        <v>174967.891</v>
      </c>
      <c r="Y117" s="6">
        <v>263794.62199999997</v>
      </c>
      <c r="Z117" s="6">
        <v>149404.22399999999</v>
      </c>
      <c r="AA117" s="6">
        <v>213472.67199999999</v>
      </c>
      <c r="AB117" s="6">
        <v>139076.17300000001</v>
      </c>
      <c r="AC117" s="6">
        <v>75675.203999999998</v>
      </c>
      <c r="AD117" s="6">
        <v>21755.627</v>
      </c>
      <c r="AE117" s="6">
        <v>46792.2</v>
      </c>
      <c r="AF117" s="6">
        <v>39257.656000000003</v>
      </c>
      <c r="AG117" s="6">
        <v>0</v>
      </c>
      <c r="AH117" s="6">
        <v>14730.374</v>
      </c>
      <c r="AI117" s="6">
        <v>52718.832999999999</v>
      </c>
      <c r="AJ117" s="6">
        <v>62789.097000000002</v>
      </c>
      <c r="AK117" s="6">
        <v>139148.06400000001</v>
      </c>
      <c r="AL117" s="6">
        <v>136578.924</v>
      </c>
      <c r="AM117" s="6">
        <v>115441.232</v>
      </c>
      <c r="AN117" s="6">
        <v>162607.02799999999</v>
      </c>
      <c r="AO117" s="6">
        <v>174976.45499999999</v>
      </c>
      <c r="AP117" s="6">
        <v>121424.853</v>
      </c>
      <c r="AQ117" s="6">
        <v>142029.024</v>
      </c>
      <c r="AR117" s="6">
        <v>122374.90300000001</v>
      </c>
      <c r="AS117" s="6">
        <v>76642.380999999994</v>
      </c>
      <c r="AT117" s="6">
        <v>76642.380999999994</v>
      </c>
    </row>
    <row r="118" spans="1:46" x14ac:dyDescent="0.25">
      <c r="A118" s="4" t="s">
        <v>198</v>
      </c>
      <c r="B118" s="4" t="s">
        <v>207</v>
      </c>
      <c r="C118" s="4" t="s">
        <v>246</v>
      </c>
      <c r="D118" s="4" t="s">
        <v>259</v>
      </c>
      <c r="E118" s="4" t="s">
        <v>261</v>
      </c>
      <c r="F118" s="4" t="s">
        <v>195</v>
      </c>
      <c r="G118" s="4" t="s">
        <v>93</v>
      </c>
      <c r="H118" s="4" t="s">
        <v>249</v>
      </c>
      <c r="I118" s="7">
        <v>0.998</v>
      </c>
      <c r="J118" s="7">
        <v>1.07</v>
      </c>
      <c r="K118" s="7">
        <v>0.72299999999999998</v>
      </c>
      <c r="L118" s="7">
        <v>0.27600000000000002</v>
      </c>
      <c r="M118" s="7">
        <v>0.72599999999999998</v>
      </c>
      <c r="N118" s="7">
        <v>0.39700000000000002</v>
      </c>
      <c r="O118" s="7">
        <v>0.52200000000000002</v>
      </c>
      <c r="P118" s="7">
        <v>0.38200000000000001</v>
      </c>
      <c r="Q118" s="7">
        <v>0.33100000000000002</v>
      </c>
      <c r="R118" s="7">
        <v>0.60499999999999998</v>
      </c>
      <c r="S118" s="7">
        <v>0.28299999999999997</v>
      </c>
      <c r="T118" s="7">
        <v>0.20799999999999999</v>
      </c>
      <c r="U118" s="7">
        <v>0.58499999999999996</v>
      </c>
      <c r="V118" s="7">
        <v>0.35499999999999998</v>
      </c>
      <c r="W118" s="7">
        <v>0.30099999999999999</v>
      </c>
      <c r="X118" s="7">
        <v>0.70599999999999996</v>
      </c>
      <c r="Y118" s="7">
        <v>0.77500000000000002</v>
      </c>
      <c r="Z118" s="7">
        <v>0.505</v>
      </c>
      <c r="AA118" s="7">
        <v>0.61599999999999999</v>
      </c>
      <c r="AB118" s="7">
        <v>0.499</v>
      </c>
      <c r="AC118" s="7">
        <v>0.26900000000000002</v>
      </c>
      <c r="AD118" s="7">
        <v>0.11799999999999999</v>
      </c>
      <c r="AE118" s="7">
        <v>0.255</v>
      </c>
      <c r="AF118" s="7">
        <v>0.193</v>
      </c>
      <c r="AG118" s="7">
        <v>0</v>
      </c>
      <c r="AH118" s="7">
        <v>7.5999999999999998E-2</v>
      </c>
      <c r="AI118" s="7">
        <v>0.19500000000000001</v>
      </c>
      <c r="AJ118" s="7">
        <v>0.193</v>
      </c>
      <c r="AK118" s="7">
        <v>0.32900000000000001</v>
      </c>
      <c r="AL118" s="7">
        <v>0.28999999999999998</v>
      </c>
      <c r="AM118" s="7">
        <v>0.28199999999999997</v>
      </c>
      <c r="AN118" s="7">
        <v>0.47299999999999998</v>
      </c>
      <c r="AO118" s="7">
        <v>0.53900000000000003</v>
      </c>
      <c r="AP118" s="7">
        <v>0.41199999999999998</v>
      </c>
      <c r="AQ118" s="7">
        <v>0.55500000000000005</v>
      </c>
      <c r="AR118" s="7">
        <v>0.626</v>
      </c>
      <c r="AS118" s="7">
        <v>0.55400000000000005</v>
      </c>
      <c r="AT118" s="7">
        <v>7.9000000000000001E-2</v>
      </c>
    </row>
    <row r="119" spans="1:46" x14ac:dyDescent="0.25">
      <c r="A119" s="4" t="s">
        <v>198</v>
      </c>
      <c r="B119" s="4" t="s">
        <v>207</v>
      </c>
      <c r="C119" s="4" t="s">
        <v>246</v>
      </c>
      <c r="D119" s="4" t="s">
        <v>259</v>
      </c>
      <c r="E119" s="4" t="s">
        <v>261</v>
      </c>
      <c r="F119" s="4" t="s">
        <v>195</v>
      </c>
      <c r="G119" s="4" t="s">
        <v>93</v>
      </c>
      <c r="H119" s="4" t="s">
        <v>250</v>
      </c>
      <c r="I119" s="7">
        <v>14.561</v>
      </c>
      <c r="J119" s="7">
        <v>14.077</v>
      </c>
      <c r="K119" s="7">
        <v>13.436999999999999</v>
      </c>
      <c r="L119" s="7">
        <v>9.3620000000000001</v>
      </c>
      <c r="M119" s="7">
        <v>11.515000000000001</v>
      </c>
      <c r="N119" s="7">
        <v>12.595000000000001</v>
      </c>
      <c r="O119" s="7">
        <v>14.698</v>
      </c>
      <c r="P119" s="7">
        <v>11.186</v>
      </c>
      <c r="Q119" s="7">
        <v>10.326000000000001</v>
      </c>
      <c r="R119" s="7">
        <v>9.1980000000000004</v>
      </c>
      <c r="S119" s="7">
        <v>8.5500000000000007</v>
      </c>
      <c r="T119" s="7">
        <v>8.8759999999999994</v>
      </c>
      <c r="U119" s="7">
        <v>10.727</v>
      </c>
      <c r="V119" s="7">
        <v>10.958</v>
      </c>
      <c r="W119" s="7">
        <v>11.22</v>
      </c>
      <c r="X119" s="7">
        <v>10.076000000000001</v>
      </c>
      <c r="Y119" s="7">
        <v>13.388999999999999</v>
      </c>
      <c r="Z119" s="7">
        <v>11.752000000000001</v>
      </c>
      <c r="AA119" s="7">
        <v>13.493</v>
      </c>
      <c r="AB119" s="7">
        <v>10.124000000000001</v>
      </c>
      <c r="AC119" s="7">
        <v>10.281000000000001</v>
      </c>
      <c r="AD119" s="7">
        <v>7.5469999999999997</v>
      </c>
      <c r="AE119" s="7">
        <v>8.1449999999999996</v>
      </c>
      <c r="AF119" s="7">
        <v>6.0069999999999997</v>
      </c>
      <c r="AG119" s="7">
        <v>4.843</v>
      </c>
      <c r="AH119" s="7">
        <v>7.4029999999999996</v>
      </c>
      <c r="AI119" s="7">
        <v>8.0779999999999994</v>
      </c>
      <c r="AJ119" s="7">
        <v>8.5879999999999992</v>
      </c>
      <c r="AK119" s="7">
        <v>7.9390000000000001</v>
      </c>
      <c r="AL119" s="7">
        <v>6.04</v>
      </c>
      <c r="AM119" s="7">
        <v>7.9379999999999997</v>
      </c>
      <c r="AN119" s="7">
        <v>9.7200000000000006</v>
      </c>
      <c r="AO119" s="7">
        <v>13.207000000000001</v>
      </c>
      <c r="AP119" s="7">
        <v>9.6280000000000001</v>
      </c>
      <c r="AQ119" s="7">
        <v>10.173999999999999</v>
      </c>
      <c r="AR119" s="7">
        <v>13.757999999999999</v>
      </c>
      <c r="AS119" s="7">
        <v>13.112</v>
      </c>
      <c r="AT119" s="5">
        <v>1041.9369999999999</v>
      </c>
    </row>
    <row r="120" spans="1:46" x14ac:dyDescent="0.25">
      <c r="A120" s="4" t="s">
        <v>198</v>
      </c>
      <c r="B120" s="4" t="s">
        <v>207</v>
      </c>
      <c r="C120" s="4" t="s">
        <v>246</v>
      </c>
      <c r="D120" s="4" t="s">
        <v>259</v>
      </c>
      <c r="E120" s="4" t="s">
        <v>261</v>
      </c>
      <c r="F120" s="4" t="s">
        <v>195</v>
      </c>
      <c r="G120" s="4" t="s">
        <v>93</v>
      </c>
      <c r="H120" s="4" t="s">
        <v>251</v>
      </c>
      <c r="I120" s="7">
        <v>9.9411191999999993</v>
      </c>
      <c r="J120" s="7">
        <v>9.0815104000000009</v>
      </c>
      <c r="K120" s="7">
        <v>7.7175776999999997</v>
      </c>
      <c r="L120" s="7">
        <v>6.4583906999999998</v>
      </c>
      <c r="M120" s="7">
        <v>7.8667910000000001</v>
      </c>
      <c r="N120" s="7">
        <v>7.7494038999999999</v>
      </c>
      <c r="O120" s="7">
        <v>7.3750076</v>
      </c>
      <c r="P120" s="7">
        <v>6.9831263000000003</v>
      </c>
      <c r="Q120" s="7">
        <v>6.4312828</v>
      </c>
      <c r="R120" s="7">
        <v>5.7804273999999998</v>
      </c>
      <c r="S120" s="7">
        <v>5.6750071999999996</v>
      </c>
      <c r="T120" s="7">
        <v>6.0334072000000001</v>
      </c>
      <c r="U120" s="7">
        <v>5.9606167000000001</v>
      </c>
      <c r="V120" s="7">
        <v>6.5472108999999996</v>
      </c>
      <c r="W120" s="7">
        <v>6.3837023999999998</v>
      </c>
      <c r="X120" s="7">
        <v>6.8261152999999997</v>
      </c>
      <c r="Y120" s="7">
        <v>8.0600021000000002</v>
      </c>
      <c r="Z120" s="7">
        <v>8.5938283000000002</v>
      </c>
      <c r="AA120" s="7">
        <v>8.0296649000000002</v>
      </c>
      <c r="AB120" s="7">
        <v>6.7742529999999999</v>
      </c>
      <c r="AC120" s="7">
        <v>6.9274630999999998</v>
      </c>
      <c r="AD120" s="7">
        <v>6.6218322000000001</v>
      </c>
      <c r="AE120" s="7">
        <v>6.9908134000000004</v>
      </c>
      <c r="AF120" s="7">
        <v>6.925306</v>
      </c>
      <c r="AG120" s="7">
        <v>6.8880176000000004</v>
      </c>
      <c r="AH120" s="7">
        <v>7.1681906</v>
      </c>
      <c r="AI120" s="7">
        <v>6.8136393000000002</v>
      </c>
      <c r="AJ120" s="7">
        <v>6.8136447000000002</v>
      </c>
      <c r="AK120" s="7">
        <v>7.5155859999999999</v>
      </c>
      <c r="AL120" s="7">
        <v>7.2391242</v>
      </c>
      <c r="AM120" s="7">
        <v>8.2771149000000008</v>
      </c>
      <c r="AN120" s="7">
        <v>8.7202778999999992</v>
      </c>
      <c r="AO120" s="7">
        <v>9.2339643999999996</v>
      </c>
      <c r="AP120" s="7">
        <v>8.1549067999999991</v>
      </c>
      <c r="AQ120" s="7">
        <v>8.6463815000000004</v>
      </c>
      <c r="AR120" s="7">
        <v>9.3055990000000008</v>
      </c>
      <c r="AS120" s="7">
        <v>7.1949015999999997</v>
      </c>
      <c r="AT120" s="7">
        <v>13.112</v>
      </c>
    </row>
    <row r="121" spans="1:46" x14ac:dyDescent="0.25">
      <c r="A121" s="4" t="s">
        <v>198</v>
      </c>
      <c r="B121" s="4" t="s">
        <v>207</v>
      </c>
      <c r="C121" s="4" t="s">
        <v>246</v>
      </c>
      <c r="D121" s="4" t="s">
        <v>259</v>
      </c>
      <c r="E121" s="4" t="s">
        <v>261</v>
      </c>
      <c r="F121" s="4" t="s">
        <v>195</v>
      </c>
      <c r="G121" s="4" t="s">
        <v>93</v>
      </c>
      <c r="H121" s="4" t="s">
        <v>252</v>
      </c>
      <c r="I121" s="16">
        <v>0.89200000000000002</v>
      </c>
      <c r="J121" s="16">
        <v>0.58799999999999997</v>
      </c>
      <c r="K121" s="16">
        <v>0.47399999999999998</v>
      </c>
      <c r="L121" s="16">
        <v>0.46400000000000002</v>
      </c>
      <c r="M121" s="16">
        <v>0.41199999999999998</v>
      </c>
      <c r="N121" s="16">
        <v>0.39400000000000002</v>
      </c>
      <c r="O121" s="16">
        <v>0.39800000000000002</v>
      </c>
      <c r="P121" s="16">
        <v>0.45700000000000002</v>
      </c>
      <c r="Q121" s="16">
        <v>0.43</v>
      </c>
      <c r="R121" s="16">
        <v>0.48599999999999999</v>
      </c>
      <c r="S121" s="16">
        <v>0.41799999999999998</v>
      </c>
      <c r="T121" s="16">
        <v>0.40400000000000003</v>
      </c>
      <c r="U121" s="16">
        <v>0.373</v>
      </c>
      <c r="V121" s="16">
        <v>0.311</v>
      </c>
      <c r="W121" s="16">
        <v>0.504</v>
      </c>
      <c r="X121" s="16">
        <v>0.376</v>
      </c>
      <c r="Y121" s="16">
        <v>0.49199999999999999</v>
      </c>
      <c r="Z121" s="16">
        <v>0.39</v>
      </c>
      <c r="AA121" s="16">
        <v>0.36199999999999999</v>
      </c>
      <c r="AB121" s="16">
        <v>0.42799999999999999</v>
      </c>
      <c r="AC121" s="16">
        <v>0.53900000000000003</v>
      </c>
      <c r="AD121" s="16">
        <v>0.6</v>
      </c>
      <c r="AE121" s="16">
        <v>0.56000000000000005</v>
      </c>
      <c r="AF121" s="16">
        <v>0.505</v>
      </c>
      <c r="AG121" s="16">
        <v>0.48699999999999999</v>
      </c>
      <c r="AH121" s="16">
        <v>0.433</v>
      </c>
      <c r="AI121" s="16">
        <v>0.45</v>
      </c>
      <c r="AJ121" s="16">
        <v>0.39300000000000002</v>
      </c>
      <c r="AK121" s="16">
        <v>0.46</v>
      </c>
      <c r="AL121" s="16">
        <v>0.48499999999999999</v>
      </c>
      <c r="AM121" s="16">
        <v>0.498</v>
      </c>
      <c r="AN121" s="16">
        <v>0.57699999999999996</v>
      </c>
      <c r="AO121" s="16">
        <v>0.55400000000000005</v>
      </c>
      <c r="AP121" s="16">
        <v>0.6</v>
      </c>
      <c r="AQ121" s="16">
        <v>0.61299999999999999</v>
      </c>
      <c r="AR121" s="16">
        <v>0.66700000000000004</v>
      </c>
      <c r="AS121" s="16">
        <v>0.54500000000000004</v>
      </c>
      <c r="AT121" s="7">
        <v>7.1949015999999997</v>
      </c>
    </row>
    <row r="122" spans="1:46" x14ac:dyDescent="0.25">
      <c r="A122" s="4" t="s">
        <v>198</v>
      </c>
      <c r="B122" s="4" t="s">
        <v>207</v>
      </c>
      <c r="C122" s="4" t="s">
        <v>246</v>
      </c>
      <c r="D122" s="4" t="s">
        <v>259</v>
      </c>
      <c r="E122" s="4" t="s">
        <v>261</v>
      </c>
      <c r="F122" s="4" t="s">
        <v>195</v>
      </c>
      <c r="G122" s="4" t="s">
        <v>262</v>
      </c>
      <c r="H122" s="4" t="s">
        <v>151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5">
        <v>89.534999999999997</v>
      </c>
      <c r="R122" s="5">
        <v>45.966000000000001</v>
      </c>
      <c r="S122" s="5">
        <v>0</v>
      </c>
      <c r="T122" s="5">
        <v>0</v>
      </c>
      <c r="U122" s="5">
        <v>0</v>
      </c>
      <c r="V122" s="5">
        <v>0</v>
      </c>
      <c r="W122" s="5">
        <v>40.383000000000003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62.091000000000001</v>
      </c>
      <c r="AD122" s="8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</row>
    <row r="123" spans="1:46" x14ac:dyDescent="0.25">
      <c r="A123" s="4" t="s">
        <v>198</v>
      </c>
      <c r="B123" s="4" t="s">
        <v>207</v>
      </c>
      <c r="C123" s="4" t="s">
        <v>246</v>
      </c>
      <c r="D123" s="4" t="s">
        <v>259</v>
      </c>
      <c r="E123" s="4" t="s">
        <v>261</v>
      </c>
      <c r="F123" s="4" t="s">
        <v>195</v>
      </c>
      <c r="G123" s="4" t="s">
        <v>262</v>
      </c>
      <c r="H123" s="4" t="s">
        <v>205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6">
        <v>17459.291000000001</v>
      </c>
      <c r="R123" s="6">
        <v>8963.43</v>
      </c>
      <c r="S123" s="6">
        <v>0</v>
      </c>
      <c r="T123" s="6">
        <v>0</v>
      </c>
      <c r="U123" s="6">
        <v>0</v>
      </c>
      <c r="V123" s="6">
        <v>0</v>
      </c>
      <c r="W123" s="6">
        <v>7874.6620000000003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7637.2449999999999</v>
      </c>
      <c r="AD123" s="10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</row>
    <row r="124" spans="1:46" x14ac:dyDescent="0.25">
      <c r="A124" s="4" t="s">
        <v>198</v>
      </c>
      <c r="B124" s="4" t="s">
        <v>207</v>
      </c>
      <c r="C124" s="4" t="s">
        <v>246</v>
      </c>
      <c r="D124" s="4" t="s">
        <v>259</v>
      </c>
      <c r="E124" s="4" t="s">
        <v>261</v>
      </c>
      <c r="F124" s="4" t="s">
        <v>195</v>
      </c>
      <c r="G124" s="4" t="s">
        <v>262</v>
      </c>
      <c r="H124" s="4" t="s">
        <v>249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7">
        <v>1E-3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11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</row>
    <row r="125" spans="1:46" x14ac:dyDescent="0.25">
      <c r="A125" s="4" t="s">
        <v>198</v>
      </c>
      <c r="B125" s="4" t="s">
        <v>207</v>
      </c>
      <c r="C125" s="4" t="s">
        <v>246</v>
      </c>
      <c r="D125" s="4" t="s">
        <v>259</v>
      </c>
      <c r="E125" s="4" t="s">
        <v>261</v>
      </c>
      <c r="F125" s="4" t="s">
        <v>195</v>
      </c>
      <c r="G125" s="4" t="s">
        <v>262</v>
      </c>
      <c r="H125" s="4" t="s">
        <v>250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7">
        <v>0.94899999999999995</v>
      </c>
      <c r="R125" s="7">
        <v>0.371</v>
      </c>
      <c r="S125" s="7">
        <v>0.46</v>
      </c>
      <c r="T125" s="7">
        <v>0.47399999999999998</v>
      </c>
      <c r="U125" s="7">
        <v>0.68100000000000005</v>
      </c>
      <c r="V125" s="7">
        <v>1.111</v>
      </c>
      <c r="W125" s="7">
        <v>1.4510000000000001</v>
      </c>
      <c r="X125" s="7">
        <v>0.76200000000000001</v>
      </c>
      <c r="Y125" s="7">
        <v>0.90100000000000002</v>
      </c>
      <c r="Z125" s="7">
        <v>0.53200000000000003</v>
      </c>
      <c r="AA125" s="7">
        <v>1.0680000000000001</v>
      </c>
      <c r="AB125" s="7">
        <v>0.65800000000000003</v>
      </c>
      <c r="AC125" s="7">
        <v>1.835</v>
      </c>
      <c r="AD125" s="11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</row>
    <row r="126" spans="1:46" x14ac:dyDescent="0.25">
      <c r="A126" s="4" t="s">
        <v>198</v>
      </c>
      <c r="B126" s="4" t="s">
        <v>207</v>
      </c>
      <c r="C126" s="4" t="s">
        <v>246</v>
      </c>
      <c r="D126" s="4" t="s">
        <v>259</v>
      </c>
      <c r="E126" s="4" t="s">
        <v>261</v>
      </c>
      <c r="F126" s="4" t="s">
        <v>195</v>
      </c>
      <c r="G126" s="4" t="s">
        <v>262</v>
      </c>
      <c r="H126" s="4" t="s">
        <v>251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7">
        <v>0.57223639999999998</v>
      </c>
      <c r="R126" s="7">
        <v>0.572237</v>
      </c>
      <c r="S126" s="7">
        <v>0.5722372</v>
      </c>
      <c r="T126" s="7">
        <v>0.57223619999999997</v>
      </c>
      <c r="U126" s="7">
        <v>0.59824650000000001</v>
      </c>
      <c r="V126" s="7">
        <v>0.57223599999999997</v>
      </c>
      <c r="W126" s="7">
        <v>1.3478257</v>
      </c>
      <c r="X126" s="7">
        <v>0.84614869999999998</v>
      </c>
      <c r="Y126" s="7">
        <v>0.84615050000000003</v>
      </c>
      <c r="Z126" s="7">
        <v>0.78571120000000005</v>
      </c>
      <c r="AA126" s="7">
        <v>0.78571179999999996</v>
      </c>
      <c r="AB126" s="7">
        <v>0.78571310000000005</v>
      </c>
      <c r="AC126" s="7">
        <v>0.78571259999999998</v>
      </c>
      <c r="AD126" s="7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</row>
    <row r="127" spans="1:46" x14ac:dyDescent="0.25">
      <c r="A127" s="4" t="s">
        <v>198</v>
      </c>
      <c r="B127" s="4" t="s">
        <v>207</v>
      </c>
      <c r="C127" s="4" t="s">
        <v>246</v>
      </c>
      <c r="D127" s="4" t="s">
        <v>259</v>
      </c>
      <c r="E127" s="4" t="s">
        <v>261</v>
      </c>
      <c r="F127" s="4" t="s">
        <v>195</v>
      </c>
      <c r="G127" s="4" t="s">
        <v>262</v>
      </c>
      <c r="H127" s="4" t="s">
        <v>252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16">
        <v>5.0999999999999997E-2</v>
      </c>
      <c r="R127" s="16">
        <v>2.3E-2</v>
      </c>
      <c r="S127" s="16">
        <v>2.3E-2</v>
      </c>
      <c r="T127" s="16">
        <v>2.3E-2</v>
      </c>
      <c r="U127" s="16">
        <v>2.4E-2</v>
      </c>
      <c r="V127" s="16">
        <v>2.3E-2</v>
      </c>
      <c r="W127" s="16">
        <v>3.4000000000000002E-2</v>
      </c>
      <c r="X127" s="16">
        <v>3.6999999999999998E-2</v>
      </c>
      <c r="Y127" s="16">
        <v>3.4000000000000002E-2</v>
      </c>
      <c r="Z127" s="16">
        <v>2.8000000000000001E-2</v>
      </c>
      <c r="AA127" s="16">
        <v>2.9000000000000001E-2</v>
      </c>
      <c r="AB127" s="16">
        <v>3.2000000000000001E-2</v>
      </c>
      <c r="AC127" s="17">
        <v>0</v>
      </c>
      <c r="AD127" s="17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</row>
    <row r="128" spans="1:46" x14ac:dyDescent="0.25">
      <c r="A128" s="4" t="s">
        <v>198</v>
      </c>
      <c r="B128" s="4" t="s">
        <v>207</v>
      </c>
      <c r="C128" s="4" t="s">
        <v>246</v>
      </c>
      <c r="D128" s="4" t="s">
        <v>263</v>
      </c>
      <c r="E128" s="4" t="s">
        <v>248</v>
      </c>
      <c r="F128" s="4" t="s">
        <v>201</v>
      </c>
      <c r="G128" s="4" t="s">
        <v>71</v>
      </c>
      <c r="H128" s="4" t="s">
        <v>151</v>
      </c>
      <c r="I128" s="5">
        <v>0</v>
      </c>
      <c r="J128" s="5">
        <v>0</v>
      </c>
      <c r="K128" s="5">
        <v>110.809</v>
      </c>
      <c r="L128" s="5">
        <v>309.25900000000001</v>
      </c>
      <c r="M128" s="5">
        <v>104.932</v>
      </c>
      <c r="N128" s="8">
        <v>0</v>
      </c>
      <c r="O128" s="8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</row>
    <row r="129" spans="1:46" x14ac:dyDescent="0.25">
      <c r="A129" s="4" t="s">
        <v>198</v>
      </c>
      <c r="B129" s="4" t="s">
        <v>207</v>
      </c>
      <c r="C129" s="4" t="s">
        <v>246</v>
      </c>
      <c r="D129" s="4" t="s">
        <v>263</v>
      </c>
      <c r="E129" s="4" t="s">
        <v>248</v>
      </c>
      <c r="F129" s="4" t="s">
        <v>201</v>
      </c>
      <c r="G129" s="4" t="s">
        <v>71</v>
      </c>
      <c r="H129" s="4" t="s">
        <v>205</v>
      </c>
      <c r="I129" s="6">
        <v>0</v>
      </c>
      <c r="J129" s="6">
        <v>0</v>
      </c>
      <c r="K129" s="6">
        <v>1329.713</v>
      </c>
      <c r="L129" s="6">
        <v>3711.1109999999999</v>
      </c>
      <c r="M129" s="6">
        <v>1259.1869999999999</v>
      </c>
      <c r="N129" s="10">
        <v>0</v>
      </c>
      <c r="O129" s="10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</row>
    <row r="130" spans="1:46" x14ac:dyDescent="0.25">
      <c r="A130" s="4" t="s">
        <v>198</v>
      </c>
      <c r="B130" s="4" t="s">
        <v>207</v>
      </c>
      <c r="C130" s="4" t="s">
        <v>246</v>
      </c>
      <c r="D130" s="4" t="s">
        <v>263</v>
      </c>
      <c r="E130" s="4" t="s">
        <v>248</v>
      </c>
      <c r="F130" s="4" t="s">
        <v>201</v>
      </c>
      <c r="G130" s="4" t="s">
        <v>71</v>
      </c>
      <c r="H130" s="4" t="s">
        <v>249</v>
      </c>
      <c r="I130" s="7">
        <v>0</v>
      </c>
      <c r="J130" s="7">
        <v>0</v>
      </c>
      <c r="K130" s="7">
        <v>1E-3</v>
      </c>
      <c r="L130" s="7">
        <v>1E-3</v>
      </c>
      <c r="M130" s="7">
        <v>0</v>
      </c>
      <c r="N130" s="11">
        <v>0</v>
      </c>
      <c r="O130" s="11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</row>
    <row r="131" spans="1:46" x14ac:dyDescent="0.25">
      <c r="A131" s="4" t="s">
        <v>198</v>
      </c>
      <c r="B131" s="4" t="s">
        <v>207</v>
      </c>
      <c r="C131" s="4" t="s">
        <v>246</v>
      </c>
      <c r="D131" s="4" t="s">
        <v>263</v>
      </c>
      <c r="E131" s="4" t="s">
        <v>248</v>
      </c>
      <c r="F131" s="4" t="s">
        <v>201</v>
      </c>
      <c r="G131" s="4" t="s">
        <v>71</v>
      </c>
      <c r="H131" s="4" t="s">
        <v>250</v>
      </c>
      <c r="I131" s="7">
        <v>0</v>
      </c>
      <c r="J131" s="7">
        <v>0</v>
      </c>
      <c r="K131" s="7">
        <v>8.0000000000000002E-3</v>
      </c>
      <c r="L131" s="7">
        <v>1.7000000000000001E-2</v>
      </c>
      <c r="M131" s="7">
        <v>0.17399999999999999</v>
      </c>
      <c r="N131" s="11">
        <v>0</v>
      </c>
      <c r="O131" s="11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</row>
    <row r="132" spans="1:46" x14ac:dyDescent="0.25">
      <c r="A132" s="4" t="s">
        <v>198</v>
      </c>
      <c r="B132" s="4" t="s">
        <v>207</v>
      </c>
      <c r="C132" s="4" t="s">
        <v>246</v>
      </c>
      <c r="D132" s="4" t="s">
        <v>263</v>
      </c>
      <c r="E132" s="4" t="s">
        <v>248</v>
      </c>
      <c r="F132" s="4" t="s">
        <v>201</v>
      </c>
      <c r="G132" s="4" t="s">
        <v>71</v>
      </c>
      <c r="H132" s="4" t="s">
        <v>251</v>
      </c>
      <c r="I132" s="7">
        <v>1.0137434999999999</v>
      </c>
      <c r="J132" s="7">
        <v>1.1263795000000001</v>
      </c>
      <c r="K132" s="7">
        <v>1.0670983999999999</v>
      </c>
      <c r="L132" s="7">
        <v>1.0425571</v>
      </c>
      <c r="M132" s="7">
        <v>1.1004828</v>
      </c>
      <c r="N132" s="7">
        <v>0</v>
      </c>
      <c r="O132" s="7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</row>
    <row r="133" spans="1:46" x14ac:dyDescent="0.25">
      <c r="A133" s="4" t="s">
        <v>198</v>
      </c>
      <c r="B133" s="4" t="s">
        <v>207</v>
      </c>
      <c r="C133" s="4" t="s">
        <v>246</v>
      </c>
      <c r="D133" s="4" t="s">
        <v>263</v>
      </c>
      <c r="E133" s="4" t="s">
        <v>248</v>
      </c>
      <c r="F133" s="4" t="s">
        <v>201</v>
      </c>
      <c r="G133" s="4" t="s">
        <v>71</v>
      </c>
      <c r="H133" s="4" t="s">
        <v>252</v>
      </c>
      <c r="I133" s="16">
        <v>0.28999999999999998</v>
      </c>
      <c r="J133" s="16">
        <v>0.34899999999999998</v>
      </c>
      <c r="K133" s="16">
        <v>0.20100000000000001</v>
      </c>
      <c r="L133" s="16">
        <v>4.5999999999999999E-2</v>
      </c>
      <c r="M133" s="17">
        <v>0</v>
      </c>
      <c r="N133" s="17">
        <v>0</v>
      </c>
      <c r="O133" s="17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</row>
    <row r="134" spans="1:46" x14ac:dyDescent="0.25">
      <c r="A134" s="4" t="s">
        <v>198</v>
      </c>
      <c r="B134" s="4" t="s">
        <v>207</v>
      </c>
      <c r="C134" s="4" t="s">
        <v>246</v>
      </c>
      <c r="D134" s="4" t="s">
        <v>263</v>
      </c>
      <c r="E134" s="4" t="s">
        <v>248</v>
      </c>
      <c r="F134" s="4" t="s">
        <v>201</v>
      </c>
      <c r="G134" s="4" t="s">
        <v>76</v>
      </c>
      <c r="H134" s="4" t="s">
        <v>151</v>
      </c>
      <c r="I134" s="5">
        <v>0</v>
      </c>
      <c r="J134" s="5">
        <v>0</v>
      </c>
      <c r="K134" s="5">
        <v>0</v>
      </c>
      <c r="L134" s="5">
        <v>86.17</v>
      </c>
      <c r="M134" s="5">
        <v>29.85</v>
      </c>
      <c r="N134" s="5">
        <v>8.3879999999999999</v>
      </c>
      <c r="O134" s="5">
        <v>0</v>
      </c>
      <c r="P134" s="5">
        <v>9.2970000000000006</v>
      </c>
      <c r="Q134" s="5">
        <v>19.106999999999999</v>
      </c>
      <c r="R134" s="5">
        <v>8.4529999999999994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48.683999999999997</v>
      </c>
      <c r="Y134" s="5">
        <v>52.283000000000001</v>
      </c>
      <c r="Z134" s="5">
        <v>0</v>
      </c>
      <c r="AA134" s="5">
        <v>93.843000000000004</v>
      </c>
      <c r="AB134" s="5">
        <v>73.009</v>
      </c>
      <c r="AC134" s="5">
        <v>26.513999999999999</v>
      </c>
      <c r="AD134" s="5">
        <v>29.06</v>
      </c>
      <c r="AE134" s="5">
        <v>30.649000000000001</v>
      </c>
      <c r="AF134" s="5">
        <v>113.571</v>
      </c>
      <c r="AG134" s="5">
        <v>431.95400000000001</v>
      </c>
      <c r="AH134" s="5">
        <v>542.30100000000004</v>
      </c>
      <c r="AI134" s="5">
        <v>660.45</v>
      </c>
      <c r="AJ134" s="5">
        <v>569.85299999999995</v>
      </c>
      <c r="AK134" s="5">
        <v>843.375</v>
      </c>
      <c r="AL134" s="5">
        <v>852.81200000000001</v>
      </c>
      <c r="AM134" s="5">
        <v>1031.4580000000001</v>
      </c>
      <c r="AN134" s="5">
        <v>1041.2850000000001</v>
      </c>
      <c r="AO134" s="5">
        <v>964.755</v>
      </c>
      <c r="AP134" s="5">
        <v>767.49800000000005</v>
      </c>
      <c r="AQ134" s="5">
        <v>904.71400000000006</v>
      </c>
      <c r="AR134" s="5">
        <v>393.28699999999998</v>
      </c>
      <c r="AS134" s="5">
        <v>78.289000000000001</v>
      </c>
      <c r="AT134" s="5">
        <v>78.289000000000001</v>
      </c>
    </row>
    <row r="135" spans="1:46" x14ac:dyDescent="0.25">
      <c r="A135" s="4" t="s">
        <v>198</v>
      </c>
      <c r="B135" s="4" t="s">
        <v>207</v>
      </c>
      <c r="C135" s="4" t="s">
        <v>246</v>
      </c>
      <c r="D135" s="4" t="s">
        <v>263</v>
      </c>
      <c r="E135" s="4" t="s">
        <v>248</v>
      </c>
      <c r="F135" s="4" t="s">
        <v>201</v>
      </c>
      <c r="G135" s="4" t="s">
        <v>76</v>
      </c>
      <c r="H135" s="4" t="s">
        <v>205</v>
      </c>
      <c r="I135" s="6">
        <v>0</v>
      </c>
      <c r="J135" s="6">
        <v>0</v>
      </c>
      <c r="K135" s="6">
        <v>0</v>
      </c>
      <c r="L135" s="6">
        <v>20235.947</v>
      </c>
      <c r="M135" s="6">
        <v>9253.5249999999996</v>
      </c>
      <c r="N135" s="6">
        <v>2138.9409999999998</v>
      </c>
      <c r="O135" s="6">
        <v>0</v>
      </c>
      <c r="P135" s="6">
        <v>2881.9580000000001</v>
      </c>
      <c r="Q135" s="6">
        <v>5923.2979999999998</v>
      </c>
      <c r="R135" s="6">
        <v>2620.4499999999998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12440.911</v>
      </c>
      <c r="Y135" s="6">
        <v>13468.254000000001</v>
      </c>
      <c r="Z135" s="6">
        <v>0</v>
      </c>
      <c r="AA135" s="6">
        <v>24129.695</v>
      </c>
      <c r="AB135" s="6">
        <v>18070.77</v>
      </c>
      <c r="AC135" s="6">
        <v>4746.0240000000003</v>
      </c>
      <c r="AD135" s="6">
        <v>5201.7370000000001</v>
      </c>
      <c r="AE135" s="6">
        <v>5486.174</v>
      </c>
      <c r="AF135" s="6">
        <v>40995.550999999999</v>
      </c>
      <c r="AG135" s="6">
        <v>122320.583</v>
      </c>
      <c r="AH135" s="6">
        <v>151130.079</v>
      </c>
      <c r="AI135" s="6">
        <v>190156.628</v>
      </c>
      <c r="AJ135" s="6">
        <v>136358.17499999999</v>
      </c>
      <c r="AK135" s="6">
        <v>252254.20800000001</v>
      </c>
      <c r="AL135" s="6">
        <v>264370.94400000002</v>
      </c>
      <c r="AM135" s="6">
        <v>310594.7</v>
      </c>
      <c r="AN135" s="6">
        <v>320283</v>
      </c>
      <c r="AO135" s="6">
        <v>291434.11200000002</v>
      </c>
      <c r="AP135" s="6">
        <v>216989.17600000001</v>
      </c>
      <c r="AQ135" s="6">
        <v>288074.52600000001</v>
      </c>
      <c r="AR135" s="6">
        <v>98093.899000000005</v>
      </c>
      <c r="AS135" s="6">
        <v>19141.612000000001</v>
      </c>
      <c r="AT135" s="6">
        <v>19141.612000000001</v>
      </c>
    </row>
    <row r="136" spans="1:46" x14ac:dyDescent="0.25">
      <c r="A136" s="4" t="s">
        <v>198</v>
      </c>
      <c r="B136" s="4" t="s">
        <v>207</v>
      </c>
      <c r="C136" s="4" t="s">
        <v>246</v>
      </c>
      <c r="D136" s="4" t="s">
        <v>263</v>
      </c>
      <c r="E136" s="4" t="s">
        <v>248</v>
      </c>
      <c r="F136" s="4" t="s">
        <v>201</v>
      </c>
      <c r="G136" s="4" t="s">
        <v>76</v>
      </c>
      <c r="H136" s="4" t="s">
        <v>249</v>
      </c>
      <c r="I136" s="7">
        <v>0</v>
      </c>
      <c r="J136" s="7">
        <v>0</v>
      </c>
      <c r="K136" s="7">
        <v>0</v>
      </c>
      <c r="L136" s="7">
        <v>8.0000000000000002E-3</v>
      </c>
      <c r="M136" s="7">
        <v>3.0000000000000001E-3</v>
      </c>
      <c r="N136" s="7">
        <v>1E-3</v>
      </c>
      <c r="O136" s="7">
        <v>0</v>
      </c>
      <c r="P136" s="7">
        <v>1E-3</v>
      </c>
      <c r="Q136" s="7">
        <v>3.0000000000000001E-3</v>
      </c>
      <c r="R136" s="7">
        <v>2E-3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5.0000000000000001E-3</v>
      </c>
      <c r="Y136" s="7">
        <v>5.0000000000000001E-3</v>
      </c>
      <c r="Z136" s="7">
        <v>0</v>
      </c>
      <c r="AA136" s="7">
        <v>8.0000000000000002E-3</v>
      </c>
      <c r="AB136" s="7">
        <v>8.0000000000000002E-3</v>
      </c>
      <c r="AC136" s="7">
        <v>3.0000000000000001E-3</v>
      </c>
      <c r="AD136" s="7">
        <v>4.0000000000000001E-3</v>
      </c>
      <c r="AE136" s="7">
        <v>5.0000000000000001E-3</v>
      </c>
      <c r="AF136" s="7">
        <v>0.02</v>
      </c>
      <c r="AG136" s="7">
        <v>7.3999999999999996E-2</v>
      </c>
      <c r="AH136" s="7">
        <v>8.3000000000000004E-2</v>
      </c>
      <c r="AI136" s="7">
        <v>8.1000000000000003E-2</v>
      </c>
      <c r="AJ136" s="7">
        <v>5.7000000000000002E-2</v>
      </c>
      <c r="AK136" s="7">
        <v>7.2999999999999995E-2</v>
      </c>
      <c r="AL136" s="7">
        <v>7.1999999999999995E-2</v>
      </c>
      <c r="AM136" s="7">
        <v>7.1999999999999995E-2</v>
      </c>
      <c r="AN136" s="7">
        <v>8.2000000000000003E-2</v>
      </c>
      <c r="AO136" s="7">
        <v>8.8999999999999996E-2</v>
      </c>
      <c r="AP136" s="7">
        <v>0.08</v>
      </c>
      <c r="AQ136" s="7">
        <v>0.111</v>
      </c>
      <c r="AR136" s="7">
        <v>6.8000000000000005E-2</v>
      </c>
      <c r="AS136" s="7">
        <v>0.02</v>
      </c>
      <c r="AT136" s="7">
        <v>2.3E-2</v>
      </c>
    </row>
    <row r="137" spans="1:46" x14ac:dyDescent="0.25">
      <c r="A137" s="4" t="s">
        <v>198</v>
      </c>
      <c r="B137" s="4" t="s">
        <v>207</v>
      </c>
      <c r="C137" s="4" t="s">
        <v>246</v>
      </c>
      <c r="D137" s="4" t="s">
        <v>263</v>
      </c>
      <c r="E137" s="4" t="s">
        <v>248</v>
      </c>
      <c r="F137" s="4" t="s">
        <v>201</v>
      </c>
      <c r="G137" s="4" t="s">
        <v>76</v>
      </c>
      <c r="H137" s="4" t="s">
        <v>250</v>
      </c>
      <c r="I137" s="7">
        <v>4.2000000000000003E-2</v>
      </c>
      <c r="J137" s="7">
        <v>0.48799999999999999</v>
      </c>
      <c r="K137" s="7">
        <v>0.74399999999999999</v>
      </c>
      <c r="L137" s="7">
        <v>0.54400000000000004</v>
      </c>
      <c r="M137" s="7">
        <v>0.36899999999999999</v>
      </c>
      <c r="N137" s="7">
        <v>0.45900000000000002</v>
      </c>
      <c r="O137" s="7">
        <v>0.27600000000000002</v>
      </c>
      <c r="P137" s="7">
        <v>0.23200000000000001</v>
      </c>
      <c r="Q137" s="7">
        <v>0.61599999999999999</v>
      </c>
      <c r="R137" s="7">
        <v>0.192</v>
      </c>
      <c r="S137" s="7">
        <v>0.19</v>
      </c>
      <c r="T137" s="7">
        <v>0.17599999999999999</v>
      </c>
      <c r="U137" s="7">
        <v>0.19400000000000001</v>
      </c>
      <c r="V137" s="7">
        <v>0.90800000000000003</v>
      </c>
      <c r="W137" s="7">
        <v>0.76700000000000002</v>
      </c>
      <c r="X137" s="7">
        <v>1.2290000000000001</v>
      </c>
      <c r="Y137" s="7">
        <v>0.93300000000000005</v>
      </c>
      <c r="Z137" s="7">
        <v>0.34</v>
      </c>
      <c r="AA137" s="7">
        <v>1.8879999999999999</v>
      </c>
      <c r="AB137" s="7">
        <v>2.46</v>
      </c>
      <c r="AC137" s="7">
        <v>1.9530000000000001</v>
      </c>
      <c r="AD137" s="7">
        <v>1.6080000000000001</v>
      </c>
      <c r="AE137" s="7">
        <v>1.9430000000000001</v>
      </c>
      <c r="AF137" s="7">
        <v>7.6779999999999999</v>
      </c>
      <c r="AG137" s="7">
        <v>10.948</v>
      </c>
      <c r="AH137" s="7">
        <v>8.0500000000000007</v>
      </c>
      <c r="AI137" s="7">
        <v>8.7200000000000006</v>
      </c>
      <c r="AJ137" s="7">
        <v>6.2690000000000001</v>
      </c>
      <c r="AK137" s="7">
        <v>5.444</v>
      </c>
      <c r="AL137" s="7">
        <v>6.4409999999999998</v>
      </c>
      <c r="AM137" s="7">
        <v>9.6170000000000009</v>
      </c>
      <c r="AN137" s="7">
        <v>7.673</v>
      </c>
      <c r="AO137" s="7">
        <v>7.3140000000000001</v>
      </c>
      <c r="AP137" s="7">
        <v>5.3579999999999997</v>
      </c>
      <c r="AQ137" s="7">
        <v>9.6069999999999993</v>
      </c>
      <c r="AR137" s="7">
        <v>5.7469999999999999</v>
      </c>
      <c r="AS137" s="7">
        <v>5.5789999999999997</v>
      </c>
      <c r="AT137" s="5">
        <v>283.86700000000002</v>
      </c>
    </row>
    <row r="138" spans="1:46" x14ac:dyDescent="0.25">
      <c r="A138" s="4" t="s">
        <v>198</v>
      </c>
      <c r="B138" s="4" t="s">
        <v>207</v>
      </c>
      <c r="C138" s="4" t="s">
        <v>246</v>
      </c>
      <c r="D138" s="4" t="s">
        <v>263</v>
      </c>
      <c r="E138" s="4" t="s">
        <v>248</v>
      </c>
      <c r="F138" s="4" t="s">
        <v>201</v>
      </c>
      <c r="G138" s="4" t="s">
        <v>76</v>
      </c>
      <c r="H138" s="4" t="s">
        <v>251</v>
      </c>
      <c r="I138" s="7">
        <v>0.49172529999999998</v>
      </c>
      <c r="J138" s="7">
        <v>0.61350349999999998</v>
      </c>
      <c r="K138" s="7">
        <v>0.61350340000000003</v>
      </c>
      <c r="L138" s="7">
        <v>0.59871759999999996</v>
      </c>
      <c r="M138" s="7">
        <v>0.13934099999999999</v>
      </c>
      <c r="N138" s="7">
        <v>0.13934099999999999</v>
      </c>
      <c r="O138" s="7">
        <v>0.1393411</v>
      </c>
      <c r="P138" s="7">
        <v>0.13934089999999999</v>
      </c>
      <c r="Q138" s="7">
        <v>0.1562028</v>
      </c>
      <c r="R138" s="7">
        <v>0.15620300000000001</v>
      </c>
      <c r="S138" s="7">
        <v>0.15620300000000001</v>
      </c>
      <c r="T138" s="7">
        <v>0.1562028</v>
      </c>
      <c r="U138" s="7">
        <v>0.1562028</v>
      </c>
      <c r="V138" s="7">
        <v>0.1562027</v>
      </c>
      <c r="W138" s="7">
        <v>0.15620249999999999</v>
      </c>
      <c r="X138" s="7">
        <v>0.58610910000000005</v>
      </c>
      <c r="Y138" s="7">
        <v>0.58611029999999997</v>
      </c>
      <c r="Z138" s="7">
        <v>0.15671640000000001</v>
      </c>
      <c r="AA138" s="7">
        <v>0.93397050000000004</v>
      </c>
      <c r="AB138" s="7">
        <v>0.93397209999999997</v>
      </c>
      <c r="AC138" s="7">
        <v>0.75486679999999995</v>
      </c>
      <c r="AD138" s="7">
        <v>0.75486580000000003</v>
      </c>
      <c r="AE138" s="7">
        <v>0.81213139999999995</v>
      </c>
      <c r="AF138" s="7">
        <v>1.7542106</v>
      </c>
      <c r="AG138" s="7">
        <v>2.2014393999999999</v>
      </c>
      <c r="AH138" s="7">
        <v>2.2014377000000001</v>
      </c>
      <c r="AI138" s="7">
        <v>2.1890154000000002</v>
      </c>
      <c r="AJ138" s="7">
        <v>1.9185053000000001</v>
      </c>
      <c r="AK138" s="7">
        <v>1.9836676</v>
      </c>
      <c r="AL138" s="7">
        <v>2.3203459999999998</v>
      </c>
      <c r="AM138" s="7">
        <v>2.8581150000000002</v>
      </c>
      <c r="AN138" s="7">
        <v>2.9325359999999998</v>
      </c>
      <c r="AO138" s="7">
        <v>2.5489958000000001</v>
      </c>
      <c r="AP138" s="7">
        <v>2.4745710000000001</v>
      </c>
      <c r="AQ138" s="7">
        <v>3.1484937</v>
      </c>
      <c r="AR138" s="7">
        <v>2.8937146999999999</v>
      </c>
      <c r="AS138" s="7">
        <v>2.4648248000000001</v>
      </c>
      <c r="AT138" s="7">
        <v>5.5789999999999997</v>
      </c>
    </row>
    <row r="139" spans="1:46" x14ac:dyDescent="0.25">
      <c r="A139" s="4" t="s">
        <v>198</v>
      </c>
      <c r="B139" s="4" t="s">
        <v>207</v>
      </c>
      <c r="C139" s="4" t="s">
        <v>246</v>
      </c>
      <c r="D139" s="4" t="s">
        <v>263</v>
      </c>
      <c r="E139" s="4" t="s">
        <v>248</v>
      </c>
      <c r="F139" s="4" t="s">
        <v>201</v>
      </c>
      <c r="G139" s="4" t="s">
        <v>76</v>
      </c>
      <c r="H139" s="4" t="s">
        <v>252</v>
      </c>
      <c r="I139" s="16">
        <v>3.2000000000000001E-2</v>
      </c>
      <c r="J139" s="16">
        <v>4.4999999999999998E-2</v>
      </c>
      <c r="K139" s="16">
        <v>4.4999999999999998E-2</v>
      </c>
      <c r="L139" s="16">
        <v>4.0000000000000001E-3</v>
      </c>
      <c r="M139" s="16">
        <v>4.0000000000000001E-3</v>
      </c>
      <c r="N139" s="16">
        <v>4.0000000000000001E-3</v>
      </c>
      <c r="O139" s="16">
        <v>4.0000000000000001E-3</v>
      </c>
      <c r="P139" s="17">
        <v>0</v>
      </c>
      <c r="Q139" s="16">
        <v>5.0000000000000001E-3</v>
      </c>
      <c r="R139" s="17">
        <v>0</v>
      </c>
      <c r="S139" s="16">
        <v>5.0000000000000001E-3</v>
      </c>
      <c r="T139" s="16">
        <v>5.0000000000000001E-3</v>
      </c>
      <c r="U139" s="16">
        <v>6.0000000000000001E-3</v>
      </c>
      <c r="V139" s="16">
        <v>5.0000000000000001E-3</v>
      </c>
      <c r="W139" s="16">
        <v>6.0000000000000001E-3</v>
      </c>
      <c r="X139" s="16">
        <v>1.7999999999999999E-2</v>
      </c>
      <c r="Y139" s="17">
        <v>0</v>
      </c>
      <c r="Z139" s="16">
        <v>6.0000000000000001E-3</v>
      </c>
      <c r="AA139" s="16">
        <v>5.3999999999999999E-2</v>
      </c>
      <c r="AB139" s="16">
        <v>2.5999999999999999E-2</v>
      </c>
      <c r="AC139" s="16">
        <v>2.7E-2</v>
      </c>
      <c r="AD139" s="16">
        <v>2.5999999999999999E-2</v>
      </c>
      <c r="AE139" s="16">
        <v>2.7E-2</v>
      </c>
      <c r="AF139" s="16">
        <v>8.5000000000000006E-2</v>
      </c>
      <c r="AG139" s="16">
        <v>0.16800000000000001</v>
      </c>
      <c r="AH139" s="16">
        <v>0.157</v>
      </c>
      <c r="AI139" s="16">
        <v>0.114</v>
      </c>
      <c r="AJ139" s="16">
        <v>0.14699999999999999</v>
      </c>
      <c r="AK139" s="16">
        <v>0.155</v>
      </c>
      <c r="AL139" s="16">
        <v>0.157</v>
      </c>
      <c r="AM139" s="16">
        <v>0.185</v>
      </c>
      <c r="AN139" s="16">
        <v>0.218</v>
      </c>
      <c r="AO139" s="16">
        <v>0.151</v>
      </c>
      <c r="AP139" s="16">
        <v>0.17100000000000001</v>
      </c>
      <c r="AQ139" s="16">
        <v>0.214</v>
      </c>
      <c r="AR139" s="16">
        <v>0.16400000000000001</v>
      </c>
      <c r="AS139" s="16">
        <v>0.14899999999999999</v>
      </c>
      <c r="AT139" s="7">
        <v>2.4648248000000001</v>
      </c>
    </row>
    <row r="140" spans="1:46" x14ac:dyDescent="0.25">
      <c r="A140" s="4" t="s">
        <v>198</v>
      </c>
      <c r="B140" s="4" t="s">
        <v>207</v>
      </c>
      <c r="C140" s="4" t="s">
        <v>246</v>
      </c>
      <c r="D140" s="4" t="s">
        <v>263</v>
      </c>
      <c r="E140" s="4" t="s">
        <v>248</v>
      </c>
      <c r="F140" s="4" t="s">
        <v>201</v>
      </c>
      <c r="G140" s="4" t="s">
        <v>85</v>
      </c>
      <c r="H140" s="4" t="s">
        <v>151</v>
      </c>
      <c r="I140" s="5">
        <v>579.78700000000003</v>
      </c>
      <c r="J140" s="5">
        <v>1235.377</v>
      </c>
      <c r="K140" s="5">
        <v>1151.8430000000001</v>
      </c>
      <c r="L140" s="5">
        <v>2798.0729999999999</v>
      </c>
      <c r="M140" s="5">
        <v>3114.7910000000002</v>
      </c>
      <c r="N140" s="5">
        <v>2889.54</v>
      </c>
      <c r="O140" s="5">
        <v>3200.0279999999998</v>
      </c>
      <c r="P140" s="5">
        <v>2511.23</v>
      </c>
      <c r="Q140" s="5">
        <v>1349.002</v>
      </c>
      <c r="R140" s="5">
        <v>853.29399999999998</v>
      </c>
      <c r="S140" s="5">
        <v>654.34299999999996</v>
      </c>
      <c r="T140" s="5">
        <v>660.90499999999997</v>
      </c>
      <c r="U140" s="5">
        <v>594.92600000000004</v>
      </c>
      <c r="V140" s="5">
        <v>908.97400000000005</v>
      </c>
      <c r="W140" s="5">
        <v>522.55600000000004</v>
      </c>
      <c r="X140" s="5">
        <v>841.38699999999994</v>
      </c>
      <c r="Y140" s="5">
        <v>1315.4960000000001</v>
      </c>
      <c r="Z140" s="5">
        <v>1627.1079999999999</v>
      </c>
      <c r="AA140" s="5">
        <v>1749.9159999999999</v>
      </c>
      <c r="AB140" s="5">
        <v>1669.671</v>
      </c>
      <c r="AC140" s="5">
        <v>1974.1220000000001</v>
      </c>
      <c r="AD140" s="5">
        <v>831.87699999999995</v>
      </c>
      <c r="AE140" s="5">
        <v>644.28300000000002</v>
      </c>
      <c r="AF140" s="5">
        <v>1073.7809999999999</v>
      </c>
      <c r="AG140" s="5">
        <v>835.92200000000003</v>
      </c>
      <c r="AH140" s="5">
        <v>1214.5920000000001</v>
      </c>
      <c r="AI140" s="5">
        <v>1499.6469999999999</v>
      </c>
      <c r="AJ140" s="5">
        <v>3012.4679999999998</v>
      </c>
      <c r="AK140" s="5">
        <v>4195.2960000000003</v>
      </c>
      <c r="AL140" s="5">
        <v>3926.3919999999998</v>
      </c>
      <c r="AM140" s="5">
        <v>5502.2470000000003</v>
      </c>
      <c r="AN140" s="5">
        <v>6714.8249999999998</v>
      </c>
      <c r="AO140" s="5">
        <v>5501.2489999999998</v>
      </c>
      <c r="AP140" s="5">
        <v>5406.0159999999996</v>
      </c>
      <c r="AQ140" s="5">
        <v>4081.5630000000001</v>
      </c>
      <c r="AR140" s="5">
        <v>2202.002</v>
      </c>
      <c r="AS140" s="5">
        <v>946.048</v>
      </c>
      <c r="AT140" s="5">
        <v>18300.095000000001</v>
      </c>
    </row>
    <row r="141" spans="1:46" x14ac:dyDescent="0.25">
      <c r="A141" s="4" t="s">
        <v>198</v>
      </c>
      <c r="B141" s="4" t="s">
        <v>207</v>
      </c>
      <c r="C141" s="4" t="s">
        <v>246</v>
      </c>
      <c r="D141" s="4" t="s">
        <v>263</v>
      </c>
      <c r="E141" s="4" t="s">
        <v>248</v>
      </c>
      <c r="F141" s="4" t="s">
        <v>201</v>
      </c>
      <c r="G141" s="4" t="s">
        <v>85</v>
      </c>
      <c r="H141" s="4" t="s">
        <v>205</v>
      </c>
      <c r="I141" s="6">
        <v>110657.656</v>
      </c>
      <c r="J141" s="6">
        <v>209342.33199999999</v>
      </c>
      <c r="K141" s="6">
        <v>191242.52299999999</v>
      </c>
      <c r="L141" s="6">
        <v>472670.09100000001</v>
      </c>
      <c r="M141" s="6">
        <v>482597.978</v>
      </c>
      <c r="N141" s="6">
        <v>445351.45199999999</v>
      </c>
      <c r="O141" s="6">
        <v>493768.15100000001</v>
      </c>
      <c r="P141" s="6">
        <v>398395.25699999998</v>
      </c>
      <c r="Q141" s="6">
        <v>221226.64300000001</v>
      </c>
      <c r="R141" s="6">
        <v>133819.12299999999</v>
      </c>
      <c r="S141" s="6">
        <v>90432.843999999997</v>
      </c>
      <c r="T141" s="6">
        <v>101538.774</v>
      </c>
      <c r="U141" s="6">
        <v>77168.459000000003</v>
      </c>
      <c r="V141" s="6">
        <v>116267.21400000001</v>
      </c>
      <c r="W141" s="6">
        <v>79682.744999999995</v>
      </c>
      <c r="X141" s="6">
        <v>133743.655</v>
      </c>
      <c r="Y141" s="6">
        <v>184513.019</v>
      </c>
      <c r="Z141" s="6">
        <v>250650.519</v>
      </c>
      <c r="AA141" s="6">
        <v>273675.57400000002</v>
      </c>
      <c r="AB141" s="6">
        <v>248062.75599999999</v>
      </c>
      <c r="AC141" s="6">
        <v>308097.98700000002</v>
      </c>
      <c r="AD141" s="6">
        <v>125581.232</v>
      </c>
      <c r="AE141" s="6">
        <v>88150.024999999994</v>
      </c>
      <c r="AF141" s="6">
        <v>162875.997</v>
      </c>
      <c r="AG141" s="6">
        <v>138924.85699999999</v>
      </c>
      <c r="AH141" s="6">
        <v>174918.378</v>
      </c>
      <c r="AI141" s="6">
        <v>236833.179</v>
      </c>
      <c r="AJ141" s="6">
        <v>436426.97600000002</v>
      </c>
      <c r="AK141" s="6">
        <v>634699.69700000004</v>
      </c>
      <c r="AL141" s="6">
        <v>595461.446</v>
      </c>
      <c r="AM141" s="6">
        <v>808272.62</v>
      </c>
      <c r="AN141" s="6">
        <v>977452.16799999995</v>
      </c>
      <c r="AO141" s="6">
        <v>828177.91399999999</v>
      </c>
      <c r="AP141" s="6">
        <v>838553.88500000001</v>
      </c>
      <c r="AQ141" s="6">
        <v>575253.02</v>
      </c>
      <c r="AR141" s="6">
        <v>289720.54499999998</v>
      </c>
      <c r="AS141" s="6">
        <v>142932.80100000001</v>
      </c>
      <c r="AT141" s="6">
        <v>142932.80100000001</v>
      </c>
    </row>
    <row r="142" spans="1:46" x14ac:dyDescent="0.25">
      <c r="A142" s="4" t="s">
        <v>198</v>
      </c>
      <c r="B142" s="4" t="s">
        <v>207</v>
      </c>
      <c r="C142" s="4" t="s">
        <v>246</v>
      </c>
      <c r="D142" s="4" t="s">
        <v>263</v>
      </c>
      <c r="E142" s="4" t="s">
        <v>248</v>
      </c>
      <c r="F142" s="4" t="s">
        <v>201</v>
      </c>
      <c r="G142" s="4" t="s">
        <v>85</v>
      </c>
      <c r="H142" s="4" t="s">
        <v>249</v>
      </c>
      <c r="I142" s="7">
        <v>6.4000000000000001E-2</v>
      </c>
      <c r="J142" s="7">
        <v>0.104</v>
      </c>
      <c r="K142" s="7">
        <v>7.4999999999999997E-2</v>
      </c>
      <c r="L142" s="7">
        <v>0.13500000000000001</v>
      </c>
      <c r="M142" s="7">
        <v>0.126</v>
      </c>
      <c r="N142" s="7">
        <v>0.11600000000000001</v>
      </c>
      <c r="O142" s="7">
        <v>0.128</v>
      </c>
      <c r="P142" s="7">
        <v>0.13100000000000001</v>
      </c>
      <c r="Q142" s="7">
        <v>9.1999999999999998E-2</v>
      </c>
      <c r="R142" s="7">
        <v>7.6999999999999999E-2</v>
      </c>
      <c r="S142" s="7">
        <v>6.4000000000000001E-2</v>
      </c>
      <c r="T142" s="7">
        <v>7.3999999999999996E-2</v>
      </c>
      <c r="U142" s="7">
        <v>6.5000000000000002E-2</v>
      </c>
      <c r="V142" s="7">
        <v>7.6999999999999999E-2</v>
      </c>
      <c r="W142" s="7">
        <v>3.4000000000000002E-2</v>
      </c>
      <c r="X142" s="7">
        <v>4.5999999999999999E-2</v>
      </c>
      <c r="Y142" s="7">
        <v>5.7000000000000002E-2</v>
      </c>
      <c r="Z142" s="7">
        <v>8.1000000000000003E-2</v>
      </c>
      <c r="AA142" s="7">
        <v>7.8E-2</v>
      </c>
      <c r="AB142" s="7">
        <v>8.8999999999999996E-2</v>
      </c>
      <c r="AC142" s="7">
        <v>0.114</v>
      </c>
      <c r="AD142" s="7">
        <v>5.5E-2</v>
      </c>
      <c r="AE142" s="7">
        <v>4.3999999999999997E-2</v>
      </c>
      <c r="AF142" s="7">
        <v>7.4999999999999997E-2</v>
      </c>
      <c r="AG142" s="7">
        <v>6.9000000000000006E-2</v>
      </c>
      <c r="AH142" s="7">
        <v>7.9000000000000001E-2</v>
      </c>
      <c r="AI142" s="7">
        <v>0.08</v>
      </c>
      <c r="AJ142" s="7">
        <v>0.13600000000000001</v>
      </c>
      <c r="AK142" s="7">
        <v>0.157</v>
      </c>
      <c r="AL142" s="7">
        <v>0.128</v>
      </c>
      <c r="AM142" s="7">
        <v>0.14299999999999999</v>
      </c>
      <c r="AN142" s="7">
        <v>0.20699999999999999</v>
      </c>
      <c r="AO142" s="7">
        <v>0.20100000000000001</v>
      </c>
      <c r="AP142" s="7">
        <v>0.24</v>
      </c>
      <c r="AQ142" s="7">
        <v>0.222</v>
      </c>
      <c r="AR142" s="7">
        <v>0.17499999999999999</v>
      </c>
      <c r="AS142" s="7">
        <v>0.10299999999999999</v>
      </c>
      <c r="AT142" s="7">
        <v>5.3920000000000003</v>
      </c>
    </row>
    <row r="143" spans="1:46" x14ac:dyDescent="0.25">
      <c r="A143" s="4" t="s">
        <v>198</v>
      </c>
      <c r="B143" s="4" t="s">
        <v>207</v>
      </c>
      <c r="C143" s="4" t="s">
        <v>246</v>
      </c>
      <c r="D143" s="4" t="s">
        <v>263</v>
      </c>
      <c r="E143" s="4" t="s">
        <v>248</v>
      </c>
      <c r="F143" s="4" t="s">
        <v>201</v>
      </c>
      <c r="G143" s="4" t="s">
        <v>85</v>
      </c>
      <c r="H143" s="4" t="s">
        <v>250</v>
      </c>
      <c r="I143" s="7">
        <v>22.071999999999999</v>
      </c>
      <c r="J143" s="7">
        <v>19.867999999999999</v>
      </c>
      <c r="K143" s="7">
        <v>22.748999999999999</v>
      </c>
      <c r="L143" s="7">
        <v>29.588999999999999</v>
      </c>
      <c r="M143" s="7">
        <v>27.15</v>
      </c>
      <c r="N143" s="7">
        <v>30.332000000000001</v>
      </c>
      <c r="O143" s="7">
        <v>31.303999999999998</v>
      </c>
      <c r="P143" s="7">
        <v>25.19</v>
      </c>
      <c r="Q143" s="7">
        <v>23.286000000000001</v>
      </c>
      <c r="R143" s="7">
        <v>22.959</v>
      </c>
      <c r="S143" s="7">
        <v>21.687000000000001</v>
      </c>
      <c r="T143" s="7">
        <v>19.853000000000002</v>
      </c>
      <c r="U143" s="7">
        <v>19.238</v>
      </c>
      <c r="V143" s="7">
        <v>19.257999999999999</v>
      </c>
      <c r="W143" s="7">
        <v>18.902999999999999</v>
      </c>
      <c r="X143" s="7">
        <v>18.713999999999999</v>
      </c>
      <c r="Y143" s="7">
        <v>18.422000000000001</v>
      </c>
      <c r="Z143" s="7">
        <v>18.809999999999999</v>
      </c>
      <c r="AA143" s="7">
        <v>21.163</v>
      </c>
      <c r="AB143" s="7">
        <v>22.661999999999999</v>
      </c>
      <c r="AC143" s="7">
        <v>28.398</v>
      </c>
      <c r="AD143" s="7">
        <v>21.555</v>
      </c>
      <c r="AE143" s="7">
        <v>19.648</v>
      </c>
      <c r="AF143" s="7">
        <v>17.846</v>
      </c>
      <c r="AG143" s="7">
        <v>21.044</v>
      </c>
      <c r="AH143" s="7">
        <v>28.611000000000001</v>
      </c>
      <c r="AI143" s="7">
        <v>26.72</v>
      </c>
      <c r="AJ143" s="7">
        <v>27.681999999999999</v>
      </c>
      <c r="AK143" s="7">
        <v>31.884</v>
      </c>
      <c r="AL143" s="7">
        <v>33.253</v>
      </c>
      <c r="AM143" s="7">
        <v>32.049999999999997</v>
      </c>
      <c r="AN143" s="7">
        <v>31.143000000000001</v>
      </c>
      <c r="AO143" s="7">
        <v>25.295999999999999</v>
      </c>
      <c r="AP143" s="7">
        <v>26.2</v>
      </c>
      <c r="AQ143" s="7">
        <v>24.669</v>
      </c>
      <c r="AR143" s="7">
        <v>24.428000000000001</v>
      </c>
      <c r="AS143" s="7">
        <v>20.446999999999999</v>
      </c>
      <c r="AT143" s="5">
        <v>80615.126000000004</v>
      </c>
    </row>
    <row r="144" spans="1:46" x14ac:dyDescent="0.25">
      <c r="A144" s="4" t="s">
        <v>198</v>
      </c>
      <c r="B144" s="4" t="s">
        <v>207</v>
      </c>
      <c r="C144" s="4" t="s">
        <v>246</v>
      </c>
      <c r="D144" s="4" t="s">
        <v>263</v>
      </c>
      <c r="E144" s="4" t="s">
        <v>248</v>
      </c>
      <c r="F144" s="4" t="s">
        <v>201</v>
      </c>
      <c r="G144" s="4" t="s">
        <v>85</v>
      </c>
      <c r="H144" s="4" t="s">
        <v>251</v>
      </c>
      <c r="I144" s="7">
        <v>14.4534628</v>
      </c>
      <c r="J144" s="7">
        <v>14.152294599999999</v>
      </c>
      <c r="K144" s="7">
        <v>13.8226277</v>
      </c>
      <c r="L144" s="7">
        <v>18.461627499999999</v>
      </c>
      <c r="M144" s="7">
        <v>17.901609000000001</v>
      </c>
      <c r="N144" s="7">
        <v>19.051891000000001</v>
      </c>
      <c r="O144" s="7">
        <v>18.627447</v>
      </c>
      <c r="P144" s="7">
        <v>17.5461554</v>
      </c>
      <c r="Q144" s="7">
        <v>15.251874000000001</v>
      </c>
      <c r="R144" s="7">
        <v>16.030930600000001</v>
      </c>
      <c r="S144" s="7">
        <v>13.685199300000001</v>
      </c>
      <c r="T144" s="7">
        <v>12.6217676</v>
      </c>
      <c r="U144" s="7">
        <v>11.6534113</v>
      </c>
      <c r="V144" s="7">
        <v>11.808480599999999</v>
      </c>
      <c r="W144" s="7">
        <v>11.952763600000001</v>
      </c>
      <c r="X144" s="7">
        <v>13.1764498</v>
      </c>
      <c r="Y144" s="7">
        <v>12.3535906</v>
      </c>
      <c r="Z144" s="7">
        <v>13.747319299999999</v>
      </c>
      <c r="AA144" s="7">
        <v>14.5199859</v>
      </c>
      <c r="AB144" s="7">
        <v>14.140417599999999</v>
      </c>
      <c r="AC144" s="7">
        <v>14.830619199999999</v>
      </c>
      <c r="AD144" s="7">
        <v>12.413485100000001</v>
      </c>
      <c r="AE144" s="7">
        <v>12.1309456</v>
      </c>
      <c r="AF144" s="7">
        <v>12.2777438</v>
      </c>
      <c r="AG144" s="7">
        <v>13.562380599999999</v>
      </c>
      <c r="AH144" s="7">
        <v>14.8554453</v>
      </c>
      <c r="AI144" s="7">
        <v>17.089210000000001</v>
      </c>
      <c r="AJ144" s="7">
        <v>17.155498999999999</v>
      </c>
      <c r="AK144" s="7">
        <v>19.658924299999999</v>
      </c>
      <c r="AL144" s="7">
        <v>20.125960599999999</v>
      </c>
      <c r="AM144" s="7">
        <v>19.8867212</v>
      </c>
      <c r="AN144" s="7">
        <v>19.327509800000001</v>
      </c>
      <c r="AO144" s="7">
        <v>17.5406914</v>
      </c>
      <c r="AP144" s="7">
        <v>18.176882500000001</v>
      </c>
      <c r="AQ144" s="7">
        <v>18.7323564</v>
      </c>
      <c r="AR144" s="7">
        <v>16.424969600000001</v>
      </c>
      <c r="AS144" s="7">
        <v>15.0203127</v>
      </c>
      <c r="AT144" s="7">
        <v>20.446999999999999</v>
      </c>
    </row>
    <row r="145" spans="1:46" x14ac:dyDescent="0.25">
      <c r="A145" s="4" t="s">
        <v>198</v>
      </c>
      <c r="B145" s="4" t="s">
        <v>207</v>
      </c>
      <c r="C145" s="4" t="s">
        <v>246</v>
      </c>
      <c r="D145" s="4" t="s">
        <v>263</v>
      </c>
      <c r="E145" s="4" t="s">
        <v>248</v>
      </c>
      <c r="F145" s="4" t="s">
        <v>201</v>
      </c>
      <c r="G145" s="4" t="s">
        <v>85</v>
      </c>
      <c r="H145" s="4" t="s">
        <v>252</v>
      </c>
      <c r="I145" s="16">
        <v>1.175</v>
      </c>
      <c r="J145" s="16">
        <v>1.304</v>
      </c>
      <c r="K145" s="16">
        <v>1.0609999999999999</v>
      </c>
      <c r="L145" s="16">
        <v>1.1739999999999999</v>
      </c>
      <c r="M145" s="16">
        <v>1.712</v>
      </c>
      <c r="N145" s="16">
        <v>1.1759999999999999</v>
      </c>
      <c r="O145" s="16">
        <v>1.556</v>
      </c>
      <c r="P145" s="16">
        <v>1.381</v>
      </c>
      <c r="Q145" s="16">
        <v>1.1930000000000001</v>
      </c>
      <c r="R145" s="16">
        <v>1</v>
      </c>
      <c r="S145" s="16">
        <v>0.93700000000000006</v>
      </c>
      <c r="T145" s="16">
        <v>1.0620000000000001</v>
      </c>
      <c r="U145" s="16">
        <v>0.86299999999999999</v>
      </c>
      <c r="V145" s="16">
        <v>1.3420000000000001</v>
      </c>
      <c r="W145" s="16">
        <v>0.89100000000000001</v>
      </c>
      <c r="X145" s="16">
        <v>0.84499999999999997</v>
      </c>
      <c r="Y145" s="16">
        <v>0.77900000000000003</v>
      </c>
      <c r="Z145" s="16">
        <v>0.95699999999999996</v>
      </c>
      <c r="AA145" s="16">
        <v>0.84199999999999997</v>
      </c>
      <c r="AB145" s="16">
        <v>1.222</v>
      </c>
      <c r="AC145" s="16">
        <v>1.5389999999999999</v>
      </c>
      <c r="AD145" s="16">
        <v>1.3759999999999999</v>
      </c>
      <c r="AE145" s="16">
        <v>1.0209999999999999</v>
      </c>
      <c r="AF145" s="16">
        <v>1.383</v>
      </c>
      <c r="AG145" s="16">
        <v>1.278</v>
      </c>
      <c r="AH145" s="16">
        <v>1.335</v>
      </c>
      <c r="AI145" s="16">
        <v>1.353</v>
      </c>
      <c r="AJ145" s="16">
        <v>1.4930000000000001</v>
      </c>
      <c r="AK145" s="16">
        <v>2.3210000000000002</v>
      </c>
      <c r="AL145" s="16">
        <v>2.738</v>
      </c>
      <c r="AM145" s="16">
        <v>2.4009999999999998</v>
      </c>
      <c r="AN145" s="16">
        <v>2.2770000000000001</v>
      </c>
      <c r="AO145" s="16">
        <v>2.3730000000000002</v>
      </c>
      <c r="AP145" s="16">
        <v>2.343</v>
      </c>
      <c r="AQ145" s="16">
        <v>2.2749999999999999</v>
      </c>
      <c r="AR145" s="16">
        <v>2.1989999999999998</v>
      </c>
      <c r="AS145" s="16">
        <v>1.9419999999999999</v>
      </c>
      <c r="AT145" s="7">
        <v>15.0203127</v>
      </c>
    </row>
    <row r="146" spans="1:46" x14ac:dyDescent="0.25">
      <c r="A146" s="4" t="s">
        <v>198</v>
      </c>
      <c r="B146" s="4" t="s">
        <v>207</v>
      </c>
      <c r="C146" s="4" t="s">
        <v>246</v>
      </c>
      <c r="D146" s="4" t="s">
        <v>263</v>
      </c>
      <c r="E146" s="4" t="s">
        <v>248</v>
      </c>
      <c r="F146" s="4" t="s">
        <v>195</v>
      </c>
      <c r="G146" s="4" t="s">
        <v>264</v>
      </c>
      <c r="H146" s="4" t="s">
        <v>151</v>
      </c>
      <c r="I146" s="5">
        <v>0</v>
      </c>
      <c r="J146" s="5">
        <v>32.54</v>
      </c>
      <c r="K146" s="5">
        <v>0</v>
      </c>
      <c r="L146" s="5">
        <v>89.727000000000004</v>
      </c>
      <c r="M146" s="5">
        <v>58.533999999999999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114.54900000000001</v>
      </c>
      <c r="AA146" s="5">
        <v>107.004</v>
      </c>
      <c r="AB146" s="5">
        <v>147.28200000000001</v>
      </c>
      <c r="AC146" s="5">
        <v>128.74700000000001</v>
      </c>
      <c r="AD146" s="5">
        <v>0</v>
      </c>
      <c r="AE146" s="5">
        <v>0</v>
      </c>
      <c r="AF146" s="5">
        <v>0</v>
      </c>
      <c r="AG146" s="5">
        <v>0</v>
      </c>
      <c r="AH146" s="5">
        <v>23.489000000000001</v>
      </c>
      <c r="AI146" s="5">
        <v>89.113</v>
      </c>
      <c r="AJ146" s="5">
        <v>199.751</v>
      </c>
      <c r="AK146" s="5">
        <v>165.88900000000001</v>
      </c>
      <c r="AL146" s="5">
        <v>0</v>
      </c>
      <c r="AM146" s="5">
        <v>0</v>
      </c>
      <c r="AN146" s="5">
        <v>151.95099999999999</v>
      </c>
      <c r="AO146" s="5">
        <v>0</v>
      </c>
      <c r="AP146" s="5">
        <v>317.13499999999999</v>
      </c>
      <c r="AQ146" s="5">
        <v>98.924000000000007</v>
      </c>
      <c r="AR146" s="5">
        <v>35.725000000000001</v>
      </c>
      <c r="AS146" s="5">
        <v>23.420999999999999</v>
      </c>
      <c r="AT146" s="5">
        <v>23.420999999999999</v>
      </c>
    </row>
    <row r="147" spans="1:46" x14ac:dyDescent="0.25">
      <c r="A147" s="4" t="s">
        <v>198</v>
      </c>
      <c r="B147" s="4" t="s">
        <v>207</v>
      </c>
      <c r="C147" s="4" t="s">
        <v>246</v>
      </c>
      <c r="D147" s="4" t="s">
        <v>263</v>
      </c>
      <c r="E147" s="4" t="s">
        <v>248</v>
      </c>
      <c r="F147" s="4" t="s">
        <v>195</v>
      </c>
      <c r="G147" s="4" t="s">
        <v>264</v>
      </c>
      <c r="H147" s="4" t="s">
        <v>205</v>
      </c>
      <c r="I147" s="6">
        <v>0</v>
      </c>
      <c r="J147" s="6">
        <v>9111.2510000000002</v>
      </c>
      <c r="K147" s="6">
        <v>0</v>
      </c>
      <c r="L147" s="6">
        <v>25636.847000000002</v>
      </c>
      <c r="M147" s="6">
        <v>29852.585999999999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58419.798999999999</v>
      </c>
      <c r="AA147" s="6">
        <v>54572.091999999997</v>
      </c>
      <c r="AB147" s="6">
        <v>75113.853000000003</v>
      </c>
      <c r="AC147" s="6">
        <v>69008.284</v>
      </c>
      <c r="AD147" s="6">
        <v>0</v>
      </c>
      <c r="AE147" s="6">
        <v>0</v>
      </c>
      <c r="AF147" s="6">
        <v>0</v>
      </c>
      <c r="AG147" s="6">
        <v>0</v>
      </c>
      <c r="AH147" s="6">
        <v>6717.73</v>
      </c>
      <c r="AI147" s="6">
        <v>53022.311000000002</v>
      </c>
      <c r="AJ147" s="6">
        <v>90884.644</v>
      </c>
      <c r="AK147" s="6">
        <v>78344.717000000004</v>
      </c>
      <c r="AL147" s="6">
        <v>0</v>
      </c>
      <c r="AM147" s="6">
        <v>0</v>
      </c>
      <c r="AN147" s="6">
        <v>42546.16</v>
      </c>
      <c r="AO147" s="6">
        <v>0</v>
      </c>
      <c r="AP147" s="6">
        <v>135892.533</v>
      </c>
      <c r="AQ147" s="6">
        <v>32319.934000000001</v>
      </c>
      <c r="AR147" s="6">
        <v>10217.474</v>
      </c>
      <c r="AS147" s="6">
        <v>6698.36</v>
      </c>
      <c r="AT147" s="6">
        <v>6698.36</v>
      </c>
    </row>
    <row r="148" spans="1:46" x14ac:dyDescent="0.25">
      <c r="A148" s="4" t="s">
        <v>198</v>
      </c>
      <c r="B148" s="4" t="s">
        <v>207</v>
      </c>
      <c r="C148" s="4" t="s">
        <v>246</v>
      </c>
      <c r="D148" s="4" t="s">
        <v>263</v>
      </c>
      <c r="E148" s="4" t="s">
        <v>248</v>
      </c>
      <c r="F148" s="4" t="s">
        <v>195</v>
      </c>
      <c r="G148" s="4" t="s">
        <v>264</v>
      </c>
      <c r="H148" s="4" t="s">
        <v>249</v>
      </c>
      <c r="I148" s="7">
        <v>0</v>
      </c>
      <c r="J148" s="7">
        <v>3.4000000000000002E-2</v>
      </c>
      <c r="K148" s="7">
        <v>0</v>
      </c>
      <c r="L148" s="7">
        <v>5.7000000000000002E-2</v>
      </c>
      <c r="M148" s="7">
        <v>3.3000000000000002E-2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7.0999999999999994E-2</v>
      </c>
      <c r="AA148" s="7">
        <v>6.2E-2</v>
      </c>
      <c r="AB148" s="7">
        <v>0.107</v>
      </c>
      <c r="AC148" s="7">
        <v>0.10299999999999999</v>
      </c>
      <c r="AD148" s="7">
        <v>0</v>
      </c>
      <c r="AE148" s="7">
        <v>0</v>
      </c>
      <c r="AF148" s="7">
        <v>0</v>
      </c>
      <c r="AG148" s="7">
        <v>0</v>
      </c>
      <c r="AH148" s="7">
        <v>2.3E-2</v>
      </c>
      <c r="AI148" s="7">
        <v>7.0000000000000007E-2</v>
      </c>
      <c r="AJ148" s="7">
        <v>0.129</v>
      </c>
      <c r="AK148" s="7">
        <v>9.2999999999999999E-2</v>
      </c>
      <c r="AL148" s="7">
        <v>0</v>
      </c>
      <c r="AM148" s="7">
        <v>0</v>
      </c>
      <c r="AN148" s="7">
        <v>7.8E-2</v>
      </c>
      <c r="AO148" s="7">
        <v>0</v>
      </c>
      <c r="AP148" s="7">
        <v>0.214</v>
      </c>
      <c r="AQ148" s="7">
        <v>7.8E-2</v>
      </c>
      <c r="AR148" s="7">
        <v>0.04</v>
      </c>
      <c r="AS148" s="7">
        <v>3.7999999999999999E-2</v>
      </c>
      <c r="AT148" s="7">
        <v>7.0000000000000001E-3</v>
      </c>
    </row>
    <row r="149" spans="1:46" x14ac:dyDescent="0.25">
      <c r="A149" s="4" t="s">
        <v>198</v>
      </c>
      <c r="B149" s="4" t="s">
        <v>207</v>
      </c>
      <c r="C149" s="4" t="s">
        <v>246</v>
      </c>
      <c r="D149" s="4" t="s">
        <v>263</v>
      </c>
      <c r="E149" s="4" t="s">
        <v>248</v>
      </c>
      <c r="F149" s="4" t="s">
        <v>195</v>
      </c>
      <c r="G149" s="4" t="s">
        <v>264</v>
      </c>
      <c r="H149" s="4" t="s">
        <v>250</v>
      </c>
      <c r="I149" s="7">
        <v>3.444</v>
      </c>
      <c r="J149" s="7">
        <v>4.7309999999999999</v>
      </c>
      <c r="K149" s="7">
        <v>4.6769999999999996</v>
      </c>
      <c r="L149" s="7">
        <v>5.4729999999999999</v>
      </c>
      <c r="M149" s="7">
        <v>2.52</v>
      </c>
      <c r="N149" s="7">
        <v>0.86399999999999999</v>
      </c>
      <c r="O149" s="7">
        <v>0.746</v>
      </c>
      <c r="P149" s="7">
        <v>0.56299999999999994</v>
      </c>
      <c r="Q149" s="7">
        <v>0.57499999999999996</v>
      </c>
      <c r="R149" s="7">
        <v>0.60899999999999999</v>
      </c>
      <c r="S149" s="7">
        <v>0.55400000000000005</v>
      </c>
      <c r="T149" s="7">
        <v>0.218</v>
      </c>
      <c r="U149" s="7">
        <v>0.94399999999999995</v>
      </c>
      <c r="V149" s="7">
        <v>0.73199999999999998</v>
      </c>
      <c r="W149" s="7">
        <v>1.7509999999999999</v>
      </c>
      <c r="X149" s="7">
        <v>1.5660000000000001</v>
      </c>
      <c r="Y149" s="7">
        <v>1.742</v>
      </c>
      <c r="Z149" s="7">
        <v>3.556</v>
      </c>
      <c r="AA149" s="7">
        <v>3.2919999999999998</v>
      </c>
      <c r="AB149" s="7">
        <v>3.4020000000000001</v>
      </c>
      <c r="AC149" s="7">
        <v>3.6139999999999999</v>
      </c>
      <c r="AD149" s="7">
        <v>1.3440000000000001</v>
      </c>
      <c r="AE149" s="7">
        <v>0.75</v>
      </c>
      <c r="AF149" s="7">
        <v>1.6779999999999999</v>
      </c>
      <c r="AG149" s="7">
        <v>0.38500000000000001</v>
      </c>
      <c r="AH149" s="7">
        <v>2.4430000000000001</v>
      </c>
      <c r="AI149" s="7">
        <v>2.4319999999999999</v>
      </c>
      <c r="AJ149" s="7">
        <v>2.6269999999999998</v>
      </c>
      <c r="AK149" s="7">
        <v>3.0550000000000002</v>
      </c>
      <c r="AL149" s="7">
        <v>2.629</v>
      </c>
      <c r="AM149" s="7">
        <v>2.4350000000000001</v>
      </c>
      <c r="AN149" s="7">
        <v>4.6360000000000001</v>
      </c>
      <c r="AO149" s="7">
        <v>3.2250000000000001</v>
      </c>
      <c r="AP149" s="7">
        <v>5.7130000000000001</v>
      </c>
      <c r="AQ149" s="7">
        <v>3.1869999999999998</v>
      </c>
      <c r="AR149" s="7">
        <v>3.1139999999999999</v>
      </c>
      <c r="AS149" s="7">
        <v>2.2930000000000001</v>
      </c>
      <c r="AT149" s="5">
        <v>92.79</v>
      </c>
    </row>
    <row r="150" spans="1:46" x14ac:dyDescent="0.25">
      <c r="A150" s="4" t="s">
        <v>198</v>
      </c>
      <c r="B150" s="4" t="s">
        <v>207</v>
      </c>
      <c r="C150" s="4" t="s">
        <v>246</v>
      </c>
      <c r="D150" s="4" t="s">
        <v>263</v>
      </c>
      <c r="E150" s="4" t="s">
        <v>248</v>
      </c>
      <c r="F150" s="4" t="s">
        <v>195</v>
      </c>
      <c r="G150" s="4" t="s">
        <v>264</v>
      </c>
      <c r="H150" s="4" t="s">
        <v>251</v>
      </c>
      <c r="I150" s="7">
        <v>0.70726040000000001</v>
      </c>
      <c r="J150" s="7">
        <v>0.84326849999999998</v>
      </c>
      <c r="K150" s="7">
        <v>0.8182933</v>
      </c>
      <c r="L150" s="7">
        <v>0.80569210000000002</v>
      </c>
      <c r="M150" s="7">
        <v>0.54015950000000001</v>
      </c>
      <c r="N150" s="7">
        <v>0.19564960000000001</v>
      </c>
      <c r="O150" s="7">
        <v>0.19564970000000001</v>
      </c>
      <c r="P150" s="7">
        <v>0.1956495</v>
      </c>
      <c r="Q150" s="7">
        <v>0.20155200000000001</v>
      </c>
      <c r="R150" s="7">
        <v>0.24186270000000001</v>
      </c>
      <c r="S150" s="7">
        <v>0.17276050000000001</v>
      </c>
      <c r="T150" s="7">
        <v>0.17276030000000001</v>
      </c>
      <c r="U150" s="7">
        <v>0.17276030000000001</v>
      </c>
      <c r="V150" s="7">
        <v>0.1727602</v>
      </c>
      <c r="W150" s="7">
        <v>0.24186189999999999</v>
      </c>
      <c r="X150" s="7">
        <v>0.23681579999999999</v>
      </c>
      <c r="Y150" s="7">
        <v>0.19734360000000001</v>
      </c>
      <c r="Z150" s="7">
        <v>0.62673610000000002</v>
      </c>
      <c r="AA150" s="7">
        <v>0.62673659999999998</v>
      </c>
      <c r="AB150" s="7">
        <v>0.62673760000000001</v>
      </c>
      <c r="AC150" s="7">
        <v>0.96831990000000001</v>
      </c>
      <c r="AD150" s="7">
        <v>0.50314440000000005</v>
      </c>
      <c r="AE150" s="7">
        <v>0.50314550000000002</v>
      </c>
      <c r="AF150" s="7">
        <v>0.53903489999999998</v>
      </c>
      <c r="AG150" s="7">
        <v>0.53903469999999998</v>
      </c>
      <c r="AH150" s="7">
        <v>0.69092849999999995</v>
      </c>
      <c r="AI150" s="7">
        <v>0.66431470000000004</v>
      </c>
      <c r="AJ150" s="7">
        <v>0.68432519999999997</v>
      </c>
      <c r="AK150" s="7">
        <v>0.70114290000000001</v>
      </c>
      <c r="AL150" s="7">
        <v>0.49685119999999999</v>
      </c>
      <c r="AM150" s="7">
        <v>0.51206050000000003</v>
      </c>
      <c r="AN150" s="7">
        <v>0.7471875</v>
      </c>
      <c r="AO150" s="7">
        <v>0.73456589999999999</v>
      </c>
      <c r="AP150" s="7">
        <v>0.71723230000000004</v>
      </c>
      <c r="AQ150" s="7">
        <v>0.74718839999999997</v>
      </c>
      <c r="AR150" s="7">
        <v>0.75325470000000005</v>
      </c>
      <c r="AS150" s="7">
        <v>0.66812669999999996</v>
      </c>
      <c r="AT150" s="7">
        <v>2.2930000000000001</v>
      </c>
    </row>
    <row r="151" spans="1:46" x14ac:dyDescent="0.25">
      <c r="A151" s="4" t="s">
        <v>198</v>
      </c>
      <c r="B151" s="4" t="s">
        <v>207</v>
      </c>
      <c r="C151" s="4" t="s">
        <v>246</v>
      </c>
      <c r="D151" s="4" t="s">
        <v>263</v>
      </c>
      <c r="E151" s="4" t="s">
        <v>248</v>
      </c>
      <c r="F151" s="4" t="s">
        <v>195</v>
      </c>
      <c r="G151" s="4" t="s">
        <v>264</v>
      </c>
      <c r="H151" s="4" t="s">
        <v>252</v>
      </c>
      <c r="I151" s="16">
        <v>8.6999999999999994E-2</v>
      </c>
      <c r="J151" s="16">
        <v>9.7000000000000003E-2</v>
      </c>
      <c r="K151" s="16">
        <v>8.6999999999999994E-2</v>
      </c>
      <c r="L151" s="16">
        <v>3.6999999999999998E-2</v>
      </c>
      <c r="M151" s="16">
        <v>0.01</v>
      </c>
      <c r="N151" s="16">
        <v>8.9999999999999993E-3</v>
      </c>
      <c r="O151" s="16">
        <v>8.9999999999999993E-3</v>
      </c>
      <c r="P151" s="16">
        <v>0.01</v>
      </c>
      <c r="Q151" s="16">
        <v>1.0999999999999999E-2</v>
      </c>
      <c r="R151" s="16">
        <v>1.2E-2</v>
      </c>
      <c r="S151" s="16">
        <v>0.01</v>
      </c>
      <c r="T151" s="16">
        <v>1.0999999999999999E-2</v>
      </c>
      <c r="U151" s="16">
        <v>1.0999999999999999E-2</v>
      </c>
      <c r="V151" s="16">
        <v>0.01</v>
      </c>
      <c r="W151" s="16">
        <v>1.2999999999999999E-2</v>
      </c>
      <c r="X151" s="16">
        <v>1.2E-2</v>
      </c>
      <c r="Y151" s="16">
        <v>8.9999999999999993E-3</v>
      </c>
      <c r="Z151" s="16">
        <v>6.0999999999999999E-2</v>
      </c>
      <c r="AA151" s="16">
        <v>0.01</v>
      </c>
      <c r="AB151" s="16">
        <v>0.05</v>
      </c>
      <c r="AC151" s="16">
        <v>3.5999999999999997E-2</v>
      </c>
      <c r="AD151" s="16">
        <v>3.5000000000000003E-2</v>
      </c>
      <c r="AE151" s="16">
        <v>3.5999999999999997E-2</v>
      </c>
      <c r="AF151" s="16">
        <v>3.7999999999999999E-2</v>
      </c>
      <c r="AG151" s="16">
        <v>3.6999999999999998E-2</v>
      </c>
      <c r="AH151" s="16">
        <v>5.7000000000000002E-2</v>
      </c>
      <c r="AI151" s="16">
        <v>0.03</v>
      </c>
      <c r="AJ151" s="16">
        <v>5.0999999999999997E-2</v>
      </c>
      <c r="AK151" s="16">
        <v>0.04</v>
      </c>
      <c r="AL151" s="16">
        <v>4.3999999999999997E-2</v>
      </c>
      <c r="AM151" s="16">
        <v>4.3999999999999997E-2</v>
      </c>
      <c r="AN151" s="16">
        <v>6.3E-2</v>
      </c>
      <c r="AO151" s="16">
        <v>6.3E-2</v>
      </c>
      <c r="AP151" s="16">
        <v>6.0999999999999999E-2</v>
      </c>
      <c r="AQ151" s="16">
        <v>5.0999999999999997E-2</v>
      </c>
      <c r="AR151" s="16">
        <v>0.05</v>
      </c>
      <c r="AS151" s="16">
        <v>4.9000000000000002E-2</v>
      </c>
      <c r="AT151" s="7">
        <v>0.66812669999999996</v>
      </c>
    </row>
    <row r="152" spans="1:46" x14ac:dyDescent="0.25">
      <c r="A152" s="4" t="s">
        <v>198</v>
      </c>
      <c r="B152" s="4" t="s">
        <v>207</v>
      </c>
      <c r="C152" s="4" t="s">
        <v>246</v>
      </c>
      <c r="D152" s="4" t="s">
        <v>263</v>
      </c>
      <c r="E152" s="4" t="s">
        <v>248</v>
      </c>
      <c r="F152" s="4" t="s">
        <v>195</v>
      </c>
      <c r="G152" s="4" t="s">
        <v>71</v>
      </c>
      <c r="H152" s="4" t="s">
        <v>151</v>
      </c>
      <c r="I152" s="5">
        <v>1624.027</v>
      </c>
      <c r="J152" s="5">
        <v>1585.1869999999999</v>
      </c>
      <c r="K152" s="5">
        <v>1254.9649999999999</v>
      </c>
      <c r="L152" s="5">
        <v>2417.9789999999998</v>
      </c>
      <c r="M152" s="5">
        <v>3648.7049999999999</v>
      </c>
      <c r="N152" s="5">
        <v>2817.578</v>
      </c>
      <c r="O152" s="5">
        <v>3479.2849999999999</v>
      </c>
      <c r="P152" s="5">
        <v>2877.8620000000001</v>
      </c>
      <c r="Q152" s="5">
        <v>2473.366</v>
      </c>
      <c r="R152" s="5">
        <v>1145.777</v>
      </c>
      <c r="S152" s="5">
        <v>757.702</v>
      </c>
      <c r="T152" s="5">
        <v>1236.8620000000001</v>
      </c>
      <c r="U152" s="5">
        <v>483.36700000000002</v>
      </c>
      <c r="V152" s="5">
        <v>621.06200000000001</v>
      </c>
      <c r="W152" s="5">
        <v>1708.2840000000001</v>
      </c>
      <c r="X152" s="5">
        <v>2272.5250000000001</v>
      </c>
      <c r="Y152" s="5">
        <v>3494.9409999999998</v>
      </c>
      <c r="Z152" s="5">
        <v>4359.5020000000004</v>
      </c>
      <c r="AA152" s="5">
        <v>5035.4380000000001</v>
      </c>
      <c r="AB152" s="5">
        <v>3396.1889999999999</v>
      </c>
      <c r="AC152" s="5">
        <v>2629.1489999999999</v>
      </c>
      <c r="AD152" s="5">
        <v>1135.501</v>
      </c>
      <c r="AE152" s="5">
        <v>1059.4269999999999</v>
      </c>
      <c r="AF152" s="5">
        <v>1622.1089999999999</v>
      </c>
      <c r="AG152" s="5">
        <v>1382.213</v>
      </c>
      <c r="AH152" s="5">
        <v>1774.49</v>
      </c>
      <c r="AI152" s="5">
        <v>2217.0500000000002</v>
      </c>
      <c r="AJ152" s="5">
        <v>3183.5709999999999</v>
      </c>
      <c r="AK152" s="5">
        <v>3820.6320000000001</v>
      </c>
      <c r="AL152" s="5">
        <v>4428.0879999999997</v>
      </c>
      <c r="AM152" s="5">
        <v>5333.81</v>
      </c>
      <c r="AN152" s="5">
        <v>4996.8050000000003</v>
      </c>
      <c r="AO152" s="5">
        <v>2250.8670000000002</v>
      </c>
      <c r="AP152" s="5">
        <v>1942.2260000000001</v>
      </c>
      <c r="AQ152" s="5">
        <v>678.63699999999994</v>
      </c>
      <c r="AR152" s="5">
        <v>610.96699999999998</v>
      </c>
      <c r="AS152" s="5">
        <v>479.19499999999999</v>
      </c>
      <c r="AT152" s="5">
        <v>5750.3440000000001</v>
      </c>
    </row>
    <row r="153" spans="1:46" x14ac:dyDescent="0.25">
      <c r="A153" s="4" t="s">
        <v>198</v>
      </c>
      <c r="B153" s="4" t="s">
        <v>207</v>
      </c>
      <c r="C153" s="4" t="s">
        <v>246</v>
      </c>
      <c r="D153" s="4" t="s">
        <v>263</v>
      </c>
      <c r="E153" s="4" t="s">
        <v>248</v>
      </c>
      <c r="F153" s="4" t="s">
        <v>195</v>
      </c>
      <c r="G153" s="4" t="s">
        <v>71</v>
      </c>
      <c r="H153" s="4" t="s">
        <v>205</v>
      </c>
      <c r="I153" s="6">
        <v>167694.902</v>
      </c>
      <c r="J153" s="6">
        <v>161059.23000000001</v>
      </c>
      <c r="K153" s="6">
        <v>130520.927</v>
      </c>
      <c r="L153" s="6">
        <v>271274.07400000002</v>
      </c>
      <c r="M153" s="6">
        <v>259979.80600000001</v>
      </c>
      <c r="N153" s="6">
        <v>248369.92199999999</v>
      </c>
      <c r="O153" s="6">
        <v>300151.21000000002</v>
      </c>
      <c r="P153" s="6">
        <v>242221.83900000001</v>
      </c>
      <c r="Q153" s="6">
        <v>189694.50899999999</v>
      </c>
      <c r="R153" s="6">
        <v>129204.11599999999</v>
      </c>
      <c r="S153" s="6">
        <v>90305.698000000004</v>
      </c>
      <c r="T153" s="6">
        <v>144895.52299999999</v>
      </c>
      <c r="U153" s="6">
        <v>54251.957000000002</v>
      </c>
      <c r="V153" s="6">
        <v>71131.129000000001</v>
      </c>
      <c r="W153" s="6">
        <v>178127.932</v>
      </c>
      <c r="X153" s="6">
        <v>274989.18</v>
      </c>
      <c r="Y153" s="6">
        <v>390047.42</v>
      </c>
      <c r="Z153" s="6">
        <v>553545.84400000004</v>
      </c>
      <c r="AA153" s="6">
        <v>675915.74800000002</v>
      </c>
      <c r="AB153" s="6">
        <v>431270.495</v>
      </c>
      <c r="AC153" s="6">
        <v>358554.39399999997</v>
      </c>
      <c r="AD153" s="6">
        <v>165193.405</v>
      </c>
      <c r="AE153" s="6">
        <v>159040.307</v>
      </c>
      <c r="AF153" s="6">
        <v>221218.924</v>
      </c>
      <c r="AG153" s="6">
        <v>187104.253</v>
      </c>
      <c r="AH153" s="6">
        <v>215406.11300000001</v>
      </c>
      <c r="AI153" s="6">
        <v>303733.00699999998</v>
      </c>
      <c r="AJ153" s="6">
        <v>428414.98100000003</v>
      </c>
      <c r="AK153" s="6">
        <v>513574.56800000003</v>
      </c>
      <c r="AL153" s="6">
        <v>613615.67000000004</v>
      </c>
      <c r="AM153" s="6">
        <v>725155.63899999997</v>
      </c>
      <c r="AN153" s="6">
        <v>670637.59100000001</v>
      </c>
      <c r="AO153" s="6">
        <v>300570.23499999999</v>
      </c>
      <c r="AP153" s="6">
        <v>256402.554</v>
      </c>
      <c r="AQ153" s="6">
        <v>75754.263999999996</v>
      </c>
      <c r="AR153" s="6">
        <v>78310.684999999998</v>
      </c>
      <c r="AS153" s="6">
        <v>66682.226999999999</v>
      </c>
      <c r="AT153" s="6">
        <v>66682.226999999999</v>
      </c>
    </row>
    <row r="154" spans="1:46" x14ac:dyDescent="0.25">
      <c r="A154" s="4" t="s">
        <v>198</v>
      </c>
      <c r="B154" s="4" t="s">
        <v>207</v>
      </c>
      <c r="C154" s="4" t="s">
        <v>246</v>
      </c>
      <c r="D154" s="4" t="s">
        <v>263</v>
      </c>
      <c r="E154" s="4" t="s">
        <v>248</v>
      </c>
      <c r="F154" s="4" t="s">
        <v>195</v>
      </c>
      <c r="G154" s="4" t="s">
        <v>71</v>
      </c>
      <c r="H154" s="4" t="s">
        <v>249</v>
      </c>
      <c r="I154" s="7">
        <v>8.5000000000000006E-2</v>
      </c>
      <c r="J154" s="7">
        <v>6.9000000000000006E-2</v>
      </c>
      <c r="K154" s="7">
        <v>4.3999999999999997E-2</v>
      </c>
      <c r="L154" s="7">
        <v>6.4000000000000001E-2</v>
      </c>
      <c r="M154" s="7">
        <v>5.5E-2</v>
      </c>
      <c r="N154" s="7">
        <v>4.9000000000000002E-2</v>
      </c>
      <c r="O154" s="7">
        <v>6.4000000000000001E-2</v>
      </c>
      <c r="P154" s="7">
        <v>6.2E-2</v>
      </c>
      <c r="Q154" s="7">
        <v>5.8000000000000003E-2</v>
      </c>
      <c r="R154" s="7">
        <v>5.7000000000000002E-2</v>
      </c>
      <c r="S154" s="7">
        <v>4.4999999999999998E-2</v>
      </c>
      <c r="T154" s="7">
        <v>8.1000000000000003E-2</v>
      </c>
      <c r="U154" s="7">
        <v>3.2000000000000001E-2</v>
      </c>
      <c r="V154" s="7">
        <v>3.5000000000000003E-2</v>
      </c>
      <c r="W154" s="7">
        <v>6.0999999999999999E-2</v>
      </c>
      <c r="X154" s="7">
        <v>6.7000000000000004E-2</v>
      </c>
      <c r="Y154" s="7">
        <v>7.8E-2</v>
      </c>
      <c r="Z154" s="7">
        <v>0.111</v>
      </c>
      <c r="AA154" s="7">
        <v>0.11799999999999999</v>
      </c>
      <c r="AB154" s="7">
        <v>9.1999999999999998E-2</v>
      </c>
      <c r="AC154" s="7">
        <v>8.4000000000000005E-2</v>
      </c>
      <c r="AD154" s="7">
        <v>4.5999999999999999E-2</v>
      </c>
      <c r="AE154" s="7">
        <v>4.9000000000000002E-2</v>
      </c>
      <c r="AF154" s="7">
        <v>7.0000000000000007E-2</v>
      </c>
      <c r="AG154" s="7">
        <v>5.6000000000000001E-2</v>
      </c>
      <c r="AH154" s="7">
        <v>5.6000000000000001E-2</v>
      </c>
      <c r="AI154" s="7">
        <v>7.1999999999999995E-2</v>
      </c>
      <c r="AJ154" s="7">
        <v>0.08</v>
      </c>
      <c r="AK154" s="7">
        <v>8.5999999999999993E-2</v>
      </c>
      <c r="AL154" s="7">
        <v>9.9000000000000005E-2</v>
      </c>
      <c r="AM154" s="7">
        <v>0.1</v>
      </c>
      <c r="AN154" s="7">
        <v>0.105</v>
      </c>
      <c r="AO154" s="7">
        <v>5.5E-2</v>
      </c>
      <c r="AP154" s="7">
        <v>5.3999999999999999E-2</v>
      </c>
      <c r="AQ154" s="7">
        <v>2.1999999999999999E-2</v>
      </c>
      <c r="AR154" s="7">
        <v>2.8000000000000001E-2</v>
      </c>
      <c r="AS154" s="7">
        <v>3.2000000000000001E-2</v>
      </c>
      <c r="AT154" s="7">
        <v>1.694</v>
      </c>
    </row>
    <row r="155" spans="1:46" x14ac:dyDescent="0.25">
      <c r="A155" s="4" t="s">
        <v>198</v>
      </c>
      <c r="B155" s="4" t="s">
        <v>207</v>
      </c>
      <c r="C155" s="4" t="s">
        <v>246</v>
      </c>
      <c r="D155" s="4" t="s">
        <v>263</v>
      </c>
      <c r="E155" s="4" t="s">
        <v>248</v>
      </c>
      <c r="F155" s="4" t="s">
        <v>195</v>
      </c>
      <c r="G155" s="4" t="s">
        <v>71</v>
      </c>
      <c r="H155" s="4" t="s">
        <v>250</v>
      </c>
      <c r="I155" s="7">
        <v>20.507999999999999</v>
      </c>
      <c r="J155" s="7">
        <v>19.355</v>
      </c>
      <c r="K155" s="7">
        <v>16.044</v>
      </c>
      <c r="L155" s="7">
        <v>17.751000000000001</v>
      </c>
      <c r="M155" s="7">
        <v>16.448</v>
      </c>
      <c r="N155" s="7">
        <v>23.068999999999999</v>
      </c>
      <c r="O155" s="7">
        <v>23.102</v>
      </c>
      <c r="P155" s="7">
        <v>31.754000000000001</v>
      </c>
      <c r="Q155" s="7">
        <v>31.925000000000001</v>
      </c>
      <c r="R155" s="7">
        <v>34.161999999999999</v>
      </c>
      <c r="S155" s="7">
        <v>28.254999999999999</v>
      </c>
      <c r="T155" s="7">
        <v>27.337</v>
      </c>
      <c r="U155" s="7">
        <v>23.588999999999999</v>
      </c>
      <c r="V155" s="7">
        <v>27.295000000000002</v>
      </c>
      <c r="W155" s="7">
        <v>28.846</v>
      </c>
      <c r="X155" s="7">
        <v>26.677</v>
      </c>
      <c r="Y155" s="7">
        <v>27.648</v>
      </c>
      <c r="Z155" s="7">
        <v>30.44</v>
      </c>
      <c r="AA155" s="7">
        <v>30.72</v>
      </c>
      <c r="AB155" s="7">
        <v>28.183</v>
      </c>
      <c r="AC155" s="7">
        <v>20.462</v>
      </c>
      <c r="AD155" s="7">
        <v>14.651999999999999</v>
      </c>
      <c r="AE155" s="7">
        <v>17.818999999999999</v>
      </c>
      <c r="AF155" s="7">
        <v>18.062000000000001</v>
      </c>
      <c r="AG155" s="7">
        <v>17.169</v>
      </c>
      <c r="AH155" s="7">
        <v>17.774000000000001</v>
      </c>
      <c r="AI155" s="7">
        <v>20.914000000000001</v>
      </c>
      <c r="AJ155" s="7">
        <v>20.21</v>
      </c>
      <c r="AK155" s="7">
        <v>23.265000000000001</v>
      </c>
      <c r="AL155" s="7">
        <v>26.395</v>
      </c>
      <c r="AM155" s="7">
        <v>28.042000000000002</v>
      </c>
      <c r="AN155" s="7">
        <v>23.358000000000001</v>
      </c>
      <c r="AO155" s="7">
        <v>17.687999999999999</v>
      </c>
      <c r="AP155" s="7">
        <v>16.04</v>
      </c>
      <c r="AQ155" s="7">
        <v>11.635</v>
      </c>
      <c r="AR155" s="7">
        <v>13.329000000000001</v>
      </c>
      <c r="AS155" s="7">
        <v>12.807</v>
      </c>
      <c r="AT155" s="5">
        <v>29266.264999999999</v>
      </c>
    </row>
    <row r="156" spans="1:46" x14ac:dyDescent="0.25">
      <c r="A156" s="4" t="s">
        <v>198</v>
      </c>
      <c r="B156" s="4" t="s">
        <v>207</v>
      </c>
      <c r="C156" s="4" t="s">
        <v>246</v>
      </c>
      <c r="D156" s="4" t="s">
        <v>263</v>
      </c>
      <c r="E156" s="4" t="s">
        <v>248</v>
      </c>
      <c r="F156" s="4" t="s">
        <v>195</v>
      </c>
      <c r="G156" s="4" t="s">
        <v>71</v>
      </c>
      <c r="H156" s="4" t="s">
        <v>251</v>
      </c>
      <c r="I156" s="7">
        <v>10.729907300000001</v>
      </c>
      <c r="J156" s="7">
        <v>11.0902742</v>
      </c>
      <c r="K156" s="7">
        <v>10.0527604</v>
      </c>
      <c r="L156" s="7">
        <v>9.9691635000000005</v>
      </c>
      <c r="M156" s="7">
        <v>10.9247554</v>
      </c>
      <c r="N156" s="7">
        <v>13.9789399</v>
      </c>
      <c r="O156" s="7">
        <v>14.9110885</v>
      </c>
      <c r="P156" s="7">
        <v>15.202761499999999</v>
      </c>
      <c r="Q156" s="7">
        <v>13.0983714</v>
      </c>
      <c r="R156" s="7">
        <v>12.6846294</v>
      </c>
      <c r="S156" s="7">
        <v>12.366210799999999</v>
      </c>
      <c r="T156" s="7">
        <v>12.2791394</v>
      </c>
      <c r="U156" s="7">
        <v>12.1728106</v>
      </c>
      <c r="V156" s="7">
        <v>12.598140600000001</v>
      </c>
      <c r="W156" s="7">
        <v>14.9962123</v>
      </c>
      <c r="X156" s="7">
        <v>14.836249799999999</v>
      </c>
      <c r="Y156" s="7">
        <v>17.066234399999999</v>
      </c>
      <c r="Z156" s="7">
        <v>17.174671499999999</v>
      </c>
      <c r="AA156" s="7">
        <v>17.633429899999999</v>
      </c>
      <c r="AB156" s="7">
        <v>15.7105204</v>
      </c>
      <c r="AC156" s="7">
        <v>13.4927764</v>
      </c>
      <c r="AD156" s="7">
        <v>12.2846592</v>
      </c>
      <c r="AE156" s="7">
        <v>14.310931099999999</v>
      </c>
      <c r="AF156" s="7">
        <v>14.3161909</v>
      </c>
      <c r="AG156" s="7">
        <v>14.155199400000001</v>
      </c>
      <c r="AH156" s="7">
        <v>13.9064368</v>
      </c>
      <c r="AI156" s="7">
        <v>15.082083900000001</v>
      </c>
      <c r="AJ156" s="7">
        <v>15.617371</v>
      </c>
      <c r="AK156" s="7">
        <v>17.5711692</v>
      </c>
      <c r="AL156" s="7">
        <v>17.023420300000002</v>
      </c>
      <c r="AM156" s="7">
        <v>16.918528500000001</v>
      </c>
      <c r="AN156" s="7">
        <v>14.4468078</v>
      </c>
      <c r="AO156" s="7">
        <v>12.271175100000001</v>
      </c>
      <c r="AP156" s="7">
        <v>10.8623171</v>
      </c>
      <c r="AQ156" s="7">
        <v>10.023454600000001</v>
      </c>
      <c r="AR156" s="7">
        <v>10.4260532</v>
      </c>
      <c r="AS156" s="7">
        <v>9.4165220999999999</v>
      </c>
      <c r="AT156" s="7">
        <v>12.807</v>
      </c>
    </row>
    <row r="157" spans="1:46" x14ac:dyDescent="0.25">
      <c r="A157" s="4" t="s">
        <v>198</v>
      </c>
      <c r="B157" s="4" t="s">
        <v>207</v>
      </c>
      <c r="C157" s="4" t="s">
        <v>246</v>
      </c>
      <c r="D157" s="4" t="s">
        <v>263</v>
      </c>
      <c r="E157" s="4" t="s">
        <v>248</v>
      </c>
      <c r="F157" s="4" t="s">
        <v>195</v>
      </c>
      <c r="G157" s="4" t="s">
        <v>71</v>
      </c>
      <c r="H157" s="4" t="s">
        <v>252</v>
      </c>
      <c r="I157" s="16">
        <v>1.2050000000000001</v>
      </c>
      <c r="J157" s="16">
        <v>1.0089999999999999</v>
      </c>
      <c r="K157" s="16">
        <v>0.97499999999999998</v>
      </c>
      <c r="L157" s="16">
        <v>0.59</v>
      </c>
      <c r="M157" s="16">
        <v>1.508</v>
      </c>
      <c r="N157" s="16">
        <v>1.548</v>
      </c>
      <c r="O157" s="16">
        <v>1.8220000000000001</v>
      </c>
      <c r="P157" s="16">
        <v>1.7529999999999999</v>
      </c>
      <c r="Q157" s="16">
        <v>1.389</v>
      </c>
      <c r="R157" s="16">
        <v>1.6839999999999999</v>
      </c>
      <c r="S157" s="16">
        <v>1.458</v>
      </c>
      <c r="T157" s="16">
        <v>1.573</v>
      </c>
      <c r="U157" s="16">
        <v>1.4990000000000001</v>
      </c>
      <c r="V157" s="16">
        <v>1.5049999999999999</v>
      </c>
      <c r="W157" s="16">
        <v>1.4810000000000001</v>
      </c>
      <c r="X157" s="16">
        <v>1.4890000000000001</v>
      </c>
      <c r="Y157" s="16">
        <v>1.855</v>
      </c>
      <c r="Z157" s="16">
        <v>1.968</v>
      </c>
      <c r="AA157" s="16">
        <v>2.149</v>
      </c>
      <c r="AB157" s="16">
        <v>1.86</v>
      </c>
      <c r="AC157" s="16">
        <v>1.758</v>
      </c>
      <c r="AD157" s="16">
        <v>1.81</v>
      </c>
      <c r="AE157" s="16">
        <v>2.093</v>
      </c>
      <c r="AF157" s="16">
        <v>2.4700000000000002</v>
      </c>
      <c r="AG157" s="16">
        <v>2.5950000000000002</v>
      </c>
      <c r="AH157" s="16">
        <v>2.3319999999999999</v>
      </c>
      <c r="AI157" s="16">
        <v>2.1840000000000002</v>
      </c>
      <c r="AJ157" s="16">
        <v>1.6080000000000001</v>
      </c>
      <c r="AK157" s="16">
        <v>1.7450000000000001</v>
      </c>
      <c r="AL157" s="16">
        <v>1.88</v>
      </c>
      <c r="AM157" s="16">
        <v>2.2389999999999999</v>
      </c>
      <c r="AN157" s="16">
        <v>1.679</v>
      </c>
      <c r="AO157" s="16">
        <v>1.4750000000000001</v>
      </c>
      <c r="AP157" s="16">
        <v>1.1990000000000001</v>
      </c>
      <c r="AQ157" s="16">
        <v>1.2569999999999999</v>
      </c>
      <c r="AR157" s="16">
        <v>1.07</v>
      </c>
      <c r="AS157" s="16">
        <v>1.2769999999999999</v>
      </c>
      <c r="AT157" s="7">
        <v>9.4165220999999999</v>
      </c>
    </row>
    <row r="158" spans="1:46" x14ac:dyDescent="0.25">
      <c r="A158" s="4" t="s">
        <v>198</v>
      </c>
      <c r="B158" s="4" t="s">
        <v>207</v>
      </c>
      <c r="C158" s="4" t="s">
        <v>246</v>
      </c>
      <c r="D158" s="4" t="s">
        <v>263</v>
      </c>
      <c r="E158" s="4" t="s">
        <v>248</v>
      </c>
      <c r="F158" s="4" t="s">
        <v>195</v>
      </c>
      <c r="G158" s="4" t="s">
        <v>76</v>
      </c>
      <c r="H158" s="4" t="s">
        <v>151</v>
      </c>
      <c r="I158" s="5">
        <v>108.687</v>
      </c>
      <c r="J158" s="5">
        <v>235.8</v>
      </c>
      <c r="K158" s="5">
        <v>359.887</v>
      </c>
      <c r="L158" s="5">
        <v>382.93200000000002</v>
      </c>
      <c r="M158" s="5">
        <v>795.63599999999997</v>
      </c>
      <c r="N158" s="5">
        <v>825.04100000000005</v>
      </c>
      <c r="O158" s="5">
        <v>579.97400000000005</v>
      </c>
      <c r="P158" s="5">
        <v>649.02800000000002</v>
      </c>
      <c r="Q158" s="5">
        <v>560.34100000000001</v>
      </c>
      <c r="R158" s="5">
        <v>435.57799999999997</v>
      </c>
      <c r="S158" s="5">
        <v>197.09399999999999</v>
      </c>
      <c r="T158" s="5">
        <v>213.21700000000001</v>
      </c>
      <c r="U158" s="5">
        <v>316.702</v>
      </c>
      <c r="V158" s="5">
        <v>403.63499999999999</v>
      </c>
      <c r="W158" s="5">
        <v>395.24400000000003</v>
      </c>
      <c r="X158" s="5">
        <v>498.41500000000002</v>
      </c>
      <c r="Y158" s="5">
        <v>572.11900000000003</v>
      </c>
      <c r="Z158" s="5">
        <v>788.30200000000002</v>
      </c>
      <c r="AA158" s="5">
        <v>690.89099999999996</v>
      </c>
      <c r="AB158" s="5">
        <v>436.64699999999999</v>
      </c>
      <c r="AC158" s="5">
        <v>533.61099999999999</v>
      </c>
      <c r="AD158" s="5">
        <v>466.56700000000001</v>
      </c>
      <c r="AE158" s="5">
        <v>436.77699999999999</v>
      </c>
      <c r="AF158" s="5">
        <v>410.42</v>
      </c>
      <c r="AG158" s="5">
        <v>653.82600000000002</v>
      </c>
      <c r="AH158" s="5">
        <v>508.786</v>
      </c>
      <c r="AI158" s="5">
        <v>1124.8150000000001</v>
      </c>
      <c r="AJ158" s="5">
        <v>1037.942</v>
      </c>
      <c r="AK158" s="5">
        <v>1310.826</v>
      </c>
      <c r="AL158" s="5">
        <v>1569.6610000000001</v>
      </c>
      <c r="AM158" s="5">
        <v>1023.412</v>
      </c>
      <c r="AN158" s="5">
        <v>1622.4960000000001</v>
      </c>
      <c r="AO158" s="5">
        <v>756.58199999999999</v>
      </c>
      <c r="AP158" s="5">
        <v>429.23599999999999</v>
      </c>
      <c r="AQ158" s="5">
        <v>494.846</v>
      </c>
      <c r="AR158" s="5">
        <v>269.33</v>
      </c>
      <c r="AS158" s="5">
        <v>180.48699999999999</v>
      </c>
      <c r="AT158" s="5">
        <v>180.48699999999999</v>
      </c>
    </row>
    <row r="159" spans="1:46" x14ac:dyDescent="0.25">
      <c r="A159" s="4" t="s">
        <v>198</v>
      </c>
      <c r="B159" s="4" t="s">
        <v>207</v>
      </c>
      <c r="C159" s="4" t="s">
        <v>246</v>
      </c>
      <c r="D159" s="4" t="s">
        <v>263</v>
      </c>
      <c r="E159" s="4" t="s">
        <v>248</v>
      </c>
      <c r="F159" s="4" t="s">
        <v>195</v>
      </c>
      <c r="G159" s="4" t="s">
        <v>76</v>
      </c>
      <c r="H159" s="4" t="s">
        <v>205</v>
      </c>
      <c r="I159" s="6">
        <v>26174.341</v>
      </c>
      <c r="J159" s="6">
        <v>56875.28</v>
      </c>
      <c r="K159" s="6">
        <v>64870.279000000002</v>
      </c>
      <c r="L159" s="6">
        <v>76723.819000000003</v>
      </c>
      <c r="M159" s="6">
        <v>188214.46400000001</v>
      </c>
      <c r="N159" s="6">
        <v>199104.93799999999</v>
      </c>
      <c r="O159" s="6">
        <v>132522.97700000001</v>
      </c>
      <c r="P159" s="6">
        <v>145575.00700000001</v>
      </c>
      <c r="Q159" s="6">
        <v>123726.39</v>
      </c>
      <c r="R159" s="6">
        <v>104803.914</v>
      </c>
      <c r="S159" s="6">
        <v>54325.951000000001</v>
      </c>
      <c r="T159" s="6">
        <v>50740.243999999999</v>
      </c>
      <c r="U159" s="6">
        <v>83906.44</v>
      </c>
      <c r="V159" s="6">
        <v>104186.64599999999</v>
      </c>
      <c r="W159" s="6">
        <v>95744.385999999999</v>
      </c>
      <c r="X159" s="6">
        <v>126363.912</v>
      </c>
      <c r="Y159" s="6">
        <v>137914.136</v>
      </c>
      <c r="Z159" s="6">
        <v>216766.24299999999</v>
      </c>
      <c r="AA159" s="6">
        <v>184755.565</v>
      </c>
      <c r="AB159" s="6">
        <v>115048.932</v>
      </c>
      <c r="AC159" s="6">
        <v>147952.46799999999</v>
      </c>
      <c r="AD159" s="6">
        <v>119692.04700000001</v>
      </c>
      <c r="AE159" s="6">
        <v>114770.152</v>
      </c>
      <c r="AF159" s="6">
        <v>112413.749</v>
      </c>
      <c r="AG159" s="6">
        <v>171393.91</v>
      </c>
      <c r="AH159" s="6">
        <v>144337.47</v>
      </c>
      <c r="AI159" s="6">
        <v>309877.77299999999</v>
      </c>
      <c r="AJ159" s="6">
        <v>269444.29700000002</v>
      </c>
      <c r="AK159" s="6">
        <v>383096.625</v>
      </c>
      <c r="AL159" s="6">
        <v>477773.90899999999</v>
      </c>
      <c r="AM159" s="6">
        <v>329805.47100000002</v>
      </c>
      <c r="AN159" s="6">
        <v>509065.51400000002</v>
      </c>
      <c r="AO159" s="6">
        <v>255740.41200000001</v>
      </c>
      <c r="AP159" s="6">
        <v>134177.908</v>
      </c>
      <c r="AQ159" s="6">
        <v>158110.709</v>
      </c>
      <c r="AR159" s="6">
        <v>81871.777000000002</v>
      </c>
      <c r="AS159" s="6">
        <v>52514.656000000003</v>
      </c>
      <c r="AT159" s="6">
        <v>52514.656000000003</v>
      </c>
    </row>
    <row r="160" spans="1:46" x14ac:dyDescent="0.25">
      <c r="A160" s="4" t="s">
        <v>198</v>
      </c>
      <c r="B160" s="4" t="s">
        <v>207</v>
      </c>
      <c r="C160" s="4" t="s">
        <v>246</v>
      </c>
      <c r="D160" s="4" t="s">
        <v>263</v>
      </c>
      <c r="E160" s="4" t="s">
        <v>248</v>
      </c>
      <c r="F160" s="4" t="s">
        <v>195</v>
      </c>
      <c r="G160" s="4" t="s">
        <v>76</v>
      </c>
      <c r="H160" s="4" t="s">
        <v>249</v>
      </c>
      <c r="I160" s="7">
        <v>2.1000000000000001E-2</v>
      </c>
      <c r="J160" s="7">
        <v>3.7999999999999999E-2</v>
      </c>
      <c r="K160" s="7">
        <v>4.7E-2</v>
      </c>
      <c r="L160" s="7">
        <v>3.7999999999999999E-2</v>
      </c>
      <c r="M160" s="7">
        <v>6.9000000000000006E-2</v>
      </c>
      <c r="N160" s="7">
        <v>6.6000000000000003E-2</v>
      </c>
      <c r="O160" s="7">
        <v>4.9000000000000002E-2</v>
      </c>
      <c r="P160" s="7">
        <v>6.9000000000000006E-2</v>
      </c>
      <c r="Q160" s="7">
        <v>7.4999999999999997E-2</v>
      </c>
      <c r="R160" s="7">
        <v>8.1000000000000003E-2</v>
      </c>
      <c r="S160" s="7">
        <v>4.3999999999999997E-2</v>
      </c>
      <c r="T160" s="7">
        <v>5.2999999999999999E-2</v>
      </c>
      <c r="U160" s="7">
        <v>0.08</v>
      </c>
      <c r="V160" s="7">
        <v>8.5999999999999993E-2</v>
      </c>
      <c r="W160" s="7">
        <v>5.8999999999999997E-2</v>
      </c>
      <c r="X160" s="7">
        <v>5.5E-2</v>
      </c>
      <c r="Y160" s="7">
        <v>5.0999999999999997E-2</v>
      </c>
      <c r="Z160" s="7">
        <v>7.4999999999999997E-2</v>
      </c>
      <c r="AA160" s="7">
        <v>6.2E-2</v>
      </c>
      <c r="AB160" s="7">
        <v>4.9000000000000002E-2</v>
      </c>
      <c r="AC160" s="7">
        <v>6.6000000000000003E-2</v>
      </c>
      <c r="AD160" s="7">
        <v>7.1999999999999995E-2</v>
      </c>
      <c r="AE160" s="7">
        <v>7.6999999999999999E-2</v>
      </c>
      <c r="AF160" s="7">
        <v>7.3999999999999996E-2</v>
      </c>
      <c r="AG160" s="7">
        <v>0.112</v>
      </c>
      <c r="AH160" s="7">
        <v>7.6999999999999999E-2</v>
      </c>
      <c r="AI160" s="7">
        <v>0.13700000000000001</v>
      </c>
      <c r="AJ160" s="7">
        <v>0.10299999999999999</v>
      </c>
      <c r="AK160" s="7">
        <v>0.114</v>
      </c>
      <c r="AL160" s="7">
        <v>0.13200000000000001</v>
      </c>
      <c r="AM160" s="7">
        <v>7.1999999999999995E-2</v>
      </c>
      <c r="AN160" s="7">
        <v>0.128</v>
      </c>
      <c r="AO160" s="7">
        <v>7.0000000000000007E-2</v>
      </c>
      <c r="AP160" s="7">
        <v>4.4999999999999998E-2</v>
      </c>
      <c r="AQ160" s="7">
        <v>6.0999999999999999E-2</v>
      </c>
      <c r="AR160" s="7">
        <v>4.7E-2</v>
      </c>
      <c r="AS160" s="7">
        <v>4.5999999999999999E-2</v>
      </c>
      <c r="AT160" s="7">
        <v>5.2999999999999999E-2</v>
      </c>
    </row>
    <row r="161" spans="1:46" x14ac:dyDescent="0.25">
      <c r="A161" s="4" t="s">
        <v>198</v>
      </c>
      <c r="B161" s="4" t="s">
        <v>207</v>
      </c>
      <c r="C161" s="4" t="s">
        <v>246</v>
      </c>
      <c r="D161" s="4" t="s">
        <v>263</v>
      </c>
      <c r="E161" s="4" t="s">
        <v>248</v>
      </c>
      <c r="F161" s="4" t="s">
        <v>195</v>
      </c>
      <c r="G161" s="4" t="s">
        <v>76</v>
      </c>
      <c r="H161" s="4" t="s">
        <v>250</v>
      </c>
      <c r="I161" s="7">
        <v>8.9659999999999993</v>
      </c>
      <c r="J161" s="7">
        <v>9.7289999999999992</v>
      </c>
      <c r="K161" s="7">
        <v>9.6509999999999998</v>
      </c>
      <c r="L161" s="7">
        <v>10.117000000000001</v>
      </c>
      <c r="M161" s="7">
        <v>9.15</v>
      </c>
      <c r="N161" s="7">
        <v>10.457000000000001</v>
      </c>
      <c r="O161" s="7">
        <v>8.4250000000000007</v>
      </c>
      <c r="P161" s="7">
        <v>8.3089999999999993</v>
      </c>
      <c r="Q161" s="7">
        <v>8.5719999999999992</v>
      </c>
      <c r="R161" s="7">
        <v>8.0079999999999991</v>
      </c>
      <c r="S161" s="7">
        <v>5.8929999999999998</v>
      </c>
      <c r="T161" s="7">
        <v>7.5739999999999998</v>
      </c>
      <c r="U161" s="7">
        <v>7.3940000000000001</v>
      </c>
      <c r="V161" s="7">
        <v>8.4629999999999992</v>
      </c>
      <c r="W161" s="7">
        <v>18.648</v>
      </c>
      <c r="X161" s="7">
        <v>15.932</v>
      </c>
      <c r="Y161" s="7">
        <v>15.996</v>
      </c>
      <c r="Z161" s="7">
        <v>15.648</v>
      </c>
      <c r="AA161" s="7">
        <v>12.124000000000001</v>
      </c>
      <c r="AB161" s="7">
        <v>14.667</v>
      </c>
      <c r="AC161" s="7">
        <v>17.206</v>
      </c>
      <c r="AD161" s="7">
        <v>12.395</v>
      </c>
      <c r="AE161" s="7">
        <v>14.457000000000001</v>
      </c>
      <c r="AF161" s="7">
        <v>13.760999999999999</v>
      </c>
      <c r="AG161" s="7">
        <v>17.399999999999999</v>
      </c>
      <c r="AH161" s="7">
        <v>17.798999999999999</v>
      </c>
      <c r="AI161" s="7">
        <v>23.975000000000001</v>
      </c>
      <c r="AJ161" s="7">
        <v>24.251000000000001</v>
      </c>
      <c r="AK161" s="7">
        <v>26.315999999999999</v>
      </c>
      <c r="AL161" s="7">
        <v>27.512</v>
      </c>
      <c r="AM161" s="7">
        <v>29.687999999999999</v>
      </c>
      <c r="AN161" s="7">
        <v>24.91</v>
      </c>
      <c r="AO161" s="7">
        <v>19.427</v>
      </c>
      <c r="AP161" s="7">
        <v>17.937999999999999</v>
      </c>
      <c r="AQ161" s="7">
        <v>18.018000000000001</v>
      </c>
      <c r="AR161" s="7">
        <v>18.047000000000001</v>
      </c>
      <c r="AS161" s="7">
        <v>13.055</v>
      </c>
      <c r="AT161" s="5">
        <v>1631.056</v>
      </c>
    </row>
    <row r="162" spans="1:46" x14ac:dyDescent="0.25">
      <c r="A162" s="4" t="s">
        <v>198</v>
      </c>
      <c r="B162" s="4" t="s">
        <v>207</v>
      </c>
      <c r="C162" s="4" t="s">
        <v>246</v>
      </c>
      <c r="D162" s="4" t="s">
        <v>263</v>
      </c>
      <c r="E162" s="4" t="s">
        <v>248</v>
      </c>
      <c r="F162" s="4" t="s">
        <v>195</v>
      </c>
      <c r="G162" s="4" t="s">
        <v>76</v>
      </c>
      <c r="H162" s="4" t="s">
        <v>251</v>
      </c>
      <c r="I162" s="7">
        <v>3.9518369999999998</v>
      </c>
      <c r="J162" s="7">
        <v>4.4092026999999998</v>
      </c>
      <c r="K162" s="7">
        <v>4.927854</v>
      </c>
      <c r="L162" s="7">
        <v>4.9001878999999997</v>
      </c>
      <c r="M162" s="7">
        <v>4.2359651999999999</v>
      </c>
      <c r="N162" s="7">
        <v>4.4414623999999998</v>
      </c>
      <c r="O162" s="7">
        <v>4.1599614000000003</v>
      </c>
      <c r="P162" s="7">
        <v>4.6466181000000004</v>
      </c>
      <c r="Q162" s="7">
        <v>4.6235225</v>
      </c>
      <c r="R162" s="7">
        <v>4.7041484999999996</v>
      </c>
      <c r="S162" s="7">
        <v>3.736961</v>
      </c>
      <c r="T162" s="7">
        <v>3.7104705999999998</v>
      </c>
      <c r="U162" s="7">
        <v>3.6426585</v>
      </c>
      <c r="V162" s="7">
        <v>4.2036968000000003</v>
      </c>
      <c r="W162" s="7">
        <v>5.4456208999999998</v>
      </c>
      <c r="X162" s="7">
        <v>6.0915387000000001</v>
      </c>
      <c r="Y162" s="7">
        <v>5.9164566000000001</v>
      </c>
      <c r="Z162" s="7">
        <v>6.1484956999999998</v>
      </c>
      <c r="AA162" s="7">
        <v>5.5470271000000002</v>
      </c>
      <c r="AB162" s="7">
        <v>6.1085798999999996</v>
      </c>
      <c r="AC162" s="7">
        <v>5.5415307</v>
      </c>
      <c r="AD162" s="7">
        <v>5.0811552000000004</v>
      </c>
      <c r="AE162" s="7">
        <v>4.6533946999999998</v>
      </c>
      <c r="AF162" s="7">
        <v>4.7625923999999999</v>
      </c>
      <c r="AG162" s="7">
        <v>5.1867068999999999</v>
      </c>
      <c r="AH162" s="7">
        <v>4.7920442000000003</v>
      </c>
      <c r="AI162" s="7">
        <v>6.5215962000000003</v>
      </c>
      <c r="AJ162" s="7">
        <v>7.8867113</v>
      </c>
      <c r="AK162" s="7">
        <v>8.7837796000000008</v>
      </c>
      <c r="AL162" s="7">
        <v>8.5487807999999994</v>
      </c>
      <c r="AM162" s="7">
        <v>8.8409127999999999</v>
      </c>
      <c r="AN162" s="7">
        <v>8.9885213999999998</v>
      </c>
      <c r="AO162" s="7">
        <v>9.5313169000000002</v>
      </c>
      <c r="AP162" s="7">
        <v>8.6209840999999994</v>
      </c>
      <c r="AQ162" s="7">
        <v>9.4832774000000004</v>
      </c>
      <c r="AR162" s="7">
        <v>9.7372244000000006</v>
      </c>
      <c r="AS162" s="7">
        <v>8.1032205000000008</v>
      </c>
      <c r="AT162" s="7">
        <v>13.055</v>
      </c>
    </row>
    <row r="163" spans="1:46" x14ac:dyDescent="0.25">
      <c r="A163" s="4" t="s">
        <v>198</v>
      </c>
      <c r="B163" s="4" t="s">
        <v>207</v>
      </c>
      <c r="C163" s="4" t="s">
        <v>246</v>
      </c>
      <c r="D163" s="4" t="s">
        <v>263</v>
      </c>
      <c r="E163" s="4" t="s">
        <v>248</v>
      </c>
      <c r="F163" s="4" t="s">
        <v>195</v>
      </c>
      <c r="G163" s="4" t="s">
        <v>76</v>
      </c>
      <c r="H163" s="4" t="s">
        <v>252</v>
      </c>
      <c r="I163" s="16">
        <v>0.56200000000000006</v>
      </c>
      <c r="J163" s="16">
        <v>0.49399999999999999</v>
      </c>
      <c r="K163" s="16">
        <v>0.441</v>
      </c>
      <c r="L163" s="16">
        <v>0.41399999999999998</v>
      </c>
      <c r="M163" s="16">
        <v>0.54400000000000004</v>
      </c>
      <c r="N163" s="16">
        <v>0.41599999999999998</v>
      </c>
      <c r="O163" s="16">
        <v>0.45200000000000001</v>
      </c>
      <c r="P163" s="16">
        <v>0.46200000000000002</v>
      </c>
      <c r="Q163" s="16">
        <v>0.46800000000000003</v>
      </c>
      <c r="R163" s="16">
        <v>0.42499999999999999</v>
      </c>
      <c r="S163" s="16">
        <v>0.40200000000000002</v>
      </c>
      <c r="T163" s="16">
        <v>0.40300000000000002</v>
      </c>
      <c r="U163" s="16">
        <v>0.36899999999999999</v>
      </c>
      <c r="V163" s="16">
        <v>0.48799999999999999</v>
      </c>
      <c r="W163" s="16">
        <v>0.79</v>
      </c>
      <c r="X163" s="16">
        <v>0.60599999999999998</v>
      </c>
      <c r="Y163" s="16">
        <v>0.52300000000000002</v>
      </c>
      <c r="Z163" s="16">
        <v>0.64300000000000002</v>
      </c>
      <c r="AA163" s="16">
        <v>0.59599999999999997</v>
      </c>
      <c r="AB163" s="16">
        <v>0.54800000000000004</v>
      </c>
      <c r="AC163" s="16">
        <v>0.52700000000000002</v>
      </c>
      <c r="AD163" s="16">
        <v>0.53800000000000003</v>
      </c>
      <c r="AE163" s="16">
        <v>0.54800000000000004</v>
      </c>
      <c r="AF163" s="16">
        <v>0.47199999999999998</v>
      </c>
      <c r="AG163" s="16">
        <v>0.57799999999999996</v>
      </c>
      <c r="AH163" s="16">
        <v>0.61199999999999999</v>
      </c>
      <c r="AI163" s="16">
        <v>0.89900000000000002</v>
      </c>
      <c r="AJ163" s="16">
        <v>0.84799999999999998</v>
      </c>
      <c r="AK163" s="16">
        <v>0.66</v>
      </c>
      <c r="AL163" s="16">
        <v>0.76700000000000002</v>
      </c>
      <c r="AM163" s="16">
        <v>0.78100000000000003</v>
      </c>
      <c r="AN163" s="16">
        <v>0.97899999999999998</v>
      </c>
      <c r="AO163" s="16">
        <v>0.78700000000000003</v>
      </c>
      <c r="AP163" s="16">
        <v>0.80800000000000005</v>
      </c>
      <c r="AQ163" s="16">
        <v>0.92600000000000005</v>
      </c>
      <c r="AR163" s="16">
        <v>0.86099999999999999</v>
      </c>
      <c r="AS163" s="16">
        <v>0.85399999999999998</v>
      </c>
      <c r="AT163" s="7">
        <v>8.1032205000000008</v>
      </c>
    </row>
    <row r="164" spans="1:46" x14ac:dyDescent="0.25">
      <c r="A164" s="4" t="s">
        <v>198</v>
      </c>
      <c r="B164" s="4" t="s">
        <v>207</v>
      </c>
      <c r="C164" s="4" t="s">
        <v>246</v>
      </c>
      <c r="D164" s="4" t="s">
        <v>263</v>
      </c>
      <c r="E164" s="4" t="s">
        <v>248</v>
      </c>
      <c r="F164" s="4" t="s">
        <v>195</v>
      </c>
      <c r="G164" s="4" t="s">
        <v>85</v>
      </c>
      <c r="H164" s="4" t="s">
        <v>151</v>
      </c>
      <c r="I164" s="5">
        <v>2408.8939999999998</v>
      </c>
      <c r="J164" s="5">
        <v>2654.1210000000001</v>
      </c>
      <c r="K164" s="5">
        <v>4238.2610000000004</v>
      </c>
      <c r="L164" s="5">
        <v>6635.4040000000005</v>
      </c>
      <c r="M164" s="5">
        <v>6504.2780000000002</v>
      </c>
      <c r="N164" s="5">
        <v>5519.915</v>
      </c>
      <c r="O164" s="5">
        <v>4922.7950000000001</v>
      </c>
      <c r="P164" s="5">
        <v>5085.5659999999998</v>
      </c>
      <c r="Q164" s="5">
        <v>3538.3449999999998</v>
      </c>
      <c r="R164" s="5">
        <v>2831.1819999999998</v>
      </c>
      <c r="S164" s="5">
        <v>2160.2939999999999</v>
      </c>
      <c r="T164" s="5">
        <v>2477.5569999999998</v>
      </c>
      <c r="U164" s="5">
        <v>2296.2240000000002</v>
      </c>
      <c r="V164" s="5">
        <v>2429.1239999999998</v>
      </c>
      <c r="W164" s="5">
        <v>3388.462</v>
      </c>
      <c r="X164" s="5">
        <v>4388.4610000000002</v>
      </c>
      <c r="Y164" s="5">
        <v>7599.0749999999998</v>
      </c>
      <c r="Z164" s="5">
        <v>7487.9219999999996</v>
      </c>
      <c r="AA164" s="5">
        <v>9075.8979999999992</v>
      </c>
      <c r="AB164" s="5">
        <v>7611.277</v>
      </c>
      <c r="AC164" s="5">
        <v>5929.6469999999999</v>
      </c>
      <c r="AD164" s="5">
        <v>4561.1220000000003</v>
      </c>
      <c r="AE164" s="5">
        <v>5057.2340000000004</v>
      </c>
      <c r="AF164" s="5">
        <v>3511.7069999999999</v>
      </c>
      <c r="AG164" s="5">
        <v>4557.335</v>
      </c>
      <c r="AH164" s="5">
        <v>4650.067</v>
      </c>
      <c r="AI164" s="5">
        <v>5373.549</v>
      </c>
      <c r="AJ164" s="5">
        <v>8002.26</v>
      </c>
      <c r="AK164" s="5">
        <v>10751.663</v>
      </c>
      <c r="AL164" s="5">
        <v>10460.36</v>
      </c>
      <c r="AM164" s="5">
        <v>13996.334000000001</v>
      </c>
      <c r="AN164" s="5">
        <v>14743.380999999999</v>
      </c>
      <c r="AO164" s="5">
        <v>11512.851000000001</v>
      </c>
      <c r="AP164" s="5">
        <v>8477.8760000000002</v>
      </c>
      <c r="AQ164" s="5">
        <v>6472.7079999999996</v>
      </c>
      <c r="AR164" s="5">
        <v>5390.4679999999998</v>
      </c>
      <c r="AS164" s="5">
        <v>4249.3230000000003</v>
      </c>
      <c r="AT164" s="5">
        <v>91006.32</v>
      </c>
    </row>
    <row r="165" spans="1:46" x14ac:dyDescent="0.25">
      <c r="A165" s="4" t="s">
        <v>198</v>
      </c>
      <c r="B165" s="4" t="s">
        <v>207</v>
      </c>
      <c r="C165" s="4" t="s">
        <v>246</v>
      </c>
      <c r="D165" s="4" t="s">
        <v>263</v>
      </c>
      <c r="E165" s="4" t="s">
        <v>248</v>
      </c>
      <c r="F165" s="4" t="s">
        <v>195</v>
      </c>
      <c r="G165" s="4" t="s">
        <v>85</v>
      </c>
      <c r="H165" s="4" t="s">
        <v>205</v>
      </c>
      <c r="I165" s="6">
        <v>441188.41200000001</v>
      </c>
      <c r="J165" s="6">
        <v>488349.82400000002</v>
      </c>
      <c r="K165" s="6">
        <v>822167.505</v>
      </c>
      <c r="L165" s="6">
        <v>1303587.371</v>
      </c>
      <c r="M165" s="6">
        <v>1320880.037</v>
      </c>
      <c r="N165" s="6">
        <v>1099229.9369999999</v>
      </c>
      <c r="O165" s="6">
        <v>1006427.8</v>
      </c>
      <c r="P165" s="6">
        <v>1027491.624</v>
      </c>
      <c r="Q165" s="6">
        <v>674912.99100000004</v>
      </c>
      <c r="R165" s="6">
        <v>595411.01199999999</v>
      </c>
      <c r="S165" s="6">
        <v>442751.755</v>
      </c>
      <c r="T165" s="6">
        <v>512086.19799999997</v>
      </c>
      <c r="U165" s="6">
        <v>463199.81400000001</v>
      </c>
      <c r="V165" s="6">
        <v>514367.80900000001</v>
      </c>
      <c r="W165" s="6">
        <v>672586.51199999999</v>
      </c>
      <c r="X165" s="6">
        <v>846343.20499999996</v>
      </c>
      <c r="Y165" s="6">
        <v>1452123.639</v>
      </c>
      <c r="Z165" s="6">
        <v>1411737.794</v>
      </c>
      <c r="AA165" s="6">
        <v>1618103.8959999999</v>
      </c>
      <c r="AB165" s="6">
        <v>1340576.5560000001</v>
      </c>
      <c r="AC165" s="6">
        <v>1090481.591</v>
      </c>
      <c r="AD165" s="6">
        <v>829957.30200000003</v>
      </c>
      <c r="AE165" s="6">
        <v>827347.50899999996</v>
      </c>
      <c r="AF165" s="6">
        <v>642853.18500000006</v>
      </c>
      <c r="AG165" s="6">
        <v>873720.84400000004</v>
      </c>
      <c r="AH165" s="6">
        <v>881128.64300000004</v>
      </c>
      <c r="AI165" s="6">
        <v>1115097.5930000001</v>
      </c>
      <c r="AJ165" s="6">
        <v>1586251.3430000001</v>
      </c>
      <c r="AK165" s="6">
        <v>2111244.7960000001</v>
      </c>
      <c r="AL165" s="6">
        <v>2105841.0980000002</v>
      </c>
      <c r="AM165" s="6">
        <v>2700109.0159999998</v>
      </c>
      <c r="AN165" s="6">
        <v>2750553.1310000001</v>
      </c>
      <c r="AO165" s="6">
        <v>2199168.6329999999</v>
      </c>
      <c r="AP165" s="6">
        <v>1569054.7819999999</v>
      </c>
      <c r="AQ165" s="6">
        <v>1245393.8149999999</v>
      </c>
      <c r="AR165" s="6">
        <v>1018976.189</v>
      </c>
      <c r="AS165" s="6">
        <v>785965.74800000002</v>
      </c>
      <c r="AT165" s="6">
        <v>785965.74800000002</v>
      </c>
    </row>
    <row r="166" spans="1:46" x14ac:dyDescent="0.25">
      <c r="A166" s="4" t="s">
        <v>198</v>
      </c>
      <c r="B166" s="4" t="s">
        <v>207</v>
      </c>
      <c r="C166" s="4" t="s">
        <v>246</v>
      </c>
      <c r="D166" s="4" t="s">
        <v>263</v>
      </c>
      <c r="E166" s="4" t="s">
        <v>248</v>
      </c>
      <c r="F166" s="4" t="s">
        <v>195</v>
      </c>
      <c r="G166" s="4" t="s">
        <v>85</v>
      </c>
      <c r="H166" s="4" t="s">
        <v>249</v>
      </c>
      <c r="I166" s="7">
        <v>0.27300000000000002</v>
      </c>
      <c r="J166" s="7">
        <v>0.22600000000000001</v>
      </c>
      <c r="K166" s="7">
        <v>0.3</v>
      </c>
      <c r="L166" s="7">
        <v>0.36599999999999999</v>
      </c>
      <c r="M166" s="7">
        <v>0.32200000000000001</v>
      </c>
      <c r="N166" s="7">
        <v>0.23899999999999999</v>
      </c>
      <c r="O166" s="7">
        <v>0.218</v>
      </c>
      <c r="P166" s="7">
        <v>0.28499999999999998</v>
      </c>
      <c r="Q166" s="7">
        <v>0.218</v>
      </c>
      <c r="R166" s="7">
        <v>0.26700000000000002</v>
      </c>
      <c r="S166" s="7">
        <v>0.25700000000000001</v>
      </c>
      <c r="T166" s="7">
        <v>0.317</v>
      </c>
      <c r="U166" s="7">
        <v>0.30499999999999999</v>
      </c>
      <c r="V166" s="7">
        <v>0.27700000000000002</v>
      </c>
      <c r="W166" s="7">
        <v>0.26300000000000001</v>
      </c>
      <c r="X166" s="7">
        <v>0.245</v>
      </c>
      <c r="Y166" s="7">
        <v>0.34100000000000003</v>
      </c>
      <c r="Z166" s="7">
        <v>0.35399999999999998</v>
      </c>
      <c r="AA166" s="7">
        <v>0.40699999999999997</v>
      </c>
      <c r="AB166" s="7">
        <v>0.40699999999999997</v>
      </c>
      <c r="AC166" s="7">
        <v>0.39100000000000001</v>
      </c>
      <c r="AD166" s="7">
        <v>0.35099999999999998</v>
      </c>
      <c r="AE166" s="7">
        <v>0.40200000000000002</v>
      </c>
      <c r="AF166" s="7">
        <v>0.33900000000000002</v>
      </c>
      <c r="AG166" s="7">
        <v>0.376</v>
      </c>
      <c r="AH166" s="7">
        <v>0.34499999999999997</v>
      </c>
      <c r="AI166" s="7">
        <v>0.34499999999999997</v>
      </c>
      <c r="AJ166" s="7">
        <v>0.41099999999999998</v>
      </c>
      <c r="AK166" s="7">
        <v>0.45</v>
      </c>
      <c r="AL166" s="7">
        <v>0.44600000000000001</v>
      </c>
      <c r="AM166" s="7">
        <v>0.47599999999999998</v>
      </c>
      <c r="AN166" s="7">
        <v>0.57899999999999996</v>
      </c>
      <c r="AO166" s="7">
        <v>0.51800000000000002</v>
      </c>
      <c r="AP166" s="7">
        <v>0.42799999999999999</v>
      </c>
      <c r="AQ166" s="7">
        <v>0.40100000000000002</v>
      </c>
      <c r="AR166" s="7">
        <v>0.48799999999999999</v>
      </c>
      <c r="AS166" s="7">
        <v>0.52</v>
      </c>
      <c r="AT166" s="7">
        <v>26.815000000000001</v>
      </c>
    </row>
    <row r="167" spans="1:46" x14ac:dyDescent="0.25">
      <c r="A167" s="4" t="s">
        <v>198</v>
      </c>
      <c r="B167" s="4" t="s">
        <v>207</v>
      </c>
      <c r="C167" s="4" t="s">
        <v>246</v>
      </c>
      <c r="D167" s="4" t="s">
        <v>263</v>
      </c>
      <c r="E167" s="4" t="s">
        <v>248</v>
      </c>
      <c r="F167" s="4" t="s">
        <v>195</v>
      </c>
      <c r="G167" s="4" t="s">
        <v>85</v>
      </c>
      <c r="H167" s="4" t="s">
        <v>250</v>
      </c>
      <c r="I167" s="7">
        <v>45.344999999999999</v>
      </c>
      <c r="J167" s="7">
        <v>47.088999999999999</v>
      </c>
      <c r="K167" s="7">
        <v>52.695999999999998</v>
      </c>
      <c r="L167" s="7">
        <v>57.917000000000002</v>
      </c>
      <c r="M167" s="7">
        <v>53.158999999999999</v>
      </c>
      <c r="N167" s="7">
        <v>49.225999999999999</v>
      </c>
      <c r="O167" s="7">
        <v>46.213000000000001</v>
      </c>
      <c r="P167" s="7">
        <v>46.484999999999999</v>
      </c>
      <c r="Q167" s="7">
        <v>43.752000000000002</v>
      </c>
      <c r="R167" s="7">
        <v>42.271999999999998</v>
      </c>
      <c r="S167" s="7">
        <v>45.82</v>
      </c>
      <c r="T167" s="7">
        <v>48.02</v>
      </c>
      <c r="U167" s="7">
        <v>48.204999999999998</v>
      </c>
      <c r="V167" s="7">
        <v>53.631999999999998</v>
      </c>
      <c r="W167" s="7">
        <v>56.966000000000001</v>
      </c>
      <c r="X167" s="7">
        <v>52.591999999999999</v>
      </c>
      <c r="Y167" s="7">
        <v>59.73</v>
      </c>
      <c r="Z167" s="7">
        <v>59.661000000000001</v>
      </c>
      <c r="AA167" s="7">
        <v>61.604999999999997</v>
      </c>
      <c r="AB167" s="7">
        <v>55.21</v>
      </c>
      <c r="AC167" s="7">
        <v>56.04</v>
      </c>
      <c r="AD167" s="7">
        <v>57.875999999999998</v>
      </c>
      <c r="AE167" s="7">
        <v>60.682000000000002</v>
      </c>
      <c r="AF167" s="7">
        <v>55.749000000000002</v>
      </c>
      <c r="AG167" s="7">
        <v>59.923999999999999</v>
      </c>
      <c r="AH167" s="7">
        <v>53.860999999999997</v>
      </c>
      <c r="AI167" s="7">
        <v>59.036999999999999</v>
      </c>
      <c r="AJ167" s="7">
        <v>61.447000000000003</v>
      </c>
      <c r="AK167" s="7">
        <v>66.123000000000005</v>
      </c>
      <c r="AL167" s="7">
        <v>70.941000000000003</v>
      </c>
      <c r="AM167" s="7">
        <v>72.058999999999997</v>
      </c>
      <c r="AN167" s="7">
        <v>66.308000000000007</v>
      </c>
      <c r="AO167" s="7">
        <v>61.012999999999998</v>
      </c>
      <c r="AP167" s="7">
        <v>56.942</v>
      </c>
      <c r="AQ167" s="7">
        <v>54.325000000000003</v>
      </c>
      <c r="AR167" s="7">
        <v>49.677</v>
      </c>
      <c r="AS167" s="7">
        <v>50.948</v>
      </c>
      <c r="AT167" s="5">
        <v>190434.15400000001</v>
      </c>
    </row>
    <row r="168" spans="1:46" x14ac:dyDescent="0.25">
      <c r="A168" s="4" t="s">
        <v>198</v>
      </c>
      <c r="B168" s="4" t="s">
        <v>207</v>
      </c>
      <c r="C168" s="4" t="s">
        <v>246</v>
      </c>
      <c r="D168" s="4" t="s">
        <v>263</v>
      </c>
      <c r="E168" s="4" t="s">
        <v>248</v>
      </c>
      <c r="F168" s="4" t="s">
        <v>195</v>
      </c>
      <c r="G168" s="4" t="s">
        <v>85</v>
      </c>
      <c r="H168" s="4" t="s">
        <v>251</v>
      </c>
      <c r="I168" s="7">
        <v>28.6862621</v>
      </c>
      <c r="J168" s="7">
        <v>29.8166291</v>
      </c>
      <c r="K168" s="7">
        <v>30.157136099999999</v>
      </c>
      <c r="L168" s="7">
        <v>33.007983899999999</v>
      </c>
      <c r="M168" s="7">
        <v>30.249279699999999</v>
      </c>
      <c r="N168" s="7">
        <v>30.815727599999999</v>
      </c>
      <c r="O168" s="7">
        <v>31.552907300000001</v>
      </c>
      <c r="P168" s="7">
        <v>31.1396549</v>
      </c>
      <c r="Q168" s="7">
        <v>27.671508899999999</v>
      </c>
      <c r="R168" s="7">
        <v>27.020394899999999</v>
      </c>
      <c r="S168" s="7">
        <v>26.152639799999999</v>
      </c>
      <c r="T168" s="7">
        <v>26.890446399999998</v>
      </c>
      <c r="U168" s="7">
        <v>27.034122700000001</v>
      </c>
      <c r="V168" s="7">
        <v>28.451616099999999</v>
      </c>
      <c r="W168" s="7">
        <v>30.706320300000002</v>
      </c>
      <c r="X168" s="7">
        <v>32.080179899999997</v>
      </c>
      <c r="Y168" s="7">
        <v>38.729082699999999</v>
      </c>
      <c r="Z168" s="7">
        <v>37.698277300000001</v>
      </c>
      <c r="AA168" s="7">
        <v>36.901358000000002</v>
      </c>
      <c r="AB168" s="7">
        <v>35.174053600000001</v>
      </c>
      <c r="AC168" s="7">
        <v>32.718068700000003</v>
      </c>
      <c r="AD168" s="7">
        <v>34.193887400000001</v>
      </c>
      <c r="AE168" s="7">
        <v>33.569785000000003</v>
      </c>
      <c r="AF168" s="7">
        <v>31.523796999999998</v>
      </c>
      <c r="AG168" s="7">
        <v>33.5033016</v>
      </c>
      <c r="AH168" s="7">
        <v>33.930066799999999</v>
      </c>
      <c r="AI168" s="7">
        <v>33.884039799999996</v>
      </c>
      <c r="AJ168" s="7">
        <v>36.001209299999999</v>
      </c>
      <c r="AK168" s="7">
        <v>41.280293</v>
      </c>
      <c r="AL168" s="7">
        <v>43.433334899999998</v>
      </c>
      <c r="AM168" s="7">
        <v>43.029206600000002</v>
      </c>
      <c r="AN168" s="7">
        <v>39.187550999999999</v>
      </c>
      <c r="AO168" s="7">
        <v>38.424245300000003</v>
      </c>
      <c r="AP168" s="7">
        <v>36.177058100000004</v>
      </c>
      <c r="AQ168" s="7">
        <v>34.4492014</v>
      </c>
      <c r="AR168" s="7">
        <v>33.398961399999997</v>
      </c>
      <c r="AS168" s="7">
        <v>32.608619099999999</v>
      </c>
      <c r="AT168" s="7">
        <v>50.948</v>
      </c>
    </row>
    <row r="169" spans="1:46" x14ac:dyDescent="0.25">
      <c r="A169" s="4" t="s">
        <v>198</v>
      </c>
      <c r="B169" s="4" t="s">
        <v>207</v>
      </c>
      <c r="C169" s="4" t="s">
        <v>246</v>
      </c>
      <c r="D169" s="4" t="s">
        <v>263</v>
      </c>
      <c r="E169" s="4" t="s">
        <v>248</v>
      </c>
      <c r="F169" s="4" t="s">
        <v>195</v>
      </c>
      <c r="G169" s="4" t="s">
        <v>85</v>
      </c>
      <c r="H169" s="4" t="s">
        <v>252</v>
      </c>
      <c r="I169" s="16">
        <v>3.2410000000000001</v>
      </c>
      <c r="J169" s="16">
        <v>4.1230000000000002</v>
      </c>
      <c r="K169" s="16">
        <v>3.883</v>
      </c>
      <c r="L169" s="16">
        <v>3.1269999999999998</v>
      </c>
      <c r="M169" s="16">
        <v>2.835</v>
      </c>
      <c r="N169" s="16">
        <v>2.6880000000000002</v>
      </c>
      <c r="O169" s="16">
        <v>2.8959999999999999</v>
      </c>
      <c r="P169" s="16">
        <v>3.0649999999999999</v>
      </c>
      <c r="Q169" s="16">
        <v>2.855</v>
      </c>
      <c r="R169" s="16">
        <v>3.6629999999999998</v>
      </c>
      <c r="S169" s="16">
        <v>3.552</v>
      </c>
      <c r="T169" s="16">
        <v>3.8159999999999998</v>
      </c>
      <c r="U169" s="16">
        <v>3.8210000000000002</v>
      </c>
      <c r="V169" s="16">
        <v>3.8319999999999999</v>
      </c>
      <c r="W169" s="16">
        <v>4.1280000000000001</v>
      </c>
      <c r="X169" s="16">
        <v>4.8319999999999999</v>
      </c>
      <c r="Y169" s="16">
        <v>5.3730000000000002</v>
      </c>
      <c r="Z169" s="16">
        <v>5.5140000000000002</v>
      </c>
      <c r="AA169" s="16">
        <v>5.6470000000000002</v>
      </c>
      <c r="AB169" s="16">
        <v>4.6669999999999998</v>
      </c>
      <c r="AC169" s="16">
        <v>4.9580000000000002</v>
      </c>
      <c r="AD169" s="16">
        <v>4.952</v>
      </c>
      <c r="AE169" s="16">
        <v>5.4749999999999996</v>
      </c>
      <c r="AF169" s="16">
        <v>4.9960000000000004</v>
      </c>
      <c r="AG169" s="16">
        <v>4.758</v>
      </c>
      <c r="AH169" s="16">
        <v>3.823</v>
      </c>
      <c r="AI169" s="16">
        <v>3.5019999999999998</v>
      </c>
      <c r="AJ169" s="16">
        <v>3.9020000000000001</v>
      </c>
      <c r="AK169" s="16">
        <v>3.758</v>
      </c>
      <c r="AL169" s="16">
        <v>4.4119999999999999</v>
      </c>
      <c r="AM169" s="16">
        <v>4.298</v>
      </c>
      <c r="AN169" s="16">
        <v>5.2240000000000002</v>
      </c>
      <c r="AO169" s="16">
        <v>4.8940000000000001</v>
      </c>
      <c r="AP169" s="16">
        <v>4.5839999999999996</v>
      </c>
      <c r="AQ169" s="16">
        <v>4.3390000000000004</v>
      </c>
      <c r="AR169" s="16">
        <v>4.7350000000000003</v>
      </c>
      <c r="AS169" s="16">
        <v>4.6870000000000003</v>
      </c>
      <c r="AT169" s="7">
        <v>32.608619099999999</v>
      </c>
    </row>
    <row r="170" spans="1:46" x14ac:dyDescent="0.25">
      <c r="A170" s="4" t="s">
        <v>198</v>
      </c>
      <c r="B170" s="4" t="s">
        <v>207</v>
      </c>
      <c r="C170" s="4" t="s">
        <v>246</v>
      </c>
      <c r="D170" s="4" t="s">
        <v>265</v>
      </c>
      <c r="E170" s="4" t="s">
        <v>266</v>
      </c>
      <c r="F170" s="4" t="s">
        <v>195</v>
      </c>
      <c r="G170" s="4" t="s">
        <v>93</v>
      </c>
      <c r="H170" s="4" t="s">
        <v>151</v>
      </c>
      <c r="I170" s="5">
        <v>431.87400000000002</v>
      </c>
      <c r="J170" s="5">
        <v>907.03200000000004</v>
      </c>
      <c r="K170" s="5">
        <v>898.32600000000002</v>
      </c>
      <c r="L170" s="5">
        <v>1087.335</v>
      </c>
      <c r="M170" s="5">
        <v>1973.0820000000001</v>
      </c>
      <c r="N170" s="5">
        <v>1796.931</v>
      </c>
      <c r="O170" s="5">
        <v>1502.8679999999999</v>
      </c>
      <c r="P170" s="5">
        <v>1492.2529999999999</v>
      </c>
      <c r="Q170" s="5">
        <v>1312.758</v>
      </c>
      <c r="R170" s="5">
        <v>544.99300000000005</v>
      </c>
      <c r="S170" s="5">
        <v>605.65300000000002</v>
      </c>
      <c r="T170" s="5">
        <v>816.553</v>
      </c>
      <c r="U170" s="5">
        <v>773.58900000000006</v>
      </c>
      <c r="V170" s="5">
        <v>1053.482</v>
      </c>
      <c r="W170" s="5">
        <v>1206.9259999999999</v>
      </c>
      <c r="X170" s="5">
        <v>1479.9960000000001</v>
      </c>
      <c r="Y170" s="5">
        <v>2406.904</v>
      </c>
      <c r="Z170" s="5">
        <v>2398.8760000000002</v>
      </c>
      <c r="AA170" s="5">
        <v>2633.6309999999999</v>
      </c>
      <c r="AB170" s="5">
        <v>1349.586</v>
      </c>
      <c r="AC170" s="5">
        <v>800.23699999999997</v>
      </c>
      <c r="AD170" s="5">
        <v>570.18899999999996</v>
      </c>
      <c r="AE170" s="5">
        <v>594.51</v>
      </c>
      <c r="AF170" s="5">
        <v>504.00799999999998</v>
      </c>
      <c r="AG170" s="5">
        <v>482.02300000000002</v>
      </c>
      <c r="AH170" s="5">
        <v>686.43200000000002</v>
      </c>
      <c r="AI170" s="5">
        <v>714.09799999999996</v>
      </c>
      <c r="AJ170" s="5">
        <v>842.46400000000006</v>
      </c>
      <c r="AK170" s="5">
        <v>1171.434</v>
      </c>
      <c r="AL170" s="5">
        <v>1005.3869999999999</v>
      </c>
      <c r="AM170" s="5">
        <v>1543.8820000000001</v>
      </c>
      <c r="AN170" s="5">
        <v>1015.696</v>
      </c>
      <c r="AO170" s="5">
        <v>1134.6859999999999</v>
      </c>
      <c r="AP170" s="5">
        <v>648.08900000000006</v>
      </c>
      <c r="AQ170" s="5">
        <v>345.94900000000001</v>
      </c>
      <c r="AR170" s="5">
        <v>290.81799999999998</v>
      </c>
      <c r="AS170" s="5">
        <v>335.36500000000001</v>
      </c>
      <c r="AT170" s="5">
        <v>335.36500000000001</v>
      </c>
    </row>
    <row r="171" spans="1:46" x14ac:dyDescent="0.25">
      <c r="A171" s="4" t="s">
        <v>198</v>
      </c>
      <c r="B171" s="4" t="s">
        <v>207</v>
      </c>
      <c r="C171" s="4" t="s">
        <v>246</v>
      </c>
      <c r="D171" s="4" t="s">
        <v>265</v>
      </c>
      <c r="E171" s="4" t="s">
        <v>266</v>
      </c>
      <c r="F171" s="4" t="s">
        <v>195</v>
      </c>
      <c r="G171" s="4" t="s">
        <v>93</v>
      </c>
      <c r="H171" s="4" t="s">
        <v>205</v>
      </c>
      <c r="I171" s="6">
        <v>83973.775999999998</v>
      </c>
      <c r="J171" s="6">
        <v>175012.22</v>
      </c>
      <c r="K171" s="6">
        <v>166796.44399999999</v>
      </c>
      <c r="L171" s="6">
        <v>196744.98499999999</v>
      </c>
      <c r="M171" s="6">
        <v>399825.85</v>
      </c>
      <c r="N171" s="6">
        <v>373954.48599999998</v>
      </c>
      <c r="O171" s="6">
        <v>302220.57299999997</v>
      </c>
      <c r="P171" s="6">
        <v>334939.81300000002</v>
      </c>
      <c r="Q171" s="6">
        <v>285904.26400000002</v>
      </c>
      <c r="R171" s="6">
        <v>115508.717</v>
      </c>
      <c r="S171" s="6">
        <v>120861.83500000001</v>
      </c>
      <c r="T171" s="6">
        <v>161123.785</v>
      </c>
      <c r="U171" s="6">
        <v>160730.53</v>
      </c>
      <c r="V171" s="6">
        <v>229665.435</v>
      </c>
      <c r="W171" s="6">
        <v>251716.00099999999</v>
      </c>
      <c r="X171" s="6">
        <v>287800.08399999997</v>
      </c>
      <c r="Y171" s="6">
        <v>495083.92200000002</v>
      </c>
      <c r="Z171" s="6">
        <v>490069.23499999999</v>
      </c>
      <c r="AA171" s="6">
        <v>545240.277</v>
      </c>
      <c r="AB171" s="6">
        <v>290373.25300000003</v>
      </c>
      <c r="AC171" s="6">
        <v>168276.872</v>
      </c>
      <c r="AD171" s="6">
        <v>118016.2</v>
      </c>
      <c r="AE171" s="6">
        <v>122595.716</v>
      </c>
      <c r="AF171" s="6">
        <v>104573.58500000001</v>
      </c>
      <c r="AG171" s="6">
        <v>99287.195999999996</v>
      </c>
      <c r="AH171" s="6">
        <v>135184.09099999999</v>
      </c>
      <c r="AI171" s="6">
        <v>141144.946</v>
      </c>
      <c r="AJ171" s="6">
        <v>168017.85</v>
      </c>
      <c r="AK171" s="6">
        <v>239620.31299999999</v>
      </c>
      <c r="AL171" s="6">
        <v>197493.742</v>
      </c>
      <c r="AM171" s="6">
        <v>305024.44099999999</v>
      </c>
      <c r="AN171" s="6">
        <v>195322.06700000001</v>
      </c>
      <c r="AO171" s="6">
        <v>220493.872</v>
      </c>
      <c r="AP171" s="6">
        <v>118651.31600000001</v>
      </c>
      <c r="AQ171" s="6">
        <v>65139.885000000002</v>
      </c>
      <c r="AR171" s="6">
        <v>59244.156999999999</v>
      </c>
      <c r="AS171" s="6">
        <v>61297.231</v>
      </c>
      <c r="AT171" s="6">
        <v>61297.231</v>
      </c>
    </row>
    <row r="172" spans="1:46" x14ac:dyDescent="0.25">
      <c r="A172" s="4" t="s">
        <v>198</v>
      </c>
      <c r="B172" s="4" t="s">
        <v>207</v>
      </c>
      <c r="C172" s="4" t="s">
        <v>246</v>
      </c>
      <c r="D172" s="4" t="s">
        <v>265</v>
      </c>
      <c r="E172" s="4" t="s">
        <v>266</v>
      </c>
      <c r="F172" s="4" t="s">
        <v>195</v>
      </c>
      <c r="G172" s="4" t="s">
        <v>93</v>
      </c>
      <c r="H172" s="4" t="s">
        <v>249</v>
      </c>
      <c r="I172" s="7">
        <v>0.74299999999999999</v>
      </c>
      <c r="J172" s="7">
        <v>1.2869999999999999</v>
      </c>
      <c r="K172" s="7">
        <v>1.087</v>
      </c>
      <c r="L172" s="7">
        <v>0.96299999999999997</v>
      </c>
      <c r="M172" s="7">
        <v>1.5609999999999999</v>
      </c>
      <c r="N172" s="7">
        <v>1.3009999999999999</v>
      </c>
      <c r="O172" s="7">
        <v>1.123</v>
      </c>
      <c r="P172" s="7">
        <v>1.42</v>
      </c>
      <c r="Q172" s="7">
        <v>1.536</v>
      </c>
      <c r="R172" s="7">
        <v>0.88500000000000001</v>
      </c>
      <c r="S172" s="7">
        <v>1.1519999999999999</v>
      </c>
      <c r="T172" s="7">
        <v>1.7070000000000001</v>
      </c>
      <c r="U172" s="7">
        <v>1.6559999999999999</v>
      </c>
      <c r="V172" s="7">
        <v>2.0019999999999998</v>
      </c>
      <c r="W172" s="7">
        <v>1.556</v>
      </c>
      <c r="X172" s="7">
        <v>1.399</v>
      </c>
      <c r="Y172" s="7">
        <v>1.821</v>
      </c>
      <c r="Z172" s="7">
        <v>1.9319999999999999</v>
      </c>
      <c r="AA172" s="7">
        <v>2.0249999999999999</v>
      </c>
      <c r="AB172" s="7">
        <v>1.2509999999999999</v>
      </c>
      <c r="AC172" s="7">
        <v>0.81</v>
      </c>
      <c r="AD172" s="7">
        <v>0.71</v>
      </c>
      <c r="AE172" s="7">
        <v>0.84899999999999998</v>
      </c>
      <c r="AF172" s="7">
        <v>0.73599999999999999</v>
      </c>
      <c r="AG172" s="7">
        <v>0.67200000000000004</v>
      </c>
      <c r="AH172" s="7">
        <v>0.83599999999999997</v>
      </c>
      <c r="AI172" s="7">
        <v>0.7</v>
      </c>
      <c r="AJ172" s="7">
        <v>0.68899999999999995</v>
      </c>
      <c r="AK172" s="7">
        <v>0.84699999999999998</v>
      </c>
      <c r="AL172" s="7">
        <v>0.69699999999999995</v>
      </c>
      <c r="AM172" s="7">
        <v>0.88400000000000001</v>
      </c>
      <c r="AN172" s="7">
        <v>0.64700000000000002</v>
      </c>
      <c r="AO172" s="7">
        <v>0.85099999999999998</v>
      </c>
      <c r="AP172" s="7">
        <v>0.54800000000000004</v>
      </c>
      <c r="AQ172" s="7">
        <v>0.35899999999999999</v>
      </c>
      <c r="AR172" s="7">
        <v>0.42299999999999999</v>
      </c>
      <c r="AS172" s="7">
        <v>0.72299999999999998</v>
      </c>
      <c r="AT172" s="7">
        <v>9.9000000000000005E-2</v>
      </c>
    </row>
    <row r="173" spans="1:46" x14ac:dyDescent="0.25">
      <c r="A173" s="4" t="s">
        <v>198</v>
      </c>
      <c r="B173" s="4" t="s">
        <v>207</v>
      </c>
      <c r="C173" s="4" t="s">
        <v>246</v>
      </c>
      <c r="D173" s="4" t="s">
        <v>265</v>
      </c>
      <c r="E173" s="4" t="s">
        <v>266</v>
      </c>
      <c r="F173" s="4" t="s">
        <v>195</v>
      </c>
      <c r="G173" s="4" t="s">
        <v>93</v>
      </c>
      <c r="H173" s="4" t="s">
        <v>250</v>
      </c>
      <c r="I173" s="7">
        <v>15.541</v>
      </c>
      <c r="J173" s="7">
        <v>16.779</v>
      </c>
      <c r="K173" s="7">
        <v>12.412000000000001</v>
      </c>
      <c r="L173" s="7">
        <v>10.855</v>
      </c>
      <c r="M173" s="7">
        <v>14.718</v>
      </c>
      <c r="N173" s="7">
        <v>13.92</v>
      </c>
      <c r="O173" s="7">
        <v>18.213999999999999</v>
      </c>
      <c r="P173" s="7">
        <v>16.353999999999999</v>
      </c>
      <c r="Q173" s="7">
        <v>15.742000000000001</v>
      </c>
      <c r="R173" s="7">
        <v>18.326000000000001</v>
      </c>
      <c r="S173" s="7">
        <v>18.969000000000001</v>
      </c>
      <c r="T173" s="7">
        <v>18.224</v>
      </c>
      <c r="U173" s="7">
        <v>18.812000000000001</v>
      </c>
      <c r="V173" s="7">
        <v>23.832000000000001</v>
      </c>
      <c r="W173" s="7">
        <v>25.574999999999999</v>
      </c>
      <c r="X173" s="7">
        <v>23.817</v>
      </c>
      <c r="Y173" s="7">
        <v>23.3</v>
      </c>
      <c r="Z173" s="7">
        <v>21.896000000000001</v>
      </c>
      <c r="AA173" s="7">
        <v>23.556000000000001</v>
      </c>
      <c r="AB173" s="7">
        <v>14.367000000000001</v>
      </c>
      <c r="AC173" s="7">
        <v>13.36</v>
      </c>
      <c r="AD173" s="7">
        <v>10.888</v>
      </c>
      <c r="AE173" s="7">
        <v>9.2910000000000004</v>
      </c>
      <c r="AF173" s="7">
        <v>12.022</v>
      </c>
      <c r="AG173" s="7">
        <v>11.054</v>
      </c>
      <c r="AH173" s="7">
        <v>10.487</v>
      </c>
      <c r="AI173" s="7">
        <v>9.3140000000000001</v>
      </c>
      <c r="AJ173" s="7">
        <v>9.7810000000000006</v>
      </c>
      <c r="AK173" s="7">
        <v>14.433</v>
      </c>
      <c r="AL173" s="7">
        <v>13.781000000000001</v>
      </c>
      <c r="AM173" s="7">
        <v>13.355</v>
      </c>
      <c r="AN173" s="7">
        <v>14.015000000000001</v>
      </c>
      <c r="AO173" s="7">
        <v>11.183</v>
      </c>
      <c r="AP173" s="7">
        <v>7.8319999999999999</v>
      </c>
      <c r="AQ173" s="7">
        <v>6.891</v>
      </c>
      <c r="AR173" s="7">
        <v>6.3869999999999996</v>
      </c>
      <c r="AS173" s="7">
        <v>7.4089999999999998</v>
      </c>
      <c r="AT173" s="5">
        <v>591.12400000000002</v>
      </c>
    </row>
    <row r="174" spans="1:46" x14ac:dyDescent="0.25">
      <c r="A174" s="4" t="s">
        <v>198</v>
      </c>
      <c r="B174" s="4" t="s">
        <v>207</v>
      </c>
      <c r="C174" s="4" t="s">
        <v>246</v>
      </c>
      <c r="D174" s="4" t="s">
        <v>265</v>
      </c>
      <c r="E174" s="4" t="s">
        <v>266</v>
      </c>
      <c r="F174" s="4" t="s">
        <v>195</v>
      </c>
      <c r="G174" s="4" t="s">
        <v>93</v>
      </c>
      <c r="H174" s="4" t="s">
        <v>251</v>
      </c>
      <c r="I174" s="7">
        <v>7.6149464</v>
      </c>
      <c r="J174" s="7">
        <v>5.6930509000000002</v>
      </c>
      <c r="K174" s="7">
        <v>5.2129566000000001</v>
      </c>
      <c r="L174" s="7">
        <v>5.9368951000000001</v>
      </c>
      <c r="M174" s="7">
        <v>6.1839271</v>
      </c>
      <c r="N174" s="7">
        <v>5.8516233</v>
      </c>
      <c r="O174" s="7">
        <v>6.8564119999999997</v>
      </c>
      <c r="P174" s="7">
        <v>6.2553276000000002</v>
      </c>
      <c r="Q174" s="7">
        <v>5.9354950999999998</v>
      </c>
      <c r="R174" s="7">
        <v>6.3042011999999996</v>
      </c>
      <c r="S174" s="7">
        <v>6.7346583000000004</v>
      </c>
      <c r="T174" s="7">
        <v>6.8012496000000002</v>
      </c>
      <c r="U174" s="7">
        <v>5.8695959000000002</v>
      </c>
      <c r="V174" s="7">
        <v>7.6126645000000002</v>
      </c>
      <c r="W174" s="7">
        <v>8.7441030000000008</v>
      </c>
      <c r="X174" s="7">
        <v>8.6879849</v>
      </c>
      <c r="Y174" s="7">
        <v>9.1396455000000003</v>
      </c>
      <c r="Z174" s="7">
        <v>9.0385445999999998</v>
      </c>
      <c r="AA174" s="7">
        <v>8.8321825999999994</v>
      </c>
      <c r="AB174" s="7">
        <v>5.8075245999999998</v>
      </c>
      <c r="AC174" s="7">
        <v>5.0666941000000003</v>
      </c>
      <c r="AD174" s="7">
        <v>4.6383890000000001</v>
      </c>
      <c r="AE174" s="7">
        <v>4.2311449000000003</v>
      </c>
      <c r="AF174" s="7">
        <v>4.4254667999999997</v>
      </c>
      <c r="AG174" s="7">
        <v>4.3767924000000002</v>
      </c>
      <c r="AH174" s="7">
        <v>4.9583789999999999</v>
      </c>
      <c r="AI174" s="7">
        <v>5.7281320999999998</v>
      </c>
      <c r="AJ174" s="7">
        <v>5.2945222000000003</v>
      </c>
      <c r="AK174" s="7">
        <v>7.7789273000000003</v>
      </c>
      <c r="AL174" s="7">
        <v>7.3626727000000001</v>
      </c>
      <c r="AM174" s="7">
        <v>6.9656165999999997</v>
      </c>
      <c r="AN174" s="7">
        <v>7.0115739000000001</v>
      </c>
      <c r="AO174" s="7">
        <v>6.8133005000000004</v>
      </c>
      <c r="AP174" s="7">
        <v>5.4525353000000001</v>
      </c>
      <c r="AQ174" s="7">
        <v>3.9718778000000001</v>
      </c>
      <c r="AR174" s="7">
        <v>4.3169009000000003</v>
      </c>
      <c r="AS174" s="7">
        <v>3.6559040999999999</v>
      </c>
      <c r="AT174" s="7">
        <v>7.4089999999999998</v>
      </c>
    </row>
    <row r="175" spans="1:46" x14ac:dyDescent="0.25">
      <c r="A175" s="4" t="s">
        <v>198</v>
      </c>
      <c r="B175" s="4" t="s">
        <v>207</v>
      </c>
      <c r="C175" s="4" t="s">
        <v>246</v>
      </c>
      <c r="D175" s="4" t="s">
        <v>265</v>
      </c>
      <c r="E175" s="4" t="s">
        <v>266</v>
      </c>
      <c r="F175" s="4" t="s">
        <v>195</v>
      </c>
      <c r="G175" s="4" t="s">
        <v>93</v>
      </c>
      <c r="H175" s="4" t="s">
        <v>252</v>
      </c>
      <c r="I175" s="16">
        <v>0.82599999999999996</v>
      </c>
      <c r="J175" s="16">
        <v>0.55500000000000005</v>
      </c>
      <c r="K175" s="16">
        <v>0.53300000000000003</v>
      </c>
      <c r="L175" s="16">
        <v>0.82899999999999996</v>
      </c>
      <c r="M175" s="16">
        <v>0.51400000000000001</v>
      </c>
      <c r="N175" s="16">
        <v>1.0149999999999999</v>
      </c>
      <c r="O175" s="16">
        <v>0.73899999999999999</v>
      </c>
      <c r="P175" s="16">
        <v>0.82399999999999995</v>
      </c>
      <c r="Q175" s="16">
        <v>0.80600000000000005</v>
      </c>
      <c r="R175" s="16">
        <v>0.66</v>
      </c>
      <c r="S175" s="16">
        <v>0.64100000000000001</v>
      </c>
      <c r="T175" s="16">
        <v>0.59299999999999997</v>
      </c>
      <c r="U175" s="16">
        <v>1.044</v>
      </c>
      <c r="V175" s="16">
        <v>1.0349999999999999</v>
      </c>
      <c r="W175" s="16">
        <v>1.069</v>
      </c>
      <c r="X175" s="16">
        <v>0.71</v>
      </c>
      <c r="Y175" s="16">
        <v>0.90700000000000003</v>
      </c>
      <c r="Z175" s="16">
        <v>0.73499999999999999</v>
      </c>
      <c r="AA175" s="16">
        <v>0.53700000000000003</v>
      </c>
      <c r="AB175" s="16">
        <v>0.53</v>
      </c>
      <c r="AC175" s="16">
        <v>0.49199999999999999</v>
      </c>
      <c r="AD175" s="16">
        <v>0.46500000000000002</v>
      </c>
      <c r="AE175" s="16">
        <v>0.41099999999999998</v>
      </c>
      <c r="AF175" s="16">
        <v>0.42599999999999999</v>
      </c>
      <c r="AG175" s="16">
        <v>0.36099999999999999</v>
      </c>
      <c r="AH175" s="16">
        <v>0.34499999999999997</v>
      </c>
      <c r="AI175" s="16">
        <v>0.36199999999999999</v>
      </c>
      <c r="AJ175" s="16">
        <v>0.36699999999999999</v>
      </c>
      <c r="AK175" s="16">
        <v>0.498</v>
      </c>
      <c r="AL175" s="16">
        <v>0.47299999999999998</v>
      </c>
      <c r="AM175" s="16">
        <v>0.378</v>
      </c>
      <c r="AN175" s="16">
        <v>0.46700000000000003</v>
      </c>
      <c r="AO175" s="16">
        <v>0.25600000000000001</v>
      </c>
      <c r="AP175" s="16">
        <v>0.219</v>
      </c>
      <c r="AQ175" s="16">
        <v>0.27300000000000002</v>
      </c>
      <c r="AR175" s="16">
        <v>0.317</v>
      </c>
      <c r="AS175" s="16">
        <v>0.309</v>
      </c>
      <c r="AT175" s="7">
        <v>3.6559040999999999</v>
      </c>
    </row>
    <row r="176" spans="1:46" x14ac:dyDescent="0.25">
      <c r="A176" s="4" t="s">
        <v>267</v>
      </c>
      <c r="B176" s="4" t="s">
        <v>207</v>
      </c>
      <c r="C176" s="4" t="s">
        <v>246</v>
      </c>
      <c r="D176" s="4" t="s">
        <v>247</v>
      </c>
      <c r="E176" s="4" t="s">
        <v>248</v>
      </c>
      <c r="F176" s="4" t="s">
        <v>201</v>
      </c>
      <c r="G176" s="4" t="s">
        <v>93</v>
      </c>
      <c r="H176" s="4" t="s">
        <v>151</v>
      </c>
      <c r="I176" s="5">
        <v>202.43100000000001</v>
      </c>
      <c r="J176" s="5">
        <v>1248.3889999999999</v>
      </c>
      <c r="K176" s="5">
        <v>2809.87</v>
      </c>
      <c r="L176" s="5">
        <v>3001.913</v>
      </c>
      <c r="M176" s="5">
        <v>7690.8850000000002</v>
      </c>
      <c r="N176" s="5">
        <v>8605.6859999999997</v>
      </c>
      <c r="O176" s="5">
        <v>4972.3190000000004</v>
      </c>
      <c r="P176" s="5">
        <v>1887.81</v>
      </c>
      <c r="Q176" s="5">
        <v>378.40499999999997</v>
      </c>
      <c r="R176" s="5">
        <v>105.88</v>
      </c>
      <c r="S176" s="5">
        <v>79.018000000000001</v>
      </c>
      <c r="T176" s="5">
        <v>88.974000000000004</v>
      </c>
      <c r="U176" s="5">
        <v>170.154</v>
      </c>
      <c r="V176" s="5">
        <v>458.73700000000002</v>
      </c>
      <c r="W176" s="5">
        <v>2707.1840000000002</v>
      </c>
      <c r="X176" s="5">
        <v>4883.8209999999999</v>
      </c>
      <c r="Y176" s="5">
        <v>7624.875</v>
      </c>
      <c r="Z176" s="5">
        <v>7910.4780000000001</v>
      </c>
      <c r="AA176" s="5">
        <v>6710.47</v>
      </c>
      <c r="AB176" s="5">
        <v>2798.8270000000002</v>
      </c>
      <c r="AC176" s="5">
        <v>969.59199999999998</v>
      </c>
      <c r="AD176" s="5">
        <v>237.495</v>
      </c>
      <c r="AE176" s="5">
        <v>109.73699999999999</v>
      </c>
      <c r="AF176" s="5">
        <v>116.985</v>
      </c>
      <c r="AG176" s="5">
        <v>184.43799999999999</v>
      </c>
      <c r="AH176" s="5">
        <v>548.36900000000003</v>
      </c>
      <c r="AI176" s="5">
        <v>1982.0219999999999</v>
      </c>
      <c r="AJ176" s="5">
        <v>6199.5</v>
      </c>
      <c r="AK176" s="5">
        <v>14221.392</v>
      </c>
      <c r="AL176" s="5">
        <v>10602.282999999999</v>
      </c>
      <c r="AM176" s="5">
        <v>16956.595000000001</v>
      </c>
      <c r="AN176" s="5">
        <v>16562.478999999999</v>
      </c>
      <c r="AO176" s="5">
        <v>2973.9229999999998</v>
      </c>
      <c r="AP176" s="5">
        <v>1184.499</v>
      </c>
      <c r="AQ176" s="5">
        <v>557.62300000000005</v>
      </c>
      <c r="AR176" s="5">
        <v>364.03</v>
      </c>
      <c r="AS176" s="5">
        <v>1012.3390000000001</v>
      </c>
      <c r="AT176" s="5">
        <v>1012.3390000000001</v>
      </c>
    </row>
    <row r="177" spans="1:46" x14ac:dyDescent="0.25">
      <c r="A177" s="4" t="s">
        <v>267</v>
      </c>
      <c r="B177" s="4" t="s">
        <v>207</v>
      </c>
      <c r="C177" s="4" t="s">
        <v>246</v>
      </c>
      <c r="D177" s="4" t="s">
        <v>247</v>
      </c>
      <c r="E177" s="4" t="s">
        <v>248</v>
      </c>
      <c r="F177" s="4" t="s">
        <v>201</v>
      </c>
      <c r="G177" s="4" t="s">
        <v>93</v>
      </c>
      <c r="H177" s="4" t="s">
        <v>205</v>
      </c>
      <c r="I177" s="6">
        <v>34821.728000000003</v>
      </c>
      <c r="J177" s="6">
        <v>207146.86799999999</v>
      </c>
      <c r="K177" s="6">
        <v>459806.92700000003</v>
      </c>
      <c r="L177" s="6">
        <v>501571.60200000001</v>
      </c>
      <c r="M177" s="6">
        <v>1252556.4669999999</v>
      </c>
      <c r="N177" s="6">
        <v>1247657.0560000001</v>
      </c>
      <c r="O177" s="6">
        <v>776530.25600000005</v>
      </c>
      <c r="P177" s="6">
        <v>301738.68800000002</v>
      </c>
      <c r="Q177" s="6">
        <v>63078.881000000001</v>
      </c>
      <c r="R177" s="6">
        <v>18331.753000000001</v>
      </c>
      <c r="S177" s="6">
        <v>14633.35</v>
      </c>
      <c r="T177" s="6">
        <v>15549.397999999999</v>
      </c>
      <c r="U177" s="6">
        <v>28873.87</v>
      </c>
      <c r="V177" s="6">
        <v>74025.869000000006</v>
      </c>
      <c r="W177" s="6">
        <v>418549.47899999999</v>
      </c>
      <c r="X177" s="6">
        <v>809301.3</v>
      </c>
      <c r="Y177" s="6">
        <v>1279050.291</v>
      </c>
      <c r="Z177" s="6">
        <v>1380174.8370000001</v>
      </c>
      <c r="AA177" s="6">
        <v>1195108.031</v>
      </c>
      <c r="AB177" s="6">
        <v>506756.61599999998</v>
      </c>
      <c r="AC177" s="6">
        <v>175511.451</v>
      </c>
      <c r="AD177" s="6">
        <v>44115.419000000002</v>
      </c>
      <c r="AE177" s="6">
        <v>21284.673999999999</v>
      </c>
      <c r="AF177" s="6">
        <v>22310.286</v>
      </c>
      <c r="AG177" s="6">
        <v>36520.68</v>
      </c>
      <c r="AH177" s="6">
        <v>109762.133</v>
      </c>
      <c r="AI177" s="6">
        <v>390491.11900000001</v>
      </c>
      <c r="AJ177" s="6">
        <v>1232478.5689999999</v>
      </c>
      <c r="AK177" s="6">
        <v>2800298.8709999998</v>
      </c>
      <c r="AL177" s="6">
        <v>2175810.0639999998</v>
      </c>
      <c r="AM177" s="6">
        <v>3397576.5290000001</v>
      </c>
      <c r="AN177" s="6">
        <v>3327227.4569999999</v>
      </c>
      <c r="AO177" s="6">
        <v>620600.37100000004</v>
      </c>
      <c r="AP177" s="6">
        <v>240981.72500000001</v>
      </c>
      <c r="AQ177" s="6">
        <v>114035.04700000001</v>
      </c>
      <c r="AR177" s="6">
        <v>74815.784</v>
      </c>
      <c r="AS177" s="6">
        <v>224766.318</v>
      </c>
      <c r="AT177" s="6">
        <v>224766.318</v>
      </c>
    </row>
    <row r="178" spans="1:46" x14ac:dyDescent="0.25">
      <c r="A178" s="4" t="s">
        <v>267</v>
      </c>
      <c r="B178" s="4" t="s">
        <v>207</v>
      </c>
      <c r="C178" s="4" t="s">
        <v>246</v>
      </c>
      <c r="D178" s="4" t="s">
        <v>247</v>
      </c>
      <c r="E178" s="4" t="s">
        <v>248</v>
      </c>
      <c r="F178" s="4" t="s">
        <v>201</v>
      </c>
      <c r="G178" s="4" t="s">
        <v>93</v>
      </c>
      <c r="H178" s="4" t="s">
        <v>249</v>
      </c>
      <c r="I178" s="7">
        <v>0.20499999999999999</v>
      </c>
      <c r="J178" s="7">
        <v>0.64800000000000002</v>
      </c>
      <c r="K178" s="7">
        <v>0.874</v>
      </c>
      <c r="L178" s="7">
        <v>0.72799999999999998</v>
      </c>
      <c r="M178" s="7">
        <v>1.194</v>
      </c>
      <c r="N178" s="7">
        <v>1.4930000000000001</v>
      </c>
      <c r="O178" s="7">
        <v>1.032</v>
      </c>
      <c r="P178" s="7">
        <v>0.628</v>
      </c>
      <c r="Q178" s="7">
        <v>0.24299999999999999</v>
      </c>
      <c r="R178" s="7">
        <v>0.161</v>
      </c>
      <c r="S178" s="7">
        <v>0.155</v>
      </c>
      <c r="T178" s="7">
        <v>0.159</v>
      </c>
      <c r="U178" s="7">
        <v>0.19400000000000001</v>
      </c>
      <c r="V178" s="7">
        <v>0.29599999999999999</v>
      </c>
      <c r="W178" s="7">
        <v>0.96799999999999997</v>
      </c>
      <c r="X178" s="7">
        <v>1.123</v>
      </c>
      <c r="Y178" s="7">
        <v>1.5620000000000001</v>
      </c>
      <c r="Z178" s="7">
        <v>1.72</v>
      </c>
      <c r="AA178" s="7">
        <v>1.429</v>
      </c>
      <c r="AB178" s="7">
        <v>0.85899999999999999</v>
      </c>
      <c r="AC178" s="7">
        <v>0.48199999999999998</v>
      </c>
      <c r="AD178" s="7">
        <v>0.21099999999999999</v>
      </c>
      <c r="AE178" s="7">
        <v>0.161</v>
      </c>
      <c r="AF178" s="7">
        <v>0.185</v>
      </c>
      <c r="AG178" s="7">
        <v>0.27</v>
      </c>
      <c r="AH178" s="7">
        <v>0.39700000000000002</v>
      </c>
      <c r="AI178" s="7">
        <v>0.91600000000000004</v>
      </c>
      <c r="AJ178" s="7">
        <v>1.6240000000000001</v>
      </c>
      <c r="AK178" s="7">
        <v>2.6429999999999998</v>
      </c>
      <c r="AL178" s="7">
        <v>2.2570000000000001</v>
      </c>
      <c r="AM178" s="7">
        <v>3.2429999999999999</v>
      </c>
      <c r="AN178" s="7">
        <v>3.129</v>
      </c>
      <c r="AO178" s="7">
        <v>1.345</v>
      </c>
      <c r="AP178" s="7">
        <v>1.103</v>
      </c>
      <c r="AQ178" s="7">
        <v>0.90500000000000003</v>
      </c>
      <c r="AR178" s="7">
        <v>0.76400000000000001</v>
      </c>
      <c r="AS178" s="7">
        <v>1.597</v>
      </c>
      <c r="AT178" s="7">
        <v>0.52</v>
      </c>
    </row>
    <row r="179" spans="1:46" x14ac:dyDescent="0.25">
      <c r="A179" s="4" t="s">
        <v>267</v>
      </c>
      <c r="B179" s="4" t="s">
        <v>207</v>
      </c>
      <c r="C179" s="4" t="s">
        <v>246</v>
      </c>
      <c r="D179" s="4" t="s">
        <v>247</v>
      </c>
      <c r="E179" s="4" t="s">
        <v>248</v>
      </c>
      <c r="F179" s="4" t="s">
        <v>201</v>
      </c>
      <c r="G179" s="4" t="s">
        <v>93</v>
      </c>
      <c r="H179" s="4" t="s">
        <v>250</v>
      </c>
      <c r="I179" s="7">
        <v>40.585999999999999</v>
      </c>
      <c r="J179" s="7">
        <v>72.504000000000005</v>
      </c>
      <c r="K179" s="7">
        <v>84.009</v>
      </c>
      <c r="L179" s="7">
        <v>84.328999999999994</v>
      </c>
      <c r="M179" s="7">
        <v>85.456000000000003</v>
      </c>
      <c r="N179" s="7">
        <v>82.427999999999997</v>
      </c>
      <c r="O179" s="7">
        <v>80.834999999999994</v>
      </c>
      <c r="P179" s="7">
        <v>77.552000000000007</v>
      </c>
      <c r="Q179" s="7">
        <v>61.143999999999998</v>
      </c>
      <c r="R179" s="7">
        <v>23.989000000000001</v>
      </c>
      <c r="S179" s="7">
        <v>18.004999999999999</v>
      </c>
      <c r="T179" s="7">
        <v>28.742000000000001</v>
      </c>
      <c r="U179" s="7">
        <v>47.713000000000001</v>
      </c>
      <c r="V179" s="7">
        <v>62.512</v>
      </c>
      <c r="W179" s="7">
        <v>82.381</v>
      </c>
      <c r="X179" s="7">
        <v>83.74</v>
      </c>
      <c r="Y179" s="7">
        <v>93.153999999999996</v>
      </c>
      <c r="Z179" s="7">
        <v>92.47</v>
      </c>
      <c r="AA179" s="7">
        <v>90.974999999999994</v>
      </c>
      <c r="AB179" s="7">
        <v>91.667000000000002</v>
      </c>
      <c r="AC179" s="7">
        <v>81.302000000000007</v>
      </c>
      <c r="AD179" s="7">
        <v>42.94</v>
      </c>
      <c r="AE179" s="7">
        <v>31.747</v>
      </c>
      <c r="AF179" s="7">
        <v>36.052</v>
      </c>
      <c r="AG179" s="7">
        <v>42.095999999999997</v>
      </c>
      <c r="AH179" s="7">
        <v>77.248000000000005</v>
      </c>
      <c r="AI179" s="7">
        <v>93.52</v>
      </c>
      <c r="AJ179" s="7">
        <v>95.751999999999995</v>
      </c>
      <c r="AK179" s="7">
        <v>96.174000000000007</v>
      </c>
      <c r="AL179" s="7">
        <v>93.415999999999997</v>
      </c>
      <c r="AM179" s="7">
        <v>95.349000000000004</v>
      </c>
      <c r="AN179" s="7">
        <v>96.043999999999997</v>
      </c>
      <c r="AO179" s="7">
        <v>64.790999999999997</v>
      </c>
      <c r="AP179" s="7">
        <v>65.83</v>
      </c>
      <c r="AQ179" s="7">
        <v>46.904000000000003</v>
      </c>
      <c r="AR179" s="7">
        <v>38.743000000000002</v>
      </c>
      <c r="AS179" s="7">
        <v>77.149000000000001</v>
      </c>
      <c r="AT179" s="8">
        <v>0</v>
      </c>
    </row>
    <row r="180" spans="1:46" x14ac:dyDescent="0.25">
      <c r="A180" s="4" t="s">
        <v>267</v>
      </c>
      <c r="B180" s="4" t="s">
        <v>207</v>
      </c>
      <c r="C180" s="4" t="s">
        <v>246</v>
      </c>
      <c r="D180" s="4" t="s">
        <v>247</v>
      </c>
      <c r="E180" s="4" t="s">
        <v>248</v>
      </c>
      <c r="F180" s="4" t="s">
        <v>201</v>
      </c>
      <c r="G180" s="4" t="s">
        <v>93</v>
      </c>
      <c r="H180" s="4" t="s">
        <v>251</v>
      </c>
      <c r="I180" s="7">
        <v>29.092936900000002</v>
      </c>
      <c r="J180" s="7">
        <v>55.838042899999998</v>
      </c>
      <c r="K180" s="7">
        <v>65.186553799999999</v>
      </c>
      <c r="L180" s="7">
        <v>67.654026200000004</v>
      </c>
      <c r="M180" s="7">
        <v>68.653387600000002</v>
      </c>
      <c r="N180" s="7">
        <v>65.965145500000006</v>
      </c>
      <c r="O180" s="7">
        <v>65.770429100000001</v>
      </c>
      <c r="P180" s="7">
        <v>63.682378200000002</v>
      </c>
      <c r="Q180" s="7">
        <v>46.127208799999998</v>
      </c>
      <c r="R180" s="7">
        <v>22.051212599999999</v>
      </c>
      <c r="S180" s="7">
        <v>15.760712399999999</v>
      </c>
      <c r="T180" s="7">
        <v>21.9982018</v>
      </c>
      <c r="U180" s="7">
        <v>34.871599199999999</v>
      </c>
      <c r="V180" s="7">
        <v>47.048643599999998</v>
      </c>
      <c r="W180" s="7">
        <v>64.551053300000007</v>
      </c>
      <c r="X180" s="7">
        <v>65.814060499999997</v>
      </c>
      <c r="Y180" s="7">
        <v>81.068322300000005</v>
      </c>
      <c r="Z180" s="7">
        <v>80.612301400000007</v>
      </c>
      <c r="AA180" s="7">
        <v>80.689455899999999</v>
      </c>
      <c r="AB180" s="7">
        <v>81.237829000000005</v>
      </c>
      <c r="AC180" s="7">
        <v>69.888354899999996</v>
      </c>
      <c r="AD180" s="7">
        <v>36.399729299999997</v>
      </c>
      <c r="AE180" s="7">
        <v>25.5608638</v>
      </c>
      <c r="AF180" s="7">
        <v>29.0069494</v>
      </c>
      <c r="AG180" s="7">
        <v>34.696661599999999</v>
      </c>
      <c r="AH180" s="7">
        <v>64.160474699999995</v>
      </c>
      <c r="AI180" s="7">
        <v>83.667900799999998</v>
      </c>
      <c r="AJ180" s="7">
        <v>85.050702000000001</v>
      </c>
      <c r="AK180" s="7">
        <v>85.107270900000003</v>
      </c>
      <c r="AL180" s="7">
        <v>81.409004100000004</v>
      </c>
      <c r="AM180" s="7">
        <v>85.310337599999997</v>
      </c>
      <c r="AN180" s="7">
        <v>85.672806600000001</v>
      </c>
      <c r="AO180" s="7">
        <v>57.980607599999999</v>
      </c>
      <c r="AP180" s="7">
        <v>54.8093985</v>
      </c>
      <c r="AQ180" s="7">
        <v>35.924942000000001</v>
      </c>
      <c r="AR180" s="7">
        <v>30.2484246</v>
      </c>
      <c r="AS180" s="7">
        <v>63.827770899999997</v>
      </c>
      <c r="AT180" s="7">
        <v>77.149000000000001</v>
      </c>
    </row>
    <row r="181" spans="1:46" x14ac:dyDescent="0.25">
      <c r="A181" s="4" t="s">
        <v>267</v>
      </c>
      <c r="B181" s="4" t="s">
        <v>207</v>
      </c>
      <c r="C181" s="4" t="s">
        <v>246</v>
      </c>
      <c r="D181" s="4" t="s">
        <v>247</v>
      </c>
      <c r="E181" s="4" t="s">
        <v>248</v>
      </c>
      <c r="F181" s="4" t="s">
        <v>201</v>
      </c>
      <c r="G181" s="4" t="s">
        <v>93</v>
      </c>
      <c r="H181" s="4" t="s">
        <v>252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7">
        <v>63.827770899999997</v>
      </c>
    </row>
    <row r="182" spans="1:46" x14ac:dyDescent="0.25">
      <c r="A182" s="4" t="s">
        <v>267</v>
      </c>
      <c r="B182" s="4" t="s">
        <v>207</v>
      </c>
      <c r="C182" s="4" t="s">
        <v>246</v>
      </c>
      <c r="D182" s="4" t="s">
        <v>247</v>
      </c>
      <c r="E182" s="4" t="s">
        <v>248</v>
      </c>
      <c r="F182" s="4" t="s">
        <v>201</v>
      </c>
      <c r="G182" s="4" t="s">
        <v>253</v>
      </c>
      <c r="H182" s="4" t="s">
        <v>151</v>
      </c>
      <c r="I182" s="5">
        <v>2.8570000000000002</v>
      </c>
      <c r="J182" s="5">
        <v>19.492999999999999</v>
      </c>
      <c r="K182" s="5">
        <v>52.314999999999998</v>
      </c>
      <c r="L182" s="5">
        <v>19.709</v>
      </c>
      <c r="M182" s="5">
        <v>50.972000000000001</v>
      </c>
      <c r="N182" s="5">
        <v>32.052999999999997</v>
      </c>
      <c r="O182" s="5">
        <v>6.3410000000000002</v>
      </c>
      <c r="P182" s="5">
        <v>3.835</v>
      </c>
      <c r="Q182" s="5">
        <v>0.28599999999999998</v>
      </c>
      <c r="R182" s="5">
        <v>0</v>
      </c>
      <c r="S182" s="5">
        <v>0</v>
      </c>
      <c r="T182" s="5">
        <v>0</v>
      </c>
      <c r="U182" s="5">
        <v>0</v>
      </c>
      <c r="V182" s="5">
        <v>9</v>
      </c>
      <c r="W182" s="5">
        <v>0.28599999999999998</v>
      </c>
      <c r="X182" s="5">
        <v>0.71399999999999997</v>
      </c>
      <c r="Y182" s="5">
        <v>0.14299999999999999</v>
      </c>
      <c r="Z182" s="5">
        <v>0.85699999999999998</v>
      </c>
      <c r="AA182" s="5">
        <v>9.5210000000000008</v>
      </c>
      <c r="AB182" s="5">
        <v>6.681</v>
      </c>
      <c r="AC182" s="8">
        <v>0</v>
      </c>
      <c r="AD182" s="9">
        <v>0</v>
      </c>
      <c r="AE182" s="9">
        <v>0</v>
      </c>
      <c r="AF182" s="5">
        <v>1</v>
      </c>
      <c r="AG182" s="5">
        <v>2</v>
      </c>
      <c r="AH182" s="5">
        <v>2.1429999999999998</v>
      </c>
      <c r="AI182" s="5">
        <v>0.85699999999999998</v>
      </c>
      <c r="AJ182" s="8">
        <v>0</v>
      </c>
      <c r="AK182" s="5">
        <v>1</v>
      </c>
      <c r="AL182" s="8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</row>
    <row r="183" spans="1:46" x14ac:dyDescent="0.25">
      <c r="A183" s="4" t="s">
        <v>267</v>
      </c>
      <c r="B183" s="4" t="s">
        <v>207</v>
      </c>
      <c r="C183" s="4" t="s">
        <v>246</v>
      </c>
      <c r="D183" s="4" t="s">
        <v>247</v>
      </c>
      <c r="E183" s="4" t="s">
        <v>248</v>
      </c>
      <c r="F183" s="4" t="s">
        <v>201</v>
      </c>
      <c r="G183" s="4" t="s">
        <v>253</v>
      </c>
      <c r="H183" s="4" t="s">
        <v>205</v>
      </c>
      <c r="I183" s="6">
        <v>220.00399999999999</v>
      </c>
      <c r="J183" s="6">
        <v>1385.894</v>
      </c>
      <c r="K183" s="6">
        <v>3477.11</v>
      </c>
      <c r="L183" s="6">
        <v>1285.9860000000001</v>
      </c>
      <c r="M183" s="6">
        <v>3522.6729999999998</v>
      </c>
      <c r="N183" s="6">
        <v>2333.5410000000002</v>
      </c>
      <c r="O183" s="6">
        <v>426.40199999999999</v>
      </c>
      <c r="P183" s="6">
        <v>230.54400000000001</v>
      </c>
      <c r="Q183" s="6">
        <v>18.571000000000002</v>
      </c>
      <c r="R183" s="6">
        <v>0</v>
      </c>
      <c r="S183" s="6">
        <v>0</v>
      </c>
      <c r="T183" s="6">
        <v>0</v>
      </c>
      <c r="U183" s="6">
        <v>0</v>
      </c>
      <c r="V183" s="6">
        <v>531</v>
      </c>
      <c r="W183" s="6">
        <v>21.998999999999999</v>
      </c>
      <c r="X183" s="6">
        <v>55.000999999999998</v>
      </c>
      <c r="Y183" s="6">
        <v>11.003</v>
      </c>
      <c r="Z183" s="6">
        <v>65.997</v>
      </c>
      <c r="AA183" s="6">
        <v>752.15899999999999</v>
      </c>
      <c r="AB183" s="6">
        <v>527.79</v>
      </c>
      <c r="AC183" s="10">
        <v>0</v>
      </c>
      <c r="AD183" s="9">
        <v>0</v>
      </c>
      <c r="AE183" s="9">
        <v>0</v>
      </c>
      <c r="AF183" s="6">
        <v>72</v>
      </c>
      <c r="AG183" s="6">
        <v>122.4</v>
      </c>
      <c r="AH183" s="6">
        <v>139.87899999999999</v>
      </c>
      <c r="AI183" s="6">
        <v>61.710999999999999</v>
      </c>
      <c r="AJ183" s="10">
        <v>0</v>
      </c>
      <c r="AK183" s="6">
        <v>65</v>
      </c>
      <c r="AL183" s="10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</row>
    <row r="184" spans="1:46" x14ac:dyDescent="0.25">
      <c r="A184" s="4" t="s">
        <v>267</v>
      </c>
      <c r="B184" s="4" t="s">
        <v>207</v>
      </c>
      <c r="C184" s="4" t="s">
        <v>246</v>
      </c>
      <c r="D184" s="4" t="s">
        <v>247</v>
      </c>
      <c r="E184" s="4" t="s">
        <v>248</v>
      </c>
      <c r="F184" s="4" t="s">
        <v>201</v>
      </c>
      <c r="G184" s="4" t="s">
        <v>253</v>
      </c>
      <c r="H184" s="4" t="s">
        <v>249</v>
      </c>
      <c r="I184" s="7">
        <v>1E-3</v>
      </c>
      <c r="J184" s="7">
        <v>4.0000000000000001E-3</v>
      </c>
      <c r="K184" s="7">
        <v>6.0000000000000001E-3</v>
      </c>
      <c r="L184" s="7">
        <v>2E-3</v>
      </c>
      <c r="M184" s="7">
        <v>3.0000000000000001E-3</v>
      </c>
      <c r="N184" s="7">
        <v>2E-3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2E-3</v>
      </c>
      <c r="W184" s="7">
        <v>0</v>
      </c>
      <c r="X184" s="7">
        <v>0</v>
      </c>
      <c r="Y184" s="7">
        <v>0</v>
      </c>
      <c r="Z184" s="7">
        <v>0</v>
      </c>
      <c r="AA184" s="7">
        <v>1E-3</v>
      </c>
      <c r="AB184" s="7">
        <v>1E-3</v>
      </c>
      <c r="AC184" s="11">
        <v>0</v>
      </c>
      <c r="AD184" s="9">
        <v>0</v>
      </c>
      <c r="AE184" s="9">
        <v>0</v>
      </c>
      <c r="AF184" s="7">
        <v>1E-3</v>
      </c>
      <c r="AG184" s="7">
        <v>1E-3</v>
      </c>
      <c r="AH184" s="7">
        <v>1E-3</v>
      </c>
      <c r="AI184" s="7">
        <v>0</v>
      </c>
      <c r="AJ184" s="11">
        <v>0</v>
      </c>
      <c r="AK184" s="7">
        <v>0</v>
      </c>
      <c r="AL184" s="11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</row>
    <row r="185" spans="1:46" x14ac:dyDescent="0.25">
      <c r="A185" s="4" t="s">
        <v>267</v>
      </c>
      <c r="B185" s="4" t="s">
        <v>207</v>
      </c>
      <c r="C185" s="4" t="s">
        <v>246</v>
      </c>
      <c r="D185" s="4" t="s">
        <v>247</v>
      </c>
      <c r="E185" s="4" t="s">
        <v>248</v>
      </c>
      <c r="F185" s="4" t="s">
        <v>201</v>
      </c>
      <c r="G185" s="4" t="s">
        <v>253</v>
      </c>
      <c r="H185" s="4" t="s">
        <v>250</v>
      </c>
      <c r="I185" s="7">
        <v>1.0620000000000001</v>
      </c>
      <c r="J185" s="7">
        <v>3.4180000000000001</v>
      </c>
      <c r="K185" s="7">
        <v>2.1269999999999998</v>
      </c>
      <c r="L185" s="7">
        <v>3.4260000000000002</v>
      </c>
      <c r="M185" s="7">
        <v>2.8879999999999999</v>
      </c>
      <c r="N185" s="7">
        <v>3.0920000000000001</v>
      </c>
      <c r="O185" s="7">
        <v>2.3849999999999998</v>
      </c>
      <c r="P185" s="7">
        <v>2.448</v>
      </c>
      <c r="Q185" s="7">
        <v>1.3140000000000001</v>
      </c>
      <c r="R185" s="7">
        <v>2.09</v>
      </c>
      <c r="S185" s="7">
        <v>2.0350000000000001</v>
      </c>
      <c r="T185" s="7">
        <v>1.629</v>
      </c>
      <c r="U185" s="7">
        <v>1.8049999999999999</v>
      </c>
      <c r="V185" s="7">
        <v>1.113</v>
      </c>
      <c r="W185" s="7">
        <v>1.3220000000000001</v>
      </c>
      <c r="X185" s="7">
        <v>2.3690000000000002</v>
      </c>
      <c r="Y185" s="7">
        <v>5.1879999999999997</v>
      </c>
      <c r="Z185" s="7">
        <v>4.5540000000000003</v>
      </c>
      <c r="AA185" s="7">
        <v>1.032</v>
      </c>
      <c r="AB185" s="7">
        <v>1.4430000000000001</v>
      </c>
      <c r="AC185" s="11">
        <v>0</v>
      </c>
      <c r="AD185" s="9">
        <v>0</v>
      </c>
      <c r="AE185" s="9">
        <v>0</v>
      </c>
      <c r="AF185" s="7">
        <v>0.371</v>
      </c>
      <c r="AG185" s="7">
        <v>2.5390000000000001</v>
      </c>
      <c r="AH185" s="7">
        <v>1.29</v>
      </c>
      <c r="AI185" s="7">
        <v>0.106</v>
      </c>
      <c r="AJ185" s="11">
        <v>0</v>
      </c>
      <c r="AK185" s="7">
        <v>0.32400000000000001</v>
      </c>
      <c r="AL185" s="11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</row>
    <row r="186" spans="1:46" x14ac:dyDescent="0.25">
      <c r="A186" s="4" t="s">
        <v>267</v>
      </c>
      <c r="B186" s="4" t="s">
        <v>207</v>
      </c>
      <c r="C186" s="4" t="s">
        <v>246</v>
      </c>
      <c r="D186" s="4" t="s">
        <v>247</v>
      </c>
      <c r="E186" s="4" t="s">
        <v>248</v>
      </c>
      <c r="F186" s="4" t="s">
        <v>201</v>
      </c>
      <c r="G186" s="4" t="s">
        <v>253</v>
      </c>
      <c r="H186" s="4" t="s">
        <v>251</v>
      </c>
      <c r="I186" s="7">
        <v>4.0499451999999998</v>
      </c>
      <c r="J186" s="7">
        <v>6.8696929999999998</v>
      </c>
      <c r="K186" s="7">
        <v>6.2106979000000004</v>
      </c>
      <c r="L186" s="7">
        <v>7.1600017999999999</v>
      </c>
      <c r="M186" s="7">
        <v>5.4499351000000003</v>
      </c>
      <c r="N186" s="7">
        <v>6.0340052999999996</v>
      </c>
      <c r="O186" s="7">
        <v>5.6899091999999998</v>
      </c>
      <c r="P186" s="7">
        <v>5.4011012000000003</v>
      </c>
      <c r="Q186" s="7">
        <v>3.3739123000000002</v>
      </c>
      <c r="R186" s="7">
        <v>3.0769419999999998</v>
      </c>
      <c r="S186" s="7">
        <v>3.0769419999999998</v>
      </c>
      <c r="T186" s="7">
        <v>3.0790831999999999</v>
      </c>
      <c r="U186" s="7">
        <v>3.0769419999999998</v>
      </c>
      <c r="V186" s="7">
        <v>3.3752580999999999</v>
      </c>
      <c r="W186" s="7">
        <v>3.3670239999999998</v>
      </c>
      <c r="X186" s="7">
        <v>3.3077831999999998</v>
      </c>
      <c r="Y186" s="7">
        <v>3.2094018000000002</v>
      </c>
      <c r="Z186" s="7">
        <v>3.2069877</v>
      </c>
      <c r="AA186" s="7">
        <v>1.9457342</v>
      </c>
      <c r="AB186" s="7">
        <v>1.9494038</v>
      </c>
      <c r="AC186" s="7">
        <v>0</v>
      </c>
      <c r="AD186" s="9">
        <v>0</v>
      </c>
      <c r="AE186" s="9">
        <v>0</v>
      </c>
      <c r="AF186" s="7">
        <v>0.28728290000000001</v>
      </c>
      <c r="AG186" s="7">
        <v>0.28841299999999997</v>
      </c>
      <c r="AH186" s="7">
        <v>0.57112510000000005</v>
      </c>
      <c r="AI186" s="7">
        <v>0.28305200000000003</v>
      </c>
      <c r="AJ186" s="7">
        <v>0</v>
      </c>
      <c r="AK186" s="7">
        <v>0.27456079999999999</v>
      </c>
      <c r="AL186" s="7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</row>
    <row r="187" spans="1:46" x14ac:dyDescent="0.25">
      <c r="A187" s="4" t="s">
        <v>267</v>
      </c>
      <c r="B187" s="4" t="s">
        <v>207</v>
      </c>
      <c r="C187" s="4" t="s">
        <v>246</v>
      </c>
      <c r="D187" s="4" t="s">
        <v>247</v>
      </c>
      <c r="E187" s="4" t="s">
        <v>248</v>
      </c>
      <c r="F187" s="4" t="s">
        <v>201</v>
      </c>
      <c r="G187" s="4" t="s">
        <v>253</v>
      </c>
      <c r="H187" s="4" t="s">
        <v>252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9">
        <v>0</v>
      </c>
      <c r="AE187" s="9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</row>
    <row r="188" spans="1:46" x14ac:dyDescent="0.25">
      <c r="A188" s="4" t="s">
        <v>267</v>
      </c>
      <c r="B188" s="4" t="s">
        <v>207</v>
      </c>
      <c r="C188" s="4" t="s">
        <v>246</v>
      </c>
      <c r="D188" s="4" t="s">
        <v>247</v>
      </c>
      <c r="E188" s="4" t="s">
        <v>248</v>
      </c>
      <c r="F188" s="4" t="s">
        <v>202</v>
      </c>
      <c r="G188" s="4" t="s">
        <v>93</v>
      </c>
      <c r="H188" s="4" t="s">
        <v>151</v>
      </c>
      <c r="I188" s="5">
        <v>1206.5139999999999</v>
      </c>
      <c r="J188" s="5">
        <v>4538.0020000000004</v>
      </c>
      <c r="K188" s="5">
        <v>8686.3320000000003</v>
      </c>
      <c r="L188" s="5">
        <v>12044.692999999999</v>
      </c>
      <c r="M188" s="5">
        <v>27334.035</v>
      </c>
      <c r="N188" s="5">
        <v>20299.530999999999</v>
      </c>
      <c r="O188" s="5">
        <v>13741.062</v>
      </c>
      <c r="P188" s="5">
        <v>5188.6679999999997</v>
      </c>
      <c r="Q188" s="5">
        <v>1287.655</v>
      </c>
      <c r="R188" s="5">
        <v>662.81600000000003</v>
      </c>
      <c r="S188" s="5">
        <v>662.548</v>
      </c>
      <c r="T188" s="5">
        <v>571.096</v>
      </c>
      <c r="U188" s="5">
        <v>1006.179</v>
      </c>
      <c r="V188" s="5">
        <v>1866.607</v>
      </c>
      <c r="W188" s="5">
        <v>6664.9480000000003</v>
      </c>
      <c r="X188" s="5">
        <v>15444.838</v>
      </c>
      <c r="Y188" s="5">
        <v>16738.769</v>
      </c>
      <c r="Z188" s="5">
        <v>14455.22</v>
      </c>
      <c r="AA188" s="5">
        <v>13836.754000000001</v>
      </c>
      <c r="AB188" s="5">
        <v>7172.9440000000004</v>
      </c>
      <c r="AC188" s="5">
        <v>3174.76</v>
      </c>
      <c r="AD188" s="5">
        <v>1141.27</v>
      </c>
      <c r="AE188" s="5">
        <v>1092.5719999999999</v>
      </c>
      <c r="AF188" s="5">
        <v>1197.797</v>
      </c>
      <c r="AG188" s="5">
        <v>1375.856</v>
      </c>
      <c r="AH188" s="5">
        <v>2406.5</v>
      </c>
      <c r="AI188" s="5">
        <v>5388.4089999999997</v>
      </c>
      <c r="AJ188" s="5">
        <v>20858.635999999999</v>
      </c>
      <c r="AK188" s="5">
        <v>44563.879000000001</v>
      </c>
      <c r="AL188" s="5">
        <v>25953.565999999999</v>
      </c>
      <c r="AM188" s="5">
        <v>42963.866000000002</v>
      </c>
      <c r="AN188" s="5">
        <v>73381.686000000002</v>
      </c>
      <c r="AO188" s="5">
        <v>13781.075999999999</v>
      </c>
      <c r="AP188" s="5">
        <v>4442.5969999999998</v>
      </c>
      <c r="AQ188" s="5">
        <v>1967.546</v>
      </c>
      <c r="AR188" s="5">
        <v>2112.5369999999998</v>
      </c>
      <c r="AS188" s="5">
        <v>2836.8009999999999</v>
      </c>
      <c r="AT188" s="5">
        <v>2836.8009999999999</v>
      </c>
    </row>
    <row r="189" spans="1:46" x14ac:dyDescent="0.25">
      <c r="A189" s="4" t="s">
        <v>267</v>
      </c>
      <c r="B189" s="4" t="s">
        <v>207</v>
      </c>
      <c r="C189" s="4" t="s">
        <v>246</v>
      </c>
      <c r="D189" s="4" t="s">
        <v>247</v>
      </c>
      <c r="E189" s="4" t="s">
        <v>248</v>
      </c>
      <c r="F189" s="4" t="s">
        <v>202</v>
      </c>
      <c r="G189" s="4" t="s">
        <v>93</v>
      </c>
      <c r="H189" s="4" t="s">
        <v>205</v>
      </c>
      <c r="I189" s="6">
        <v>300399.80900000001</v>
      </c>
      <c r="J189" s="6">
        <v>1325463.6880000001</v>
      </c>
      <c r="K189" s="6">
        <v>2545515.656</v>
      </c>
      <c r="L189" s="6">
        <v>3491561.5010000002</v>
      </c>
      <c r="M189" s="6">
        <v>7968571.3859999999</v>
      </c>
      <c r="N189" s="6">
        <v>5766287.1210000003</v>
      </c>
      <c r="O189" s="6">
        <v>3906596.9580000001</v>
      </c>
      <c r="P189" s="6">
        <v>1441624.821</v>
      </c>
      <c r="Q189" s="6">
        <v>347072.90399999998</v>
      </c>
      <c r="R189" s="6">
        <v>167621.486</v>
      </c>
      <c r="S189" s="6">
        <v>166714.761</v>
      </c>
      <c r="T189" s="6">
        <v>149044.45600000001</v>
      </c>
      <c r="U189" s="6">
        <v>290527.99599999998</v>
      </c>
      <c r="V189" s="6">
        <v>550975.853</v>
      </c>
      <c r="W189" s="6">
        <v>2030569.0789999999</v>
      </c>
      <c r="X189" s="6">
        <v>4763454.1150000002</v>
      </c>
      <c r="Y189" s="6">
        <v>5511084.4179999996</v>
      </c>
      <c r="Z189" s="6">
        <v>4775112.09</v>
      </c>
      <c r="AA189" s="6">
        <v>4575080.5460000001</v>
      </c>
      <c r="AB189" s="6">
        <v>2272484.1639999999</v>
      </c>
      <c r="AC189" s="6">
        <v>967692.69900000002</v>
      </c>
      <c r="AD189" s="6">
        <v>299545.74599999998</v>
      </c>
      <c r="AE189" s="6">
        <v>278185.44699999999</v>
      </c>
      <c r="AF189" s="6">
        <v>296290.49200000003</v>
      </c>
      <c r="AG189" s="6">
        <v>347115.56400000001</v>
      </c>
      <c r="AH189" s="6">
        <v>723118.82200000004</v>
      </c>
      <c r="AI189" s="6">
        <v>1820938.298</v>
      </c>
      <c r="AJ189" s="6">
        <v>7832185.3660000004</v>
      </c>
      <c r="AK189" s="6">
        <v>16530434.393999999</v>
      </c>
      <c r="AL189" s="6">
        <v>9851846.2219999991</v>
      </c>
      <c r="AM189" s="6">
        <v>16651208.654999999</v>
      </c>
      <c r="AN189" s="6">
        <v>27700900.407000002</v>
      </c>
      <c r="AO189" s="6">
        <v>4640441.9069999997</v>
      </c>
      <c r="AP189" s="6">
        <v>1280765.2180000001</v>
      </c>
      <c r="AQ189" s="6">
        <v>510996.462</v>
      </c>
      <c r="AR189" s="6">
        <v>535588.17700000003</v>
      </c>
      <c r="AS189" s="6">
        <v>1116110.915</v>
      </c>
      <c r="AT189" s="6">
        <v>1116110.915</v>
      </c>
    </row>
    <row r="190" spans="1:46" x14ac:dyDescent="0.25">
      <c r="A190" s="4" t="s">
        <v>267</v>
      </c>
      <c r="B190" s="4" t="s">
        <v>207</v>
      </c>
      <c r="C190" s="4" t="s">
        <v>246</v>
      </c>
      <c r="D190" s="4" t="s">
        <v>247</v>
      </c>
      <c r="E190" s="4" t="s">
        <v>248</v>
      </c>
      <c r="F190" s="4" t="s">
        <v>202</v>
      </c>
      <c r="G190" s="4" t="s">
        <v>93</v>
      </c>
      <c r="H190" s="4" t="s">
        <v>249</v>
      </c>
      <c r="I190" s="7">
        <v>1.272</v>
      </c>
      <c r="J190" s="7">
        <v>2.5350000000000001</v>
      </c>
      <c r="K190" s="7">
        <v>2.9359999999999999</v>
      </c>
      <c r="L190" s="7">
        <v>3.2349999999999999</v>
      </c>
      <c r="M190" s="7">
        <v>4.82</v>
      </c>
      <c r="N190" s="7">
        <v>3.9780000000000002</v>
      </c>
      <c r="O190" s="7">
        <v>3.2160000000000002</v>
      </c>
      <c r="P190" s="7">
        <v>1.9039999999999999</v>
      </c>
      <c r="Q190" s="7">
        <v>0.89100000000000001</v>
      </c>
      <c r="R190" s="7">
        <v>1.0580000000000001</v>
      </c>
      <c r="S190" s="7">
        <v>1.339</v>
      </c>
      <c r="T190" s="7">
        <v>1.042</v>
      </c>
      <c r="U190" s="7">
        <v>1.206</v>
      </c>
      <c r="V190" s="7">
        <v>1.274</v>
      </c>
      <c r="W190" s="7">
        <v>2.63</v>
      </c>
      <c r="X190" s="7">
        <v>3.9620000000000002</v>
      </c>
      <c r="Y190" s="7">
        <v>3.8490000000000002</v>
      </c>
      <c r="Z190" s="7">
        <v>3.56</v>
      </c>
      <c r="AA190" s="7">
        <v>3.33</v>
      </c>
      <c r="AB190" s="7">
        <v>2.4460000000000002</v>
      </c>
      <c r="AC190" s="7">
        <v>1.6850000000000001</v>
      </c>
      <c r="AD190" s="7">
        <v>1.034</v>
      </c>
      <c r="AE190" s="7">
        <v>1.637</v>
      </c>
      <c r="AF190" s="7">
        <v>1.9159999999999999</v>
      </c>
      <c r="AG190" s="7">
        <v>2.028</v>
      </c>
      <c r="AH190" s="7">
        <v>1.8520000000000001</v>
      </c>
      <c r="AI190" s="7">
        <v>2.758</v>
      </c>
      <c r="AJ190" s="7">
        <v>6.26</v>
      </c>
      <c r="AK190" s="7">
        <v>9.7029999999999994</v>
      </c>
      <c r="AL190" s="7">
        <v>6.5119999999999996</v>
      </c>
      <c r="AM190" s="7">
        <v>9.5869999999999997</v>
      </c>
      <c r="AN190" s="7">
        <v>15.287000000000001</v>
      </c>
      <c r="AO190" s="7">
        <v>6.2409999999999997</v>
      </c>
      <c r="AP190" s="7">
        <v>4.1319999999999997</v>
      </c>
      <c r="AQ190" s="7">
        <v>3.17</v>
      </c>
      <c r="AR190" s="7">
        <v>4.4080000000000004</v>
      </c>
      <c r="AS190" s="7">
        <v>4.585</v>
      </c>
      <c r="AT190" s="7">
        <v>1.456</v>
      </c>
    </row>
    <row r="191" spans="1:46" x14ac:dyDescent="0.25">
      <c r="A191" s="4" t="s">
        <v>267</v>
      </c>
      <c r="B191" s="4" t="s">
        <v>207</v>
      </c>
      <c r="C191" s="4" t="s">
        <v>246</v>
      </c>
      <c r="D191" s="4" t="s">
        <v>247</v>
      </c>
      <c r="E191" s="4" t="s">
        <v>248</v>
      </c>
      <c r="F191" s="4" t="s">
        <v>202</v>
      </c>
      <c r="G191" s="4" t="s">
        <v>93</v>
      </c>
      <c r="H191" s="4" t="s">
        <v>250</v>
      </c>
      <c r="I191" s="7">
        <v>88.680999999999997</v>
      </c>
      <c r="J191" s="7">
        <v>98.097999999999999</v>
      </c>
      <c r="K191" s="7">
        <v>99.191000000000003</v>
      </c>
      <c r="L191" s="7">
        <v>99.307000000000002</v>
      </c>
      <c r="M191" s="7">
        <v>99.552000000000007</v>
      </c>
      <c r="N191" s="7">
        <v>99.290999999999997</v>
      </c>
      <c r="O191" s="7">
        <v>98.516000000000005</v>
      </c>
      <c r="P191" s="7">
        <v>98.081999999999994</v>
      </c>
      <c r="Q191" s="7">
        <v>90.596999999999994</v>
      </c>
      <c r="R191" s="7">
        <v>65.036000000000001</v>
      </c>
      <c r="S191" s="7">
        <v>67.634</v>
      </c>
      <c r="T191" s="7">
        <v>71.317999999999998</v>
      </c>
      <c r="U191" s="7">
        <v>82.74</v>
      </c>
      <c r="V191" s="7">
        <v>93.975999999999999</v>
      </c>
      <c r="W191" s="7">
        <v>98.977000000000004</v>
      </c>
      <c r="X191" s="7">
        <v>99.677999999999997</v>
      </c>
      <c r="Y191" s="7">
        <v>99.424999999999997</v>
      </c>
      <c r="Z191" s="7">
        <v>99.534000000000006</v>
      </c>
      <c r="AA191" s="7">
        <v>99.435000000000002</v>
      </c>
      <c r="AB191" s="7">
        <v>98.057000000000002</v>
      </c>
      <c r="AC191" s="7">
        <v>95.129000000000005</v>
      </c>
      <c r="AD191" s="7">
        <v>72.712999999999994</v>
      </c>
      <c r="AE191" s="7">
        <v>63.009</v>
      </c>
      <c r="AF191" s="7">
        <v>66.504999999999995</v>
      </c>
      <c r="AG191" s="7">
        <v>70.454999999999998</v>
      </c>
      <c r="AH191" s="7">
        <v>93.304000000000002</v>
      </c>
      <c r="AI191" s="7">
        <v>98.010999999999996</v>
      </c>
      <c r="AJ191" s="7">
        <v>99.328999999999994</v>
      </c>
      <c r="AK191" s="7">
        <v>99.308999999999997</v>
      </c>
      <c r="AL191" s="7">
        <v>99.052000000000007</v>
      </c>
      <c r="AM191" s="7">
        <v>98.98</v>
      </c>
      <c r="AN191" s="7">
        <v>99.962000000000003</v>
      </c>
      <c r="AO191" s="7">
        <v>96.638999999999996</v>
      </c>
      <c r="AP191" s="7">
        <v>93.21</v>
      </c>
      <c r="AQ191" s="7">
        <v>78.793999999999997</v>
      </c>
      <c r="AR191" s="7">
        <v>74.555999999999997</v>
      </c>
      <c r="AS191" s="7">
        <v>89.308999999999997</v>
      </c>
      <c r="AT191" s="8">
        <v>0</v>
      </c>
    </row>
    <row r="192" spans="1:46" x14ac:dyDescent="0.25">
      <c r="A192" s="4" t="s">
        <v>267</v>
      </c>
      <c r="B192" s="4" t="s">
        <v>207</v>
      </c>
      <c r="C192" s="4" t="s">
        <v>246</v>
      </c>
      <c r="D192" s="4" t="s">
        <v>247</v>
      </c>
      <c r="E192" s="4" t="s">
        <v>248</v>
      </c>
      <c r="F192" s="4" t="s">
        <v>202</v>
      </c>
      <c r="G192" s="4" t="s">
        <v>93</v>
      </c>
      <c r="H192" s="4" t="s">
        <v>251</v>
      </c>
      <c r="I192" s="7">
        <v>78.348993100000001</v>
      </c>
      <c r="J192" s="7">
        <v>91.185380100000003</v>
      </c>
      <c r="K192" s="7">
        <v>93.9445695</v>
      </c>
      <c r="L192" s="7">
        <v>94.673084000000003</v>
      </c>
      <c r="M192" s="7">
        <v>93.007659599999997</v>
      </c>
      <c r="N192" s="7">
        <v>92.718025400000002</v>
      </c>
      <c r="O192" s="7">
        <v>93.028477199999998</v>
      </c>
      <c r="P192" s="7">
        <v>93.312819399999995</v>
      </c>
      <c r="Q192" s="7">
        <v>83.100686699999997</v>
      </c>
      <c r="R192" s="7">
        <v>49.401842500000001</v>
      </c>
      <c r="S192" s="7">
        <v>47.077212799999998</v>
      </c>
      <c r="T192" s="7">
        <v>52.993176800000001</v>
      </c>
      <c r="U192" s="7">
        <v>66.803488000000002</v>
      </c>
      <c r="V192" s="7">
        <v>83.528433500000006</v>
      </c>
      <c r="W192" s="7">
        <v>93.673974099999995</v>
      </c>
      <c r="X192" s="7">
        <v>97.380837099999994</v>
      </c>
      <c r="Y192" s="7">
        <v>97.374125800000002</v>
      </c>
      <c r="Z192" s="7">
        <v>96.209923599999996</v>
      </c>
      <c r="AA192" s="7">
        <v>96.083724599999996</v>
      </c>
      <c r="AB192" s="7">
        <v>93.258519000000007</v>
      </c>
      <c r="AC192" s="7">
        <v>88.522827199999995</v>
      </c>
      <c r="AD192" s="7">
        <v>58.372179899999999</v>
      </c>
      <c r="AE192" s="7">
        <v>45.4336585</v>
      </c>
      <c r="AF192" s="7">
        <v>45.884816800000003</v>
      </c>
      <c r="AG192" s="7">
        <v>52.724205099999999</v>
      </c>
      <c r="AH192" s="7">
        <v>83.339996499999998</v>
      </c>
      <c r="AI192" s="7">
        <v>90.887424600000003</v>
      </c>
      <c r="AJ192" s="7">
        <v>93.383663900000002</v>
      </c>
      <c r="AK192" s="7">
        <v>94.648260100000002</v>
      </c>
      <c r="AL192" s="7">
        <v>95.146127500000006</v>
      </c>
      <c r="AM192" s="7">
        <v>93.761315499999995</v>
      </c>
      <c r="AN192" s="7">
        <v>95.909106100000002</v>
      </c>
      <c r="AO192" s="7">
        <v>87.365141100000002</v>
      </c>
      <c r="AP192" s="7">
        <v>79.944010399999996</v>
      </c>
      <c r="AQ192" s="7">
        <v>52.332503600000003</v>
      </c>
      <c r="AR192" s="7">
        <v>47.408989099999999</v>
      </c>
      <c r="AS192" s="7">
        <v>77.674291499999995</v>
      </c>
      <c r="AT192" s="7">
        <v>89.308999999999997</v>
      </c>
    </row>
    <row r="193" spans="1:46" x14ac:dyDescent="0.25">
      <c r="A193" s="4" t="s">
        <v>267</v>
      </c>
      <c r="B193" s="4" t="s">
        <v>207</v>
      </c>
      <c r="C193" s="4" t="s">
        <v>246</v>
      </c>
      <c r="D193" s="4" t="s">
        <v>247</v>
      </c>
      <c r="E193" s="4" t="s">
        <v>248</v>
      </c>
      <c r="F193" s="4" t="s">
        <v>202</v>
      </c>
      <c r="G193" s="4" t="s">
        <v>93</v>
      </c>
      <c r="H193" s="4" t="s">
        <v>252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7">
        <v>77.674291499999995</v>
      </c>
    </row>
    <row r="194" spans="1:46" x14ac:dyDescent="0.25">
      <c r="A194" s="4" t="s">
        <v>267</v>
      </c>
      <c r="B194" s="4" t="s">
        <v>207</v>
      </c>
      <c r="C194" s="4" t="s">
        <v>246</v>
      </c>
      <c r="D194" s="4" t="s">
        <v>247</v>
      </c>
      <c r="E194" s="4" t="s">
        <v>248</v>
      </c>
      <c r="F194" s="4" t="s">
        <v>202</v>
      </c>
      <c r="G194" s="4" t="s">
        <v>113</v>
      </c>
      <c r="H194" s="4" t="s">
        <v>151</v>
      </c>
      <c r="I194" s="5">
        <v>14.994</v>
      </c>
      <c r="J194" s="5">
        <v>12.676</v>
      </c>
      <c r="K194" s="5">
        <v>12.266999999999999</v>
      </c>
      <c r="L194" s="5">
        <v>41.756</v>
      </c>
      <c r="M194" s="5">
        <v>111.398</v>
      </c>
      <c r="N194" s="5">
        <v>54.387</v>
      </c>
      <c r="O194" s="5">
        <v>39.192999999999998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19.079999999999998</v>
      </c>
      <c r="X194" s="5">
        <v>0</v>
      </c>
      <c r="Y194" s="5">
        <v>1</v>
      </c>
      <c r="Z194" s="5">
        <v>0</v>
      </c>
      <c r="AA194" s="5">
        <v>9.0250000000000004</v>
      </c>
      <c r="AB194" s="8">
        <v>0</v>
      </c>
      <c r="AC194" s="5">
        <v>1</v>
      </c>
      <c r="AD194" s="8">
        <v>0</v>
      </c>
      <c r="AE194" s="9">
        <v>0</v>
      </c>
      <c r="AF194" s="9">
        <v>0</v>
      </c>
      <c r="AG194" s="9">
        <v>0</v>
      </c>
      <c r="AH194" s="5">
        <v>2.4289999999999998</v>
      </c>
      <c r="AI194" s="5">
        <v>8</v>
      </c>
      <c r="AJ194" s="5">
        <v>7.2859999999999996</v>
      </c>
      <c r="AK194" s="5">
        <v>10.286</v>
      </c>
      <c r="AL194" s="5">
        <v>2.4289999999999998</v>
      </c>
      <c r="AM194" s="5">
        <v>4.4290000000000003</v>
      </c>
      <c r="AN194" s="5">
        <v>214.059</v>
      </c>
      <c r="AO194" s="5">
        <v>55.792999999999999</v>
      </c>
      <c r="AP194" s="5">
        <v>234.02799999999999</v>
      </c>
      <c r="AQ194" s="5">
        <v>194.93700000000001</v>
      </c>
      <c r="AR194" s="5">
        <v>1.714</v>
      </c>
      <c r="AS194" s="5">
        <v>4.2859999999999996</v>
      </c>
      <c r="AT194" s="5">
        <v>4.2859999999999996</v>
      </c>
    </row>
    <row r="195" spans="1:46" x14ac:dyDescent="0.25">
      <c r="A195" s="4" t="s">
        <v>267</v>
      </c>
      <c r="B195" s="4" t="s">
        <v>207</v>
      </c>
      <c r="C195" s="4" t="s">
        <v>246</v>
      </c>
      <c r="D195" s="4" t="s">
        <v>247</v>
      </c>
      <c r="E195" s="4" t="s">
        <v>248</v>
      </c>
      <c r="F195" s="4" t="s">
        <v>202</v>
      </c>
      <c r="G195" s="4" t="s">
        <v>113</v>
      </c>
      <c r="H195" s="4" t="s">
        <v>205</v>
      </c>
      <c r="I195" s="6">
        <v>5532.9359999999997</v>
      </c>
      <c r="J195" s="6">
        <v>4677.4250000000002</v>
      </c>
      <c r="K195" s="6">
        <v>4526.54</v>
      </c>
      <c r="L195" s="6">
        <v>15041.174999999999</v>
      </c>
      <c r="M195" s="6">
        <v>38748.410000000003</v>
      </c>
      <c r="N195" s="6">
        <v>20068.949000000001</v>
      </c>
      <c r="O195" s="6">
        <v>13042.465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6010.3050000000003</v>
      </c>
      <c r="X195" s="6">
        <v>0</v>
      </c>
      <c r="Y195" s="6">
        <v>301</v>
      </c>
      <c r="Z195" s="6">
        <v>0</v>
      </c>
      <c r="AA195" s="6">
        <v>2814.95</v>
      </c>
      <c r="AB195" s="10">
        <v>0</v>
      </c>
      <c r="AC195" s="6">
        <v>301</v>
      </c>
      <c r="AD195" s="10">
        <v>0</v>
      </c>
      <c r="AE195" s="9">
        <v>0</v>
      </c>
      <c r="AF195" s="9">
        <v>0</v>
      </c>
      <c r="AG195" s="9">
        <v>0</v>
      </c>
      <c r="AH195" s="6">
        <v>970.47900000000004</v>
      </c>
      <c r="AI195" s="6">
        <v>3289.0340000000001</v>
      </c>
      <c r="AJ195" s="6">
        <v>2895.7359999999999</v>
      </c>
      <c r="AK195" s="6">
        <v>4419.7510000000002</v>
      </c>
      <c r="AL195" s="6">
        <v>993.58199999999999</v>
      </c>
      <c r="AM195" s="6">
        <v>1463.232</v>
      </c>
      <c r="AN195" s="6">
        <v>86213.255999999994</v>
      </c>
      <c r="AO195" s="6">
        <v>21248.370999999999</v>
      </c>
      <c r="AP195" s="6">
        <v>71817.153999999995</v>
      </c>
      <c r="AQ195" s="6">
        <v>58867.152000000002</v>
      </c>
      <c r="AR195" s="6">
        <v>778.29200000000003</v>
      </c>
      <c r="AS195" s="6">
        <v>1854.9079999999999</v>
      </c>
      <c r="AT195" s="6">
        <v>1854.9079999999999</v>
      </c>
    </row>
    <row r="196" spans="1:46" x14ac:dyDescent="0.25">
      <c r="A196" s="4" t="s">
        <v>267</v>
      </c>
      <c r="B196" s="4" t="s">
        <v>207</v>
      </c>
      <c r="C196" s="4" t="s">
        <v>246</v>
      </c>
      <c r="D196" s="4" t="s">
        <v>247</v>
      </c>
      <c r="E196" s="4" t="s">
        <v>248</v>
      </c>
      <c r="F196" s="4" t="s">
        <v>202</v>
      </c>
      <c r="G196" s="4" t="s">
        <v>113</v>
      </c>
      <c r="H196" s="4" t="s">
        <v>249</v>
      </c>
      <c r="I196" s="7">
        <v>8.9999999999999993E-3</v>
      </c>
      <c r="J196" s="7">
        <v>4.0000000000000001E-3</v>
      </c>
      <c r="K196" s="7">
        <v>2E-3</v>
      </c>
      <c r="L196" s="7">
        <v>6.0000000000000001E-3</v>
      </c>
      <c r="M196" s="7">
        <v>0.01</v>
      </c>
      <c r="N196" s="7">
        <v>6.0000000000000001E-3</v>
      </c>
      <c r="O196" s="7">
        <v>5.0000000000000001E-3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4.0000000000000001E-3</v>
      </c>
      <c r="X196" s="7">
        <v>0</v>
      </c>
      <c r="Y196" s="7">
        <v>0</v>
      </c>
      <c r="Z196" s="7">
        <v>0</v>
      </c>
      <c r="AA196" s="7">
        <v>1E-3</v>
      </c>
      <c r="AB196" s="11">
        <v>0</v>
      </c>
      <c r="AC196" s="7">
        <v>0</v>
      </c>
      <c r="AD196" s="11">
        <v>0</v>
      </c>
      <c r="AE196" s="9">
        <v>0</v>
      </c>
      <c r="AF196" s="9">
        <v>0</v>
      </c>
      <c r="AG196" s="9">
        <v>0</v>
      </c>
      <c r="AH196" s="7">
        <v>1E-3</v>
      </c>
      <c r="AI196" s="7">
        <v>2E-3</v>
      </c>
      <c r="AJ196" s="7">
        <v>1E-3</v>
      </c>
      <c r="AK196" s="7">
        <v>1E-3</v>
      </c>
      <c r="AL196" s="7">
        <v>0</v>
      </c>
      <c r="AM196" s="7">
        <v>0</v>
      </c>
      <c r="AN196" s="7">
        <v>2.4E-2</v>
      </c>
      <c r="AO196" s="7">
        <v>1.4999999999999999E-2</v>
      </c>
      <c r="AP196" s="7">
        <v>0.129</v>
      </c>
      <c r="AQ196" s="7">
        <v>0.188</v>
      </c>
      <c r="AR196" s="7">
        <v>2E-3</v>
      </c>
      <c r="AS196" s="7">
        <v>4.0000000000000001E-3</v>
      </c>
      <c r="AT196" s="7">
        <v>2E-3</v>
      </c>
    </row>
    <row r="197" spans="1:46" x14ac:dyDescent="0.25">
      <c r="A197" s="4" t="s">
        <v>267</v>
      </c>
      <c r="B197" s="4" t="s">
        <v>207</v>
      </c>
      <c r="C197" s="4" t="s">
        <v>246</v>
      </c>
      <c r="D197" s="4" t="s">
        <v>247</v>
      </c>
      <c r="E197" s="4" t="s">
        <v>248</v>
      </c>
      <c r="F197" s="4" t="s">
        <v>202</v>
      </c>
      <c r="G197" s="4" t="s">
        <v>113</v>
      </c>
      <c r="H197" s="4" t="s">
        <v>250</v>
      </c>
      <c r="I197" s="7">
        <v>2.3620000000000001</v>
      </c>
      <c r="J197" s="7">
        <v>1.347</v>
      </c>
      <c r="K197" s="7">
        <v>1.002</v>
      </c>
      <c r="L197" s="7">
        <v>1.06</v>
      </c>
      <c r="M197" s="7">
        <v>0.82199999999999995</v>
      </c>
      <c r="N197" s="7">
        <v>0.72299999999999998</v>
      </c>
      <c r="O197" s="7">
        <v>1.84</v>
      </c>
      <c r="P197" s="7">
        <v>0.80500000000000005</v>
      </c>
      <c r="Q197" s="7">
        <v>0.90300000000000002</v>
      </c>
      <c r="R197" s="7">
        <v>0.99399999999999999</v>
      </c>
      <c r="S197" s="7">
        <v>1.2809999999999999</v>
      </c>
      <c r="T197" s="7">
        <v>0.67700000000000005</v>
      </c>
      <c r="U197" s="7">
        <v>0.35499999999999998</v>
      </c>
      <c r="V197" s="7">
        <v>0.45700000000000002</v>
      </c>
      <c r="W197" s="7">
        <v>0.27700000000000002</v>
      </c>
      <c r="X197" s="7">
        <v>0.29599999999999999</v>
      </c>
      <c r="Y197" s="7">
        <v>0.85499999999999998</v>
      </c>
      <c r="Z197" s="7">
        <v>0.436</v>
      </c>
      <c r="AA197" s="7">
        <v>0.80500000000000005</v>
      </c>
      <c r="AB197" s="11">
        <v>0</v>
      </c>
      <c r="AC197" s="7">
        <v>0.214</v>
      </c>
      <c r="AD197" s="11">
        <v>0</v>
      </c>
      <c r="AE197" s="9">
        <v>0</v>
      </c>
      <c r="AF197" s="9">
        <v>0</v>
      </c>
      <c r="AG197" s="9">
        <v>0</v>
      </c>
      <c r="AH197" s="7">
        <v>1.3859999999999999</v>
      </c>
      <c r="AI197" s="7">
        <v>1.4359999999999999</v>
      </c>
      <c r="AJ197" s="7">
        <v>2.85</v>
      </c>
      <c r="AK197" s="7">
        <v>2.3639999999999999</v>
      </c>
      <c r="AL197" s="7">
        <v>0.66700000000000004</v>
      </c>
      <c r="AM197" s="7">
        <v>0.51300000000000001</v>
      </c>
      <c r="AN197" s="7">
        <v>15.416</v>
      </c>
      <c r="AO197" s="7">
        <v>11.398</v>
      </c>
      <c r="AP197" s="7">
        <v>11.59</v>
      </c>
      <c r="AQ197" s="7">
        <v>7.3109999999999999</v>
      </c>
      <c r="AR197" s="7">
        <v>2.74</v>
      </c>
      <c r="AS197" s="7">
        <v>4.7640000000000002</v>
      </c>
      <c r="AT197" s="8">
        <v>0</v>
      </c>
    </row>
    <row r="198" spans="1:46" x14ac:dyDescent="0.25">
      <c r="A198" s="4" t="s">
        <v>267</v>
      </c>
      <c r="B198" s="4" t="s">
        <v>207</v>
      </c>
      <c r="C198" s="4" t="s">
        <v>246</v>
      </c>
      <c r="D198" s="4" t="s">
        <v>247</v>
      </c>
      <c r="E198" s="4" t="s">
        <v>248</v>
      </c>
      <c r="F198" s="4" t="s">
        <v>202</v>
      </c>
      <c r="G198" s="4" t="s">
        <v>113</v>
      </c>
      <c r="H198" s="4" t="s">
        <v>251</v>
      </c>
      <c r="I198" s="7">
        <v>4.6730137000000003</v>
      </c>
      <c r="J198" s="7">
        <v>4.6603678999999998</v>
      </c>
      <c r="K198" s="7">
        <v>4.6580234000000003</v>
      </c>
      <c r="L198" s="7">
        <v>4.2301979999999997</v>
      </c>
      <c r="M198" s="7">
        <v>4.1644943999999997</v>
      </c>
      <c r="N198" s="7">
        <v>4.1537439000000003</v>
      </c>
      <c r="O198" s="7">
        <v>4.1520959</v>
      </c>
      <c r="P198" s="7">
        <v>1.2345374</v>
      </c>
      <c r="Q198" s="7">
        <v>1.2268771999999999</v>
      </c>
      <c r="R198" s="7">
        <v>1.2307767999999999</v>
      </c>
      <c r="S198" s="7">
        <v>1.2307767999999999</v>
      </c>
      <c r="T198" s="7">
        <v>1.2316332999999999</v>
      </c>
      <c r="U198" s="7">
        <v>1.2307767999999999</v>
      </c>
      <c r="V198" s="7">
        <v>1.2273666000000001</v>
      </c>
      <c r="W198" s="7">
        <v>1.2243724</v>
      </c>
      <c r="X198" s="7">
        <v>1.2028303</v>
      </c>
      <c r="Y198" s="7">
        <v>1.4398544</v>
      </c>
      <c r="Z198" s="7">
        <v>1.1661774</v>
      </c>
      <c r="AA198" s="7">
        <v>1.4592277</v>
      </c>
      <c r="AB198" s="7">
        <v>0</v>
      </c>
      <c r="AC198" s="7">
        <v>0.29303170000000001</v>
      </c>
      <c r="AD198" s="7">
        <v>0</v>
      </c>
      <c r="AE198" s="9">
        <v>0</v>
      </c>
      <c r="AF198" s="9">
        <v>0</v>
      </c>
      <c r="AG198" s="9">
        <v>0</v>
      </c>
      <c r="AH198" s="7">
        <v>0.85668759999999999</v>
      </c>
      <c r="AI198" s="7">
        <v>0.84915589999999996</v>
      </c>
      <c r="AJ198" s="7">
        <v>1.1143303</v>
      </c>
      <c r="AK198" s="7">
        <v>1.0982434000000001</v>
      </c>
      <c r="AL198" s="7">
        <v>0.83366450000000003</v>
      </c>
      <c r="AM198" s="7">
        <v>0.55536430000000003</v>
      </c>
      <c r="AN198" s="7">
        <v>5.8014995000000003</v>
      </c>
      <c r="AO198" s="7">
        <v>4.1248491999999999</v>
      </c>
      <c r="AP198" s="7">
        <v>3.2869538999999999</v>
      </c>
      <c r="AQ198" s="7">
        <v>1.8996377</v>
      </c>
      <c r="AR198" s="7">
        <v>0.57867360000000001</v>
      </c>
      <c r="AS198" s="7">
        <v>1.1627670000000001</v>
      </c>
      <c r="AT198" s="7">
        <v>4.7640000000000002</v>
      </c>
    </row>
    <row r="199" spans="1:46" x14ac:dyDescent="0.25">
      <c r="A199" s="4" t="s">
        <v>267</v>
      </c>
      <c r="B199" s="4" t="s">
        <v>207</v>
      </c>
      <c r="C199" s="4" t="s">
        <v>246</v>
      </c>
      <c r="D199" s="4" t="s">
        <v>247</v>
      </c>
      <c r="E199" s="4" t="s">
        <v>248</v>
      </c>
      <c r="F199" s="4" t="s">
        <v>202</v>
      </c>
      <c r="G199" s="4" t="s">
        <v>113</v>
      </c>
      <c r="H199" s="4" t="s">
        <v>252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9">
        <v>0</v>
      </c>
      <c r="AF199" s="9">
        <v>0</v>
      </c>
      <c r="AG199" s="9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7">
        <v>1.1627670000000001</v>
      </c>
    </row>
    <row r="200" spans="1:46" x14ac:dyDescent="0.25">
      <c r="A200" s="4" t="s">
        <v>267</v>
      </c>
      <c r="B200" s="4" t="s">
        <v>207</v>
      </c>
      <c r="C200" s="4" t="s">
        <v>246</v>
      </c>
      <c r="D200" s="4" t="s">
        <v>247</v>
      </c>
      <c r="E200" s="4" t="s">
        <v>248</v>
      </c>
      <c r="F200" s="4" t="s">
        <v>202</v>
      </c>
      <c r="G200" s="4" t="s">
        <v>116</v>
      </c>
      <c r="H200" s="4" t="s">
        <v>151</v>
      </c>
      <c r="I200" s="5">
        <v>24.952999999999999</v>
      </c>
      <c r="J200" s="5">
        <v>184.602</v>
      </c>
      <c r="K200" s="5">
        <v>357.22899999999998</v>
      </c>
      <c r="L200" s="5">
        <v>616.04200000000003</v>
      </c>
      <c r="M200" s="5">
        <v>1102.548</v>
      </c>
      <c r="N200" s="5">
        <v>850.92700000000002</v>
      </c>
      <c r="O200" s="5">
        <v>474.14600000000002</v>
      </c>
      <c r="P200" s="5">
        <v>158.80199999999999</v>
      </c>
      <c r="Q200" s="5">
        <v>45.387999999999998</v>
      </c>
      <c r="R200" s="5">
        <v>32.100999999999999</v>
      </c>
      <c r="S200" s="5">
        <v>12.714</v>
      </c>
      <c r="T200" s="5">
        <v>14.143000000000001</v>
      </c>
      <c r="U200" s="5">
        <v>24.143000000000001</v>
      </c>
      <c r="V200" s="5">
        <v>82.34</v>
      </c>
      <c r="W200" s="5">
        <v>330.90600000000001</v>
      </c>
      <c r="X200" s="5">
        <v>828.77599999999995</v>
      </c>
      <c r="Y200" s="5">
        <v>1037.472</v>
      </c>
      <c r="Z200" s="5">
        <v>743.774</v>
      </c>
      <c r="AA200" s="5">
        <v>692.77800000000002</v>
      </c>
      <c r="AB200" s="5">
        <v>304.73500000000001</v>
      </c>
      <c r="AC200" s="5">
        <v>159.751</v>
      </c>
      <c r="AD200" s="5">
        <v>68.102999999999994</v>
      </c>
      <c r="AE200" s="5">
        <v>71.703999999999994</v>
      </c>
      <c r="AF200" s="5">
        <v>51.034999999999997</v>
      </c>
      <c r="AG200" s="5">
        <v>55.942999999999998</v>
      </c>
      <c r="AH200" s="5">
        <v>142.37299999999999</v>
      </c>
      <c r="AI200" s="5">
        <v>363.35399999999998</v>
      </c>
      <c r="AJ200" s="5">
        <v>1390.2380000000001</v>
      </c>
      <c r="AK200" s="5">
        <v>2571.9589999999998</v>
      </c>
      <c r="AL200" s="5">
        <v>1432.7539999999999</v>
      </c>
      <c r="AM200" s="5">
        <v>2212.404</v>
      </c>
      <c r="AN200" s="5">
        <v>8324.32</v>
      </c>
      <c r="AO200" s="5">
        <v>691.33199999999999</v>
      </c>
      <c r="AP200" s="5">
        <v>336.21499999999997</v>
      </c>
      <c r="AQ200" s="5">
        <v>120.175</v>
      </c>
      <c r="AR200" s="5">
        <v>117.33499999999999</v>
      </c>
      <c r="AS200" s="5">
        <v>196.78899999999999</v>
      </c>
      <c r="AT200" s="5">
        <v>196.78899999999999</v>
      </c>
    </row>
    <row r="201" spans="1:46" x14ac:dyDescent="0.25">
      <c r="A201" s="4" t="s">
        <v>267</v>
      </c>
      <c r="B201" s="4" t="s">
        <v>207</v>
      </c>
      <c r="C201" s="4" t="s">
        <v>246</v>
      </c>
      <c r="D201" s="4" t="s">
        <v>247</v>
      </c>
      <c r="E201" s="4" t="s">
        <v>248</v>
      </c>
      <c r="F201" s="4" t="s">
        <v>202</v>
      </c>
      <c r="G201" s="4" t="s">
        <v>116</v>
      </c>
      <c r="H201" s="4" t="s">
        <v>205</v>
      </c>
      <c r="I201" s="6">
        <v>9104.8070000000007</v>
      </c>
      <c r="J201" s="6">
        <v>65448.061000000002</v>
      </c>
      <c r="K201" s="6">
        <v>129243.448</v>
      </c>
      <c r="L201" s="6">
        <v>219235.038</v>
      </c>
      <c r="M201" s="6">
        <v>399092.16499999998</v>
      </c>
      <c r="N201" s="6">
        <v>288400.15600000002</v>
      </c>
      <c r="O201" s="6">
        <v>160877.111</v>
      </c>
      <c r="P201" s="6">
        <v>55232.576999999997</v>
      </c>
      <c r="Q201" s="6">
        <v>15679.101000000001</v>
      </c>
      <c r="R201" s="6">
        <v>11510.623</v>
      </c>
      <c r="S201" s="6">
        <v>4425.2550000000001</v>
      </c>
      <c r="T201" s="6">
        <v>5290.5550000000003</v>
      </c>
      <c r="U201" s="6">
        <v>9599.0609999999997</v>
      </c>
      <c r="V201" s="6">
        <v>32625.170999999998</v>
      </c>
      <c r="W201" s="6">
        <v>131362.07399999999</v>
      </c>
      <c r="X201" s="6">
        <v>323512.08899999998</v>
      </c>
      <c r="Y201" s="6">
        <v>419301.05900000001</v>
      </c>
      <c r="Z201" s="6">
        <v>310301.76400000002</v>
      </c>
      <c r="AA201" s="6">
        <v>280873.3</v>
      </c>
      <c r="AB201" s="6">
        <v>120899.762</v>
      </c>
      <c r="AC201" s="6">
        <v>64564.377</v>
      </c>
      <c r="AD201" s="6">
        <v>26052.774000000001</v>
      </c>
      <c r="AE201" s="6">
        <v>28841.439999999999</v>
      </c>
      <c r="AF201" s="6">
        <v>20516.797999999999</v>
      </c>
      <c r="AG201" s="6">
        <v>22140.725999999999</v>
      </c>
      <c r="AH201" s="6">
        <v>56973.046000000002</v>
      </c>
      <c r="AI201" s="6">
        <v>148099.22399999999</v>
      </c>
      <c r="AJ201" s="6">
        <v>581307.10100000002</v>
      </c>
      <c r="AK201" s="6">
        <v>1072641.5560000001</v>
      </c>
      <c r="AL201" s="6">
        <v>580666.26500000001</v>
      </c>
      <c r="AM201" s="6">
        <v>915846.94200000004</v>
      </c>
      <c r="AN201" s="6">
        <v>3733804.0019999999</v>
      </c>
      <c r="AO201" s="6">
        <v>296869.48200000002</v>
      </c>
      <c r="AP201" s="6">
        <v>130348.02899999999</v>
      </c>
      <c r="AQ201" s="6">
        <v>46980.65</v>
      </c>
      <c r="AR201" s="6">
        <v>46163.71</v>
      </c>
      <c r="AS201" s="6">
        <v>88549.04</v>
      </c>
      <c r="AT201" s="6">
        <v>88549.04</v>
      </c>
    </row>
    <row r="202" spans="1:46" x14ac:dyDescent="0.25">
      <c r="A202" s="4" t="s">
        <v>267</v>
      </c>
      <c r="B202" s="4" t="s">
        <v>207</v>
      </c>
      <c r="C202" s="4" t="s">
        <v>246</v>
      </c>
      <c r="D202" s="4" t="s">
        <v>247</v>
      </c>
      <c r="E202" s="4" t="s">
        <v>248</v>
      </c>
      <c r="F202" s="4" t="s">
        <v>202</v>
      </c>
      <c r="G202" s="4" t="s">
        <v>116</v>
      </c>
      <c r="H202" s="4" t="s">
        <v>249</v>
      </c>
      <c r="I202" s="7">
        <v>3.1E-2</v>
      </c>
      <c r="J202" s="7">
        <v>0.11600000000000001</v>
      </c>
      <c r="K202" s="7">
        <v>0.13500000000000001</v>
      </c>
      <c r="L202" s="7">
        <v>0.18</v>
      </c>
      <c r="M202" s="7">
        <v>0.20699999999999999</v>
      </c>
      <c r="N202" s="7">
        <v>0.17899999999999999</v>
      </c>
      <c r="O202" s="7">
        <v>0.11799999999999999</v>
      </c>
      <c r="P202" s="7">
        <v>6.4000000000000001E-2</v>
      </c>
      <c r="Q202" s="7">
        <v>3.4000000000000002E-2</v>
      </c>
      <c r="R202" s="7">
        <v>5.8999999999999997E-2</v>
      </c>
      <c r="S202" s="7">
        <v>0.03</v>
      </c>
      <c r="T202" s="7">
        <v>3.1E-2</v>
      </c>
      <c r="U202" s="7">
        <v>3.3000000000000002E-2</v>
      </c>
      <c r="V202" s="7">
        <v>0.06</v>
      </c>
      <c r="W202" s="7">
        <v>0.129</v>
      </c>
      <c r="X202" s="7">
        <v>0.20599999999999999</v>
      </c>
      <c r="Y202" s="7">
        <v>0.23</v>
      </c>
      <c r="Z202" s="7">
        <v>0.17599999999999999</v>
      </c>
      <c r="AA202" s="7">
        <v>0.16</v>
      </c>
      <c r="AB202" s="7">
        <v>0.10199999999999999</v>
      </c>
      <c r="AC202" s="7">
        <v>8.5999999999999993E-2</v>
      </c>
      <c r="AD202" s="7">
        <v>6.9000000000000006E-2</v>
      </c>
      <c r="AE202" s="7">
        <v>0.11600000000000001</v>
      </c>
      <c r="AF202" s="7">
        <v>8.7999999999999995E-2</v>
      </c>
      <c r="AG202" s="7">
        <v>0.09</v>
      </c>
      <c r="AH202" s="7">
        <v>0.111</v>
      </c>
      <c r="AI202" s="7">
        <v>0.16500000000000001</v>
      </c>
      <c r="AJ202" s="7">
        <v>0.34499999999999997</v>
      </c>
      <c r="AK202" s="7">
        <v>0.42</v>
      </c>
      <c r="AL202" s="7">
        <v>0.26</v>
      </c>
      <c r="AM202" s="7">
        <v>0.34899999999999998</v>
      </c>
      <c r="AN202" s="7">
        <v>1.323</v>
      </c>
      <c r="AO202" s="7">
        <v>0.26500000000000001</v>
      </c>
      <c r="AP202" s="7">
        <v>0.26200000000000001</v>
      </c>
      <c r="AQ202" s="7">
        <v>0.17799999999999999</v>
      </c>
      <c r="AR202" s="7">
        <v>0.21099999999999999</v>
      </c>
      <c r="AS202" s="7">
        <v>0.254</v>
      </c>
      <c r="AT202" s="7">
        <v>0.10100000000000001</v>
      </c>
    </row>
    <row r="203" spans="1:46" x14ac:dyDescent="0.25">
      <c r="A203" s="4" t="s">
        <v>267</v>
      </c>
      <c r="B203" s="4" t="s">
        <v>207</v>
      </c>
      <c r="C203" s="4" t="s">
        <v>246</v>
      </c>
      <c r="D203" s="4" t="s">
        <v>247</v>
      </c>
      <c r="E203" s="4" t="s">
        <v>248</v>
      </c>
      <c r="F203" s="4" t="s">
        <v>202</v>
      </c>
      <c r="G203" s="4" t="s">
        <v>116</v>
      </c>
      <c r="H203" s="4" t="s">
        <v>250</v>
      </c>
      <c r="I203" s="7">
        <v>17.933</v>
      </c>
      <c r="J203" s="7">
        <v>35.820999999999998</v>
      </c>
      <c r="K203" s="7">
        <v>40.070999999999998</v>
      </c>
      <c r="L203" s="7">
        <v>40.015000000000001</v>
      </c>
      <c r="M203" s="7">
        <v>40.081000000000003</v>
      </c>
      <c r="N203" s="7">
        <v>50.142000000000003</v>
      </c>
      <c r="O203" s="7">
        <v>46.228000000000002</v>
      </c>
      <c r="P203" s="7">
        <v>36.164999999999999</v>
      </c>
      <c r="Q203" s="7">
        <v>22.928999999999998</v>
      </c>
      <c r="R203" s="7">
        <v>19.829000000000001</v>
      </c>
      <c r="S203" s="7">
        <v>15.127000000000001</v>
      </c>
      <c r="T203" s="7">
        <v>14.762</v>
      </c>
      <c r="U203" s="7">
        <v>18.114999999999998</v>
      </c>
      <c r="V203" s="7">
        <v>29.527999999999999</v>
      </c>
      <c r="W203" s="7">
        <v>59.581000000000003</v>
      </c>
      <c r="X203" s="7">
        <v>71.599999999999994</v>
      </c>
      <c r="Y203" s="7">
        <v>72.454999999999998</v>
      </c>
      <c r="Z203" s="7">
        <v>66.686999999999998</v>
      </c>
      <c r="AA203" s="7">
        <v>58.688000000000002</v>
      </c>
      <c r="AB203" s="7">
        <v>48.417999999999999</v>
      </c>
      <c r="AC203" s="7">
        <v>37.529000000000003</v>
      </c>
      <c r="AD203" s="7">
        <v>16.873999999999999</v>
      </c>
      <c r="AE203" s="7">
        <v>17.536999999999999</v>
      </c>
      <c r="AF203" s="7">
        <v>15.384</v>
      </c>
      <c r="AG203" s="7">
        <v>19.43</v>
      </c>
      <c r="AH203" s="7">
        <v>35.628999999999998</v>
      </c>
      <c r="AI203" s="7">
        <v>59.34</v>
      </c>
      <c r="AJ203" s="7">
        <v>75.572000000000003</v>
      </c>
      <c r="AK203" s="7">
        <v>81.86</v>
      </c>
      <c r="AL203" s="7">
        <v>77.941999999999993</v>
      </c>
      <c r="AM203" s="7">
        <v>77.936000000000007</v>
      </c>
      <c r="AN203" s="7">
        <v>83.183999999999997</v>
      </c>
      <c r="AO203" s="7">
        <v>53.243000000000002</v>
      </c>
      <c r="AP203" s="7">
        <v>44.054000000000002</v>
      </c>
      <c r="AQ203" s="7">
        <v>31.829000000000001</v>
      </c>
      <c r="AR203" s="7">
        <v>23.661999999999999</v>
      </c>
      <c r="AS203" s="7">
        <v>34.478000000000002</v>
      </c>
      <c r="AT203" s="8">
        <v>0</v>
      </c>
    </row>
    <row r="204" spans="1:46" x14ac:dyDescent="0.25">
      <c r="A204" s="4" t="s">
        <v>267</v>
      </c>
      <c r="B204" s="4" t="s">
        <v>207</v>
      </c>
      <c r="C204" s="4" t="s">
        <v>246</v>
      </c>
      <c r="D204" s="4" t="s">
        <v>247</v>
      </c>
      <c r="E204" s="4" t="s">
        <v>248</v>
      </c>
      <c r="F204" s="4" t="s">
        <v>202</v>
      </c>
      <c r="G204" s="4" t="s">
        <v>116</v>
      </c>
      <c r="H204" s="4" t="s">
        <v>251</v>
      </c>
      <c r="I204" s="7">
        <v>7.5285365000000004</v>
      </c>
      <c r="J204" s="7">
        <v>19.2796314</v>
      </c>
      <c r="K204" s="7">
        <v>23.047899999999998</v>
      </c>
      <c r="L204" s="7">
        <v>24.864477000000001</v>
      </c>
      <c r="M204" s="7">
        <v>24.169183400000001</v>
      </c>
      <c r="N204" s="7">
        <v>32.495815499999999</v>
      </c>
      <c r="O204" s="7">
        <v>28.862602500000001</v>
      </c>
      <c r="P204" s="7">
        <v>18.8958297</v>
      </c>
      <c r="Q204" s="7">
        <v>10.494400799999999</v>
      </c>
      <c r="R204" s="7">
        <v>8.0342032999999997</v>
      </c>
      <c r="S204" s="7">
        <v>4.6154130000000002</v>
      </c>
      <c r="T204" s="7">
        <v>5.2344413999999997</v>
      </c>
      <c r="U204" s="7">
        <v>6.1538839999999997</v>
      </c>
      <c r="V204" s="7">
        <v>13.875992999999999</v>
      </c>
      <c r="W204" s="7">
        <v>36.390795199999999</v>
      </c>
      <c r="X204" s="7">
        <v>53.646830999999999</v>
      </c>
      <c r="Y204" s="7">
        <v>56.3853966</v>
      </c>
      <c r="Z204" s="7">
        <v>51.781773200000003</v>
      </c>
      <c r="AA204" s="7">
        <v>43.283320699999997</v>
      </c>
      <c r="AB204" s="7">
        <v>31.936362899999999</v>
      </c>
      <c r="AC204" s="7">
        <v>21.489187099999999</v>
      </c>
      <c r="AD204" s="7">
        <v>8.7677434999999999</v>
      </c>
      <c r="AE204" s="7">
        <v>7.7486449999999998</v>
      </c>
      <c r="AF204" s="7">
        <v>6.8229677000000004</v>
      </c>
      <c r="AG204" s="7">
        <v>10.887591</v>
      </c>
      <c r="AH204" s="7">
        <v>25.406498299999999</v>
      </c>
      <c r="AI204" s="7">
        <v>42.189463699999997</v>
      </c>
      <c r="AJ204" s="7">
        <v>59.243091200000002</v>
      </c>
      <c r="AK204" s="7">
        <v>65.480563799999999</v>
      </c>
      <c r="AL204" s="7">
        <v>61.166240999999999</v>
      </c>
      <c r="AM204" s="7">
        <v>59.095478200000002</v>
      </c>
      <c r="AN204" s="7">
        <v>61.8813593</v>
      </c>
      <c r="AO204" s="7">
        <v>30.453092399999999</v>
      </c>
      <c r="AP204" s="7">
        <v>19.294419099999999</v>
      </c>
      <c r="AQ204" s="7">
        <v>10.0381883</v>
      </c>
      <c r="AR204" s="7">
        <v>9.3455781000000009</v>
      </c>
      <c r="AS204" s="7">
        <v>14.505518800000001</v>
      </c>
      <c r="AT204" s="7">
        <v>34.478000000000002</v>
      </c>
    </row>
    <row r="205" spans="1:46" x14ac:dyDescent="0.25">
      <c r="A205" s="4" t="s">
        <v>267</v>
      </c>
      <c r="B205" s="4" t="s">
        <v>207</v>
      </c>
      <c r="C205" s="4" t="s">
        <v>246</v>
      </c>
      <c r="D205" s="4" t="s">
        <v>247</v>
      </c>
      <c r="E205" s="4" t="s">
        <v>248</v>
      </c>
      <c r="F205" s="4" t="s">
        <v>202</v>
      </c>
      <c r="G205" s="4" t="s">
        <v>116</v>
      </c>
      <c r="H205" s="4" t="s">
        <v>252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7">
        <v>14.505518800000001</v>
      </c>
    </row>
    <row r="206" spans="1:46" x14ac:dyDescent="0.25">
      <c r="A206" s="4" t="s">
        <v>267</v>
      </c>
      <c r="B206" s="4" t="s">
        <v>207</v>
      </c>
      <c r="C206" s="4" t="s">
        <v>246</v>
      </c>
      <c r="D206" s="4" t="s">
        <v>247</v>
      </c>
      <c r="E206" s="4" t="s">
        <v>248</v>
      </c>
      <c r="F206" s="4" t="s">
        <v>202</v>
      </c>
      <c r="G206" s="4" t="s">
        <v>103</v>
      </c>
      <c r="H206" s="4" t="s">
        <v>151</v>
      </c>
      <c r="I206" s="5">
        <v>409.78500000000003</v>
      </c>
      <c r="J206" s="5">
        <v>2157.2130000000002</v>
      </c>
      <c r="K206" s="5">
        <v>5450.1469999999999</v>
      </c>
      <c r="L206" s="5">
        <v>6283.5150000000003</v>
      </c>
      <c r="M206" s="5">
        <v>11839.531999999999</v>
      </c>
      <c r="N206" s="5">
        <v>8021.87</v>
      </c>
      <c r="O206" s="5">
        <v>4741.3130000000001</v>
      </c>
      <c r="P206" s="5">
        <v>1936.2360000000001</v>
      </c>
      <c r="Q206" s="5">
        <v>599.35</v>
      </c>
      <c r="R206" s="5">
        <v>268.99900000000002</v>
      </c>
      <c r="S206" s="5">
        <v>244.435</v>
      </c>
      <c r="T206" s="5">
        <v>352.33300000000003</v>
      </c>
      <c r="U206" s="5">
        <v>561.62800000000004</v>
      </c>
      <c r="V206" s="5">
        <v>1217.3520000000001</v>
      </c>
      <c r="W206" s="5">
        <v>3973.163</v>
      </c>
      <c r="X206" s="5">
        <v>7104.6279999999997</v>
      </c>
      <c r="Y206" s="5">
        <v>7697.1679999999997</v>
      </c>
      <c r="Z206" s="5">
        <v>6648.5889999999999</v>
      </c>
      <c r="AA206" s="5">
        <v>5970.9690000000001</v>
      </c>
      <c r="AB206" s="5">
        <v>2384.4279999999999</v>
      </c>
      <c r="AC206" s="5">
        <v>1300.171</v>
      </c>
      <c r="AD206" s="5">
        <v>624.29200000000003</v>
      </c>
      <c r="AE206" s="5">
        <v>455.86</v>
      </c>
      <c r="AF206" s="5">
        <v>364.82299999999998</v>
      </c>
      <c r="AG206" s="5">
        <v>521.08399999999995</v>
      </c>
      <c r="AH206" s="5">
        <v>1511.7919999999999</v>
      </c>
      <c r="AI206" s="5">
        <v>3701.797</v>
      </c>
      <c r="AJ206" s="5">
        <v>10230.904</v>
      </c>
      <c r="AK206" s="5">
        <v>16332.879000000001</v>
      </c>
      <c r="AL206" s="5">
        <v>10302.911</v>
      </c>
      <c r="AM206" s="5">
        <v>13812.885</v>
      </c>
      <c r="AN206" s="5">
        <v>29040.819</v>
      </c>
      <c r="AO206" s="5">
        <v>4277.91</v>
      </c>
      <c r="AP206" s="5">
        <v>1790.8489999999999</v>
      </c>
      <c r="AQ206" s="5">
        <v>1041.6210000000001</v>
      </c>
      <c r="AR206" s="5">
        <v>710.51700000000005</v>
      </c>
      <c r="AS206" s="5">
        <v>1081.472</v>
      </c>
      <c r="AT206" s="5">
        <v>1081.472</v>
      </c>
    </row>
    <row r="207" spans="1:46" x14ac:dyDescent="0.25">
      <c r="A207" s="4" t="s">
        <v>267</v>
      </c>
      <c r="B207" s="4" t="s">
        <v>207</v>
      </c>
      <c r="C207" s="4" t="s">
        <v>246</v>
      </c>
      <c r="D207" s="4" t="s">
        <v>247</v>
      </c>
      <c r="E207" s="4" t="s">
        <v>248</v>
      </c>
      <c r="F207" s="4" t="s">
        <v>202</v>
      </c>
      <c r="G207" s="4" t="s">
        <v>103</v>
      </c>
      <c r="H207" s="4" t="s">
        <v>205</v>
      </c>
      <c r="I207" s="6">
        <v>80735.856</v>
      </c>
      <c r="J207" s="6">
        <v>436193.37699999998</v>
      </c>
      <c r="K207" s="6">
        <v>1084218.5549999999</v>
      </c>
      <c r="L207" s="6">
        <v>1245351.8529999999</v>
      </c>
      <c r="M207" s="6">
        <v>2435403.8289999999</v>
      </c>
      <c r="N207" s="6">
        <v>1477888.5330000001</v>
      </c>
      <c r="O207" s="6">
        <v>909625.34</v>
      </c>
      <c r="P207" s="6">
        <v>365523.51299999998</v>
      </c>
      <c r="Q207" s="6">
        <v>105300.66099999999</v>
      </c>
      <c r="R207" s="6">
        <v>54389.872000000003</v>
      </c>
      <c r="S207" s="6">
        <v>49590.491000000002</v>
      </c>
      <c r="T207" s="6">
        <v>66731.985000000001</v>
      </c>
      <c r="U207" s="6">
        <v>115034.361</v>
      </c>
      <c r="V207" s="6">
        <v>232261.96400000001</v>
      </c>
      <c r="W207" s="6">
        <v>858570.79399999999</v>
      </c>
      <c r="X207" s="6">
        <v>1562838.5330000001</v>
      </c>
      <c r="Y207" s="6">
        <v>1720182.821</v>
      </c>
      <c r="Z207" s="6">
        <v>1519367.449</v>
      </c>
      <c r="AA207" s="6">
        <v>1356873.155</v>
      </c>
      <c r="AB207" s="6">
        <v>517246.103</v>
      </c>
      <c r="AC207" s="6">
        <v>263657.31199999998</v>
      </c>
      <c r="AD207" s="6">
        <v>135272.89199999999</v>
      </c>
      <c r="AE207" s="6">
        <v>108622.02899999999</v>
      </c>
      <c r="AF207" s="6">
        <v>82425.460000000006</v>
      </c>
      <c r="AG207" s="6">
        <v>128448.958</v>
      </c>
      <c r="AH207" s="6">
        <v>340187.82699999999</v>
      </c>
      <c r="AI207" s="6">
        <v>806123.29500000004</v>
      </c>
      <c r="AJ207" s="6">
        <v>2481548.548</v>
      </c>
      <c r="AK207" s="6">
        <v>4161041.699</v>
      </c>
      <c r="AL207" s="6">
        <v>2623551.963</v>
      </c>
      <c r="AM207" s="6">
        <v>3689684.2480000001</v>
      </c>
      <c r="AN207" s="6">
        <v>8869630.8029999994</v>
      </c>
      <c r="AO207" s="6">
        <v>1086290.6680000001</v>
      </c>
      <c r="AP207" s="6">
        <v>397293.56800000003</v>
      </c>
      <c r="AQ207" s="6">
        <v>233227.57399999999</v>
      </c>
      <c r="AR207" s="6">
        <v>161492.649</v>
      </c>
      <c r="AS207" s="6">
        <v>302767.614</v>
      </c>
      <c r="AT207" s="6">
        <v>302767.614</v>
      </c>
    </row>
    <row r="208" spans="1:46" x14ac:dyDescent="0.25">
      <c r="A208" s="4" t="s">
        <v>267</v>
      </c>
      <c r="B208" s="4" t="s">
        <v>207</v>
      </c>
      <c r="C208" s="4" t="s">
        <v>246</v>
      </c>
      <c r="D208" s="4" t="s">
        <v>247</v>
      </c>
      <c r="E208" s="4" t="s">
        <v>248</v>
      </c>
      <c r="F208" s="4" t="s">
        <v>202</v>
      </c>
      <c r="G208" s="4" t="s">
        <v>103</v>
      </c>
      <c r="H208" s="4" t="s">
        <v>249</v>
      </c>
      <c r="I208" s="7">
        <v>0.26400000000000001</v>
      </c>
      <c r="J208" s="7">
        <v>0.66600000000000004</v>
      </c>
      <c r="K208" s="7">
        <v>1.052</v>
      </c>
      <c r="L208" s="7">
        <v>0.89800000000000002</v>
      </c>
      <c r="M208" s="7">
        <v>1.121</v>
      </c>
      <c r="N208" s="7">
        <v>0.78800000000000003</v>
      </c>
      <c r="O208" s="7">
        <v>0.56599999999999995</v>
      </c>
      <c r="P208" s="7">
        <v>0.35899999999999999</v>
      </c>
      <c r="Q208" s="7">
        <v>0.19400000000000001</v>
      </c>
      <c r="R208" s="7">
        <v>0.23799999999999999</v>
      </c>
      <c r="S208" s="7">
        <v>0.249</v>
      </c>
      <c r="T208" s="7">
        <v>0.314</v>
      </c>
      <c r="U208" s="7">
        <v>0.34799999999999998</v>
      </c>
      <c r="V208" s="7">
        <v>0.39600000000000002</v>
      </c>
      <c r="W208" s="7">
        <v>0.80300000000000005</v>
      </c>
      <c r="X208" s="7">
        <v>0.95099999999999996</v>
      </c>
      <c r="Y208" s="7">
        <v>0.89600000000000002</v>
      </c>
      <c r="Z208" s="7">
        <v>0.82699999999999996</v>
      </c>
      <c r="AA208" s="7">
        <v>0.70499999999999996</v>
      </c>
      <c r="AB208" s="7">
        <v>0.38300000000000001</v>
      </c>
      <c r="AC208" s="7">
        <v>0.318</v>
      </c>
      <c r="AD208" s="7">
        <v>0.29499999999999998</v>
      </c>
      <c r="AE208" s="7">
        <v>0.372</v>
      </c>
      <c r="AF208" s="7">
        <v>0.309</v>
      </c>
      <c r="AG208" s="7">
        <v>0.42899999999999999</v>
      </c>
      <c r="AH208" s="7">
        <v>0.55500000000000005</v>
      </c>
      <c r="AI208" s="7">
        <v>0.84699999999999998</v>
      </c>
      <c r="AJ208" s="7">
        <v>1.474</v>
      </c>
      <c r="AK208" s="7">
        <v>1.72</v>
      </c>
      <c r="AL208" s="7">
        <v>1.238</v>
      </c>
      <c r="AM208" s="7">
        <v>1.5620000000000001</v>
      </c>
      <c r="AN208" s="7">
        <v>3.5019999999999998</v>
      </c>
      <c r="AO208" s="7">
        <v>1.125</v>
      </c>
      <c r="AP208" s="7">
        <v>0.90500000000000003</v>
      </c>
      <c r="AQ208" s="7">
        <v>0.89100000000000001</v>
      </c>
      <c r="AR208" s="7">
        <v>0.82399999999999995</v>
      </c>
      <c r="AS208" s="7">
        <v>0.97099999999999997</v>
      </c>
      <c r="AT208" s="7">
        <v>0.55500000000000005</v>
      </c>
    </row>
    <row r="209" spans="1:46" x14ac:dyDescent="0.25">
      <c r="A209" s="4" t="s">
        <v>267</v>
      </c>
      <c r="B209" s="4" t="s">
        <v>207</v>
      </c>
      <c r="C209" s="4" t="s">
        <v>246</v>
      </c>
      <c r="D209" s="4" t="s">
        <v>247</v>
      </c>
      <c r="E209" s="4" t="s">
        <v>248</v>
      </c>
      <c r="F209" s="4" t="s">
        <v>202</v>
      </c>
      <c r="G209" s="4" t="s">
        <v>103</v>
      </c>
      <c r="H209" s="4" t="s">
        <v>250</v>
      </c>
      <c r="I209" s="7">
        <v>64.305000000000007</v>
      </c>
      <c r="J209" s="7">
        <v>94.144999999999996</v>
      </c>
      <c r="K209" s="7">
        <v>97.629000000000005</v>
      </c>
      <c r="L209" s="7">
        <v>98.24</v>
      </c>
      <c r="M209" s="7">
        <v>98.016000000000005</v>
      </c>
      <c r="N209" s="7">
        <v>96.724000000000004</v>
      </c>
      <c r="O209" s="7">
        <v>94.094999999999999</v>
      </c>
      <c r="P209" s="7">
        <v>91.84</v>
      </c>
      <c r="Q209" s="7">
        <v>80.929000000000002</v>
      </c>
      <c r="R209" s="7">
        <v>49.475999999999999</v>
      </c>
      <c r="S209" s="7">
        <v>49.963000000000001</v>
      </c>
      <c r="T209" s="7">
        <v>63.279000000000003</v>
      </c>
      <c r="U209" s="7">
        <v>72.941000000000003</v>
      </c>
      <c r="V209" s="7">
        <v>86.131</v>
      </c>
      <c r="W209" s="7">
        <v>97.697000000000003</v>
      </c>
      <c r="X209" s="7">
        <v>98.269000000000005</v>
      </c>
      <c r="Y209" s="7">
        <v>98.385000000000005</v>
      </c>
      <c r="Z209" s="7">
        <v>97.489000000000004</v>
      </c>
      <c r="AA209" s="7">
        <v>96.926000000000002</v>
      </c>
      <c r="AB209" s="7">
        <v>91.424000000000007</v>
      </c>
      <c r="AC209" s="7">
        <v>85.825000000000003</v>
      </c>
      <c r="AD209" s="7">
        <v>64.415000000000006</v>
      </c>
      <c r="AE209" s="7">
        <v>53.432000000000002</v>
      </c>
      <c r="AF209" s="7">
        <v>60.47</v>
      </c>
      <c r="AG209" s="7">
        <v>68.536000000000001</v>
      </c>
      <c r="AH209" s="7">
        <v>87.757000000000005</v>
      </c>
      <c r="AI209" s="7">
        <v>95.462000000000003</v>
      </c>
      <c r="AJ209" s="7">
        <v>97.066000000000003</v>
      </c>
      <c r="AK209" s="7">
        <v>98.063000000000002</v>
      </c>
      <c r="AL209" s="7">
        <v>97.134</v>
      </c>
      <c r="AM209" s="7">
        <v>97.213999999999999</v>
      </c>
      <c r="AN209" s="7">
        <v>97.828000000000003</v>
      </c>
      <c r="AO209" s="7">
        <v>93.305999999999997</v>
      </c>
      <c r="AP209" s="7">
        <v>83.525000000000006</v>
      </c>
      <c r="AQ209" s="7">
        <v>70.536000000000001</v>
      </c>
      <c r="AR209" s="7">
        <v>64.790999999999997</v>
      </c>
      <c r="AS209" s="7">
        <v>85.117999999999995</v>
      </c>
      <c r="AT209" s="8">
        <v>0</v>
      </c>
    </row>
    <row r="210" spans="1:46" x14ac:dyDescent="0.25">
      <c r="A210" s="4" t="s">
        <v>267</v>
      </c>
      <c r="B210" s="4" t="s">
        <v>207</v>
      </c>
      <c r="C210" s="4" t="s">
        <v>246</v>
      </c>
      <c r="D210" s="4" t="s">
        <v>247</v>
      </c>
      <c r="E210" s="4" t="s">
        <v>248</v>
      </c>
      <c r="F210" s="4" t="s">
        <v>202</v>
      </c>
      <c r="G210" s="4" t="s">
        <v>103</v>
      </c>
      <c r="H210" s="4" t="s">
        <v>251</v>
      </c>
      <c r="I210" s="7">
        <v>58.120763099999998</v>
      </c>
      <c r="J210" s="7">
        <v>90.886495199999999</v>
      </c>
      <c r="K210" s="7">
        <v>95.497243999999995</v>
      </c>
      <c r="L210" s="7">
        <v>95.762908400000001</v>
      </c>
      <c r="M210" s="7">
        <v>92.660309900000001</v>
      </c>
      <c r="N210" s="7">
        <v>91.418672799999996</v>
      </c>
      <c r="O210" s="7">
        <v>86.9421198</v>
      </c>
      <c r="P210" s="7">
        <v>84.001938199999998</v>
      </c>
      <c r="Q210" s="7">
        <v>69.411497699999998</v>
      </c>
      <c r="R210" s="7">
        <v>39.384550099999998</v>
      </c>
      <c r="S210" s="7">
        <v>40.547018799999996</v>
      </c>
      <c r="T210" s="7">
        <v>53.916593800000001</v>
      </c>
      <c r="U210" s="7">
        <v>65.093939000000006</v>
      </c>
      <c r="V210" s="7">
        <v>78.278065999999995</v>
      </c>
      <c r="W210" s="7">
        <v>93.255544900000004</v>
      </c>
      <c r="X210" s="7">
        <v>92.870223600000003</v>
      </c>
      <c r="Y210" s="7">
        <v>92.282263999999998</v>
      </c>
      <c r="Z210" s="7">
        <v>91.140259099999994</v>
      </c>
      <c r="AA210" s="7">
        <v>91.008822499999994</v>
      </c>
      <c r="AB210" s="7">
        <v>84.031964700000003</v>
      </c>
      <c r="AC210" s="7">
        <v>75.7108949</v>
      </c>
      <c r="AD210" s="7">
        <v>51.452150199999998</v>
      </c>
      <c r="AE210" s="7">
        <v>39.5308797</v>
      </c>
      <c r="AF210" s="7">
        <v>50.704273899999997</v>
      </c>
      <c r="AG210" s="7">
        <v>60.387338700000001</v>
      </c>
      <c r="AH210" s="7">
        <v>81.880200799999997</v>
      </c>
      <c r="AI210" s="7">
        <v>92.088697199999999</v>
      </c>
      <c r="AJ210" s="7">
        <v>92.601682600000004</v>
      </c>
      <c r="AK210" s="7">
        <v>93.755937399999993</v>
      </c>
      <c r="AL210" s="7">
        <v>91.891501300000002</v>
      </c>
      <c r="AM210" s="7">
        <v>91.894736300000005</v>
      </c>
      <c r="AN210" s="7">
        <v>91.046724400000002</v>
      </c>
      <c r="AO210" s="7">
        <v>87.225788100000003</v>
      </c>
      <c r="AP210" s="7">
        <v>69.739968500000003</v>
      </c>
      <c r="AQ210" s="7">
        <v>52.387816600000001</v>
      </c>
      <c r="AR210" s="7">
        <v>46.613602299999997</v>
      </c>
      <c r="AS210" s="7">
        <v>71.298549199999997</v>
      </c>
      <c r="AT210" s="7">
        <v>85.117999999999995</v>
      </c>
    </row>
    <row r="211" spans="1:46" x14ac:dyDescent="0.25">
      <c r="A211" s="4" t="s">
        <v>267</v>
      </c>
      <c r="B211" s="4" t="s">
        <v>207</v>
      </c>
      <c r="C211" s="4" t="s">
        <v>246</v>
      </c>
      <c r="D211" s="4" t="s">
        <v>247</v>
      </c>
      <c r="E211" s="4" t="s">
        <v>248</v>
      </c>
      <c r="F211" s="4" t="s">
        <v>202</v>
      </c>
      <c r="G211" s="4" t="s">
        <v>103</v>
      </c>
      <c r="H211" s="4" t="s">
        <v>252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7">
        <v>71.298549199999997</v>
      </c>
    </row>
    <row r="212" spans="1:46" x14ac:dyDescent="0.25">
      <c r="A212" s="4" t="s">
        <v>267</v>
      </c>
      <c r="B212" s="4" t="s">
        <v>207</v>
      </c>
      <c r="C212" s="4" t="s">
        <v>246</v>
      </c>
      <c r="D212" s="4" t="s">
        <v>254</v>
      </c>
      <c r="E212" s="4" t="s">
        <v>255</v>
      </c>
      <c r="F212" s="4" t="s">
        <v>203</v>
      </c>
      <c r="G212" s="4" t="s">
        <v>138</v>
      </c>
      <c r="H212" s="4" t="s">
        <v>151</v>
      </c>
      <c r="I212" s="5">
        <v>0.42899999999999999</v>
      </c>
      <c r="J212" s="5">
        <v>0.57099999999999995</v>
      </c>
      <c r="K212" s="8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5">
        <v>6.7460000000000004</v>
      </c>
      <c r="AF212" s="5">
        <v>6.5220000000000002</v>
      </c>
      <c r="AG212" s="5">
        <v>6.7619999999999996</v>
      </c>
      <c r="AH212" s="5">
        <v>7.2460000000000004</v>
      </c>
      <c r="AI212" s="5">
        <v>7.98</v>
      </c>
      <c r="AJ212" s="8">
        <v>0</v>
      </c>
      <c r="AK212" s="8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</row>
    <row r="213" spans="1:46" x14ac:dyDescent="0.25">
      <c r="A213" s="4" t="s">
        <v>267</v>
      </c>
      <c r="B213" s="4" t="s">
        <v>207</v>
      </c>
      <c r="C213" s="4" t="s">
        <v>246</v>
      </c>
      <c r="D213" s="4" t="s">
        <v>254</v>
      </c>
      <c r="E213" s="4" t="s">
        <v>255</v>
      </c>
      <c r="F213" s="4" t="s">
        <v>203</v>
      </c>
      <c r="G213" s="4" t="s">
        <v>138</v>
      </c>
      <c r="H213" s="4" t="s">
        <v>205</v>
      </c>
      <c r="I213" s="6">
        <v>114.43600000000001</v>
      </c>
      <c r="J213" s="6">
        <v>152.56399999999999</v>
      </c>
      <c r="K213" s="10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6">
        <v>1502.211</v>
      </c>
      <c r="AF213" s="6">
        <v>1452.1790000000001</v>
      </c>
      <c r="AG213" s="6">
        <v>1505.7239999999999</v>
      </c>
      <c r="AH213" s="6">
        <v>1613.5170000000001</v>
      </c>
      <c r="AI213" s="6">
        <v>1776.8050000000001</v>
      </c>
      <c r="AJ213" s="10">
        <v>0</v>
      </c>
      <c r="AK213" s="10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</row>
    <row r="214" spans="1:46" x14ac:dyDescent="0.25">
      <c r="A214" s="4" t="s">
        <v>267</v>
      </c>
      <c r="B214" s="4" t="s">
        <v>207</v>
      </c>
      <c r="C214" s="4" t="s">
        <v>246</v>
      </c>
      <c r="D214" s="4" t="s">
        <v>254</v>
      </c>
      <c r="E214" s="4" t="s">
        <v>255</v>
      </c>
      <c r="F214" s="4" t="s">
        <v>203</v>
      </c>
      <c r="G214" s="4" t="s">
        <v>138</v>
      </c>
      <c r="H214" s="4" t="s">
        <v>249</v>
      </c>
      <c r="I214" s="7">
        <v>0</v>
      </c>
      <c r="J214" s="7">
        <v>0</v>
      </c>
      <c r="K214" s="11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11">
        <v>0</v>
      </c>
      <c r="AK214" s="11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</row>
    <row r="215" spans="1:46" x14ac:dyDescent="0.25">
      <c r="A215" s="4" t="s">
        <v>267</v>
      </c>
      <c r="B215" s="4" t="s">
        <v>207</v>
      </c>
      <c r="C215" s="4" t="s">
        <v>246</v>
      </c>
      <c r="D215" s="4" t="s">
        <v>254</v>
      </c>
      <c r="E215" s="4" t="s">
        <v>255</v>
      </c>
      <c r="F215" s="4" t="s">
        <v>203</v>
      </c>
      <c r="G215" s="4" t="s">
        <v>138</v>
      </c>
      <c r="H215" s="4" t="s">
        <v>250</v>
      </c>
      <c r="I215" s="7">
        <v>0.03</v>
      </c>
      <c r="J215" s="7">
        <v>2.9000000000000001E-2</v>
      </c>
      <c r="K215" s="11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7">
        <v>2.726</v>
      </c>
      <c r="AF215" s="7">
        <v>2.5510000000000002</v>
      </c>
      <c r="AG215" s="7">
        <v>1.8029999999999999</v>
      </c>
      <c r="AH215" s="7">
        <v>1.2849999999999999</v>
      </c>
      <c r="AI215" s="7">
        <v>0.80900000000000005</v>
      </c>
      <c r="AJ215" s="11">
        <v>0</v>
      </c>
      <c r="AK215" s="11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</row>
    <row r="216" spans="1:46" x14ac:dyDescent="0.25">
      <c r="A216" s="4" t="s">
        <v>267</v>
      </c>
      <c r="B216" s="4" t="s">
        <v>207</v>
      </c>
      <c r="C216" s="4" t="s">
        <v>246</v>
      </c>
      <c r="D216" s="4" t="s">
        <v>254</v>
      </c>
      <c r="E216" s="4" t="s">
        <v>255</v>
      </c>
      <c r="F216" s="4" t="s">
        <v>203</v>
      </c>
      <c r="G216" s="4" t="s">
        <v>138</v>
      </c>
      <c r="H216" s="4" t="s">
        <v>251</v>
      </c>
      <c r="I216" s="7">
        <v>0.31153419999999998</v>
      </c>
      <c r="J216" s="7">
        <v>0.3106912</v>
      </c>
      <c r="K216" s="7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7">
        <v>1.7361964999999999</v>
      </c>
      <c r="AF216" s="7">
        <v>1.7236971000000001</v>
      </c>
      <c r="AG216" s="7">
        <v>1.730478</v>
      </c>
      <c r="AH216" s="7">
        <v>1.7133752</v>
      </c>
      <c r="AI216" s="7">
        <v>1.6983119</v>
      </c>
      <c r="AJ216" s="7">
        <v>0</v>
      </c>
      <c r="AK216" s="7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</row>
    <row r="217" spans="1:46" x14ac:dyDescent="0.25">
      <c r="A217" s="4" t="s">
        <v>267</v>
      </c>
      <c r="B217" s="4" t="s">
        <v>207</v>
      </c>
      <c r="C217" s="4" t="s">
        <v>246</v>
      </c>
      <c r="D217" s="4" t="s">
        <v>254</v>
      </c>
      <c r="E217" s="4" t="s">
        <v>255</v>
      </c>
      <c r="F217" s="4" t="s">
        <v>203</v>
      </c>
      <c r="G217" s="4" t="s">
        <v>138</v>
      </c>
      <c r="H217" s="4" t="s">
        <v>252</v>
      </c>
      <c r="I217" s="17">
        <v>0</v>
      </c>
      <c r="J217" s="17">
        <v>0</v>
      </c>
      <c r="K217" s="17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</row>
    <row r="218" spans="1:46" x14ac:dyDescent="0.25">
      <c r="A218" s="4" t="s">
        <v>267</v>
      </c>
      <c r="B218" s="4" t="s">
        <v>207</v>
      </c>
      <c r="C218" s="4" t="s">
        <v>246</v>
      </c>
      <c r="D218" s="4" t="s">
        <v>254</v>
      </c>
      <c r="E218" s="4" t="s">
        <v>255</v>
      </c>
      <c r="F218" s="4" t="s">
        <v>195</v>
      </c>
      <c r="G218" s="4" t="s">
        <v>93</v>
      </c>
      <c r="H218" s="4" t="s">
        <v>151</v>
      </c>
      <c r="I218" s="5">
        <v>3774.9960000000001</v>
      </c>
      <c r="J218" s="5">
        <v>6505.6229999999996</v>
      </c>
      <c r="K218" s="5">
        <v>13257.396000000001</v>
      </c>
      <c r="L218" s="5">
        <v>16498.419999999998</v>
      </c>
      <c r="M218" s="5">
        <v>23760.920999999998</v>
      </c>
      <c r="N218" s="5">
        <v>17764.853999999999</v>
      </c>
      <c r="O218" s="5">
        <v>15111.999</v>
      </c>
      <c r="P218" s="5">
        <v>8938.8130000000001</v>
      </c>
      <c r="Q218" s="5">
        <v>5441.9880000000003</v>
      </c>
      <c r="R218" s="5">
        <v>2974.7040000000002</v>
      </c>
      <c r="S218" s="5">
        <v>2527.0369999999998</v>
      </c>
      <c r="T218" s="5">
        <v>2349.7199999999998</v>
      </c>
      <c r="U218" s="5">
        <v>3220.895</v>
      </c>
      <c r="V218" s="5">
        <v>4975.7209999999995</v>
      </c>
      <c r="W218" s="5">
        <v>7909.7820000000002</v>
      </c>
      <c r="X218" s="5">
        <v>14746.177</v>
      </c>
      <c r="Y218" s="5">
        <v>12943.67</v>
      </c>
      <c r="Z218" s="5">
        <v>11572.767</v>
      </c>
      <c r="AA218" s="5">
        <v>12481.009</v>
      </c>
      <c r="AB218" s="5">
        <v>9026.26</v>
      </c>
      <c r="AC218" s="5">
        <v>5853.4189999999999</v>
      </c>
      <c r="AD218" s="5">
        <v>4160.3850000000002</v>
      </c>
      <c r="AE218" s="5">
        <v>3170.4789999999998</v>
      </c>
      <c r="AF218" s="5">
        <v>2790.97</v>
      </c>
      <c r="AG218" s="5">
        <v>2812.2370000000001</v>
      </c>
      <c r="AH218" s="5">
        <v>4235.3559999999998</v>
      </c>
      <c r="AI218" s="5">
        <v>6492.3950000000004</v>
      </c>
      <c r="AJ218" s="5">
        <v>10792.073</v>
      </c>
      <c r="AK218" s="5">
        <v>11836.025</v>
      </c>
      <c r="AL218" s="5">
        <v>12120.696</v>
      </c>
      <c r="AM218" s="5">
        <v>10810.884</v>
      </c>
      <c r="AN218" s="5">
        <v>7139.9669999999996</v>
      </c>
      <c r="AO218" s="5">
        <v>4146.2889999999998</v>
      </c>
      <c r="AP218" s="5">
        <v>3113.4050000000002</v>
      </c>
      <c r="AQ218" s="5">
        <v>2063.4009999999998</v>
      </c>
      <c r="AR218" s="5">
        <v>1476.1880000000001</v>
      </c>
      <c r="AS218" s="5">
        <v>1426.2940000000001</v>
      </c>
      <c r="AT218" s="5">
        <v>1426.2940000000001</v>
      </c>
    </row>
    <row r="219" spans="1:46" x14ac:dyDescent="0.25">
      <c r="A219" s="4" t="s">
        <v>267</v>
      </c>
      <c r="B219" s="4" t="s">
        <v>207</v>
      </c>
      <c r="C219" s="4" t="s">
        <v>246</v>
      </c>
      <c r="D219" s="4" t="s">
        <v>254</v>
      </c>
      <c r="E219" s="4" t="s">
        <v>255</v>
      </c>
      <c r="F219" s="4" t="s">
        <v>195</v>
      </c>
      <c r="G219" s="4" t="s">
        <v>93</v>
      </c>
      <c r="H219" s="4" t="s">
        <v>205</v>
      </c>
      <c r="I219" s="6">
        <v>757616.44200000004</v>
      </c>
      <c r="J219" s="6">
        <v>1306780.9580000001</v>
      </c>
      <c r="K219" s="6">
        <v>2617433.855</v>
      </c>
      <c r="L219" s="6">
        <v>3250924.3229999999</v>
      </c>
      <c r="M219" s="6">
        <v>4801700.8660000004</v>
      </c>
      <c r="N219" s="6">
        <v>3545558.4010000001</v>
      </c>
      <c r="O219" s="6">
        <v>2914658.8050000002</v>
      </c>
      <c r="P219" s="6">
        <v>1702898.2169999999</v>
      </c>
      <c r="Q219" s="6">
        <v>1046549.019</v>
      </c>
      <c r="R219" s="6">
        <v>568508.47</v>
      </c>
      <c r="S219" s="6">
        <v>483665.45199999999</v>
      </c>
      <c r="T219" s="6">
        <v>454993.32900000003</v>
      </c>
      <c r="U219" s="6">
        <v>625648.85699999996</v>
      </c>
      <c r="V219" s="6">
        <v>939147.527</v>
      </c>
      <c r="W219" s="6">
        <v>1504046.3589999999</v>
      </c>
      <c r="X219" s="6">
        <v>2712543.872</v>
      </c>
      <c r="Y219" s="6">
        <v>2539058.3360000001</v>
      </c>
      <c r="Z219" s="6">
        <v>2357580.6839999999</v>
      </c>
      <c r="AA219" s="6">
        <v>2504792.1979999999</v>
      </c>
      <c r="AB219" s="6">
        <v>1717919.8030000001</v>
      </c>
      <c r="AC219" s="6">
        <v>1131731.828</v>
      </c>
      <c r="AD219" s="6">
        <v>817377.98699999996</v>
      </c>
      <c r="AE219" s="6">
        <v>613470.36800000002</v>
      </c>
      <c r="AF219" s="6">
        <v>552500.90500000003</v>
      </c>
      <c r="AG219" s="6">
        <v>620883.929</v>
      </c>
      <c r="AH219" s="6">
        <v>916250.84199999995</v>
      </c>
      <c r="AI219" s="6">
        <v>1378511.3230000001</v>
      </c>
      <c r="AJ219" s="6">
        <v>2348835.4419999998</v>
      </c>
      <c r="AK219" s="6">
        <v>2540590.0019999999</v>
      </c>
      <c r="AL219" s="6">
        <v>2547577.9419999998</v>
      </c>
      <c r="AM219" s="6">
        <v>2257067.1359999999</v>
      </c>
      <c r="AN219" s="6">
        <v>1514792.7919999999</v>
      </c>
      <c r="AO219" s="6">
        <v>877803.43599999999</v>
      </c>
      <c r="AP219" s="6">
        <v>647502.46299999999</v>
      </c>
      <c r="AQ219" s="6">
        <v>437408.984</v>
      </c>
      <c r="AR219" s="6">
        <v>312351.13099999999</v>
      </c>
      <c r="AS219" s="6">
        <v>329803.304</v>
      </c>
      <c r="AT219" s="6">
        <v>329803.304</v>
      </c>
    </row>
    <row r="220" spans="1:46" x14ac:dyDescent="0.25">
      <c r="A220" s="4" t="s">
        <v>267</v>
      </c>
      <c r="B220" s="4" t="s">
        <v>207</v>
      </c>
      <c r="C220" s="4" t="s">
        <v>246</v>
      </c>
      <c r="D220" s="4" t="s">
        <v>254</v>
      </c>
      <c r="E220" s="4" t="s">
        <v>255</v>
      </c>
      <c r="F220" s="4" t="s">
        <v>195</v>
      </c>
      <c r="G220" s="4" t="s">
        <v>93</v>
      </c>
      <c r="H220" s="4" t="s">
        <v>249</v>
      </c>
      <c r="I220" s="7">
        <v>8.4600000000000009</v>
      </c>
      <c r="J220" s="7">
        <v>7.4580000000000002</v>
      </c>
      <c r="K220" s="7">
        <v>9.093</v>
      </c>
      <c r="L220" s="7">
        <v>8.8079999999999998</v>
      </c>
      <c r="M220" s="7">
        <v>8.1479999999999997</v>
      </c>
      <c r="N220" s="7">
        <v>6.8010000000000002</v>
      </c>
      <c r="O220" s="7">
        <v>6.91</v>
      </c>
      <c r="P220" s="7">
        <v>6.5469999999999997</v>
      </c>
      <c r="Q220" s="7">
        <v>7.6820000000000004</v>
      </c>
      <c r="R220" s="7">
        <v>9.9719999999999995</v>
      </c>
      <c r="S220" s="7">
        <v>10.907999999999999</v>
      </c>
      <c r="T220" s="7">
        <v>9.2469999999999999</v>
      </c>
      <c r="U220" s="7">
        <v>8.0670000000000002</v>
      </c>
      <c r="V220" s="7">
        <v>6.9290000000000003</v>
      </c>
      <c r="W220" s="7">
        <v>6.0590000000000002</v>
      </c>
      <c r="X220" s="7">
        <v>7.2089999999999996</v>
      </c>
      <c r="Y220" s="7">
        <v>5.633</v>
      </c>
      <c r="Z220" s="7">
        <v>5.34</v>
      </c>
      <c r="AA220" s="7">
        <v>5.6420000000000003</v>
      </c>
      <c r="AB220" s="7">
        <v>5.8849999999999998</v>
      </c>
      <c r="AC220" s="7">
        <v>6.1879999999999997</v>
      </c>
      <c r="AD220" s="7">
        <v>7.8440000000000003</v>
      </c>
      <c r="AE220" s="7">
        <v>9.8930000000000007</v>
      </c>
      <c r="AF220" s="7">
        <v>9.3789999999999996</v>
      </c>
      <c r="AG220" s="7">
        <v>8.7370000000000001</v>
      </c>
      <c r="AH220" s="7">
        <v>6.5449999999999999</v>
      </c>
      <c r="AI220" s="7">
        <v>6.3949999999999996</v>
      </c>
      <c r="AJ220" s="7">
        <v>6.03</v>
      </c>
      <c r="AK220" s="7">
        <v>4.6909999999999998</v>
      </c>
      <c r="AL220" s="7">
        <v>5.5010000000000003</v>
      </c>
      <c r="AM220" s="7">
        <v>4.4160000000000004</v>
      </c>
      <c r="AN220" s="7">
        <v>2.8860000000000001</v>
      </c>
      <c r="AO220" s="7">
        <v>4.0209999999999999</v>
      </c>
      <c r="AP220" s="7">
        <v>6.2270000000000003</v>
      </c>
      <c r="AQ220" s="7">
        <v>7.234</v>
      </c>
      <c r="AR220" s="7">
        <v>6.7050000000000001</v>
      </c>
      <c r="AS220" s="7">
        <v>4.8410000000000002</v>
      </c>
      <c r="AT220" s="7">
        <v>0.73199999999999998</v>
      </c>
    </row>
    <row r="221" spans="1:46" x14ac:dyDescent="0.25">
      <c r="A221" s="4" t="s">
        <v>267</v>
      </c>
      <c r="B221" s="4" t="s">
        <v>207</v>
      </c>
      <c r="C221" s="4" t="s">
        <v>246</v>
      </c>
      <c r="D221" s="4" t="s">
        <v>254</v>
      </c>
      <c r="E221" s="4" t="s">
        <v>255</v>
      </c>
      <c r="F221" s="4" t="s">
        <v>195</v>
      </c>
      <c r="G221" s="4" t="s">
        <v>93</v>
      </c>
      <c r="H221" s="4" t="s">
        <v>250</v>
      </c>
      <c r="I221" s="7">
        <v>98.897999999999996</v>
      </c>
      <c r="J221" s="7">
        <v>99.036000000000001</v>
      </c>
      <c r="K221" s="7">
        <v>99.864000000000004</v>
      </c>
      <c r="L221" s="7">
        <v>99.882999999999996</v>
      </c>
      <c r="M221" s="7">
        <v>99.852999999999994</v>
      </c>
      <c r="N221" s="7">
        <v>99.641999999999996</v>
      </c>
      <c r="O221" s="7">
        <v>99.701999999999998</v>
      </c>
      <c r="P221" s="7">
        <v>97.814999999999998</v>
      </c>
      <c r="Q221" s="7">
        <v>95.974000000000004</v>
      </c>
      <c r="R221" s="7">
        <v>92.884</v>
      </c>
      <c r="S221" s="7">
        <v>91.596000000000004</v>
      </c>
      <c r="T221" s="7">
        <v>93.358999999999995</v>
      </c>
      <c r="U221" s="7">
        <v>96.147000000000006</v>
      </c>
      <c r="V221" s="7">
        <v>97.64</v>
      </c>
      <c r="W221" s="7">
        <v>98.626999999999995</v>
      </c>
      <c r="X221" s="7">
        <v>99.230999999999995</v>
      </c>
      <c r="Y221" s="7">
        <v>99.572000000000003</v>
      </c>
      <c r="Z221" s="7">
        <v>99.789000000000001</v>
      </c>
      <c r="AA221" s="7">
        <v>99.658000000000001</v>
      </c>
      <c r="AB221" s="7">
        <v>99.465000000000003</v>
      </c>
      <c r="AC221" s="7">
        <v>98.378</v>
      </c>
      <c r="AD221" s="7">
        <v>97.927999999999997</v>
      </c>
      <c r="AE221" s="7">
        <v>96.156999999999996</v>
      </c>
      <c r="AF221" s="7">
        <v>90.037000000000006</v>
      </c>
      <c r="AG221" s="7">
        <v>92.475999999999999</v>
      </c>
      <c r="AH221" s="7">
        <v>98.873999999999995</v>
      </c>
      <c r="AI221" s="7">
        <v>99.448999999999998</v>
      </c>
      <c r="AJ221" s="7">
        <v>99.641999999999996</v>
      </c>
      <c r="AK221" s="7">
        <v>99.647999999999996</v>
      </c>
      <c r="AL221" s="7">
        <v>99.251000000000005</v>
      </c>
      <c r="AM221" s="7">
        <v>98.444000000000003</v>
      </c>
      <c r="AN221" s="7">
        <v>97.075999999999993</v>
      </c>
      <c r="AO221" s="7">
        <v>94.113</v>
      </c>
      <c r="AP221" s="7">
        <v>94.817999999999998</v>
      </c>
      <c r="AQ221" s="7">
        <v>93.6</v>
      </c>
      <c r="AR221" s="7">
        <v>89.38</v>
      </c>
      <c r="AS221" s="7">
        <v>88.703999999999994</v>
      </c>
      <c r="AT221" s="8">
        <v>0</v>
      </c>
    </row>
    <row r="222" spans="1:46" x14ac:dyDescent="0.25">
      <c r="A222" s="4" t="s">
        <v>267</v>
      </c>
      <c r="B222" s="4" t="s">
        <v>207</v>
      </c>
      <c r="C222" s="4" t="s">
        <v>246</v>
      </c>
      <c r="D222" s="4" t="s">
        <v>254</v>
      </c>
      <c r="E222" s="4" t="s">
        <v>255</v>
      </c>
      <c r="F222" s="4" t="s">
        <v>195</v>
      </c>
      <c r="G222" s="4" t="s">
        <v>93</v>
      </c>
      <c r="H222" s="4" t="s">
        <v>251</v>
      </c>
      <c r="I222" s="7">
        <v>92.055876799999993</v>
      </c>
      <c r="J222" s="7">
        <v>93.630830500000002</v>
      </c>
      <c r="K222" s="7">
        <v>97.670988300000005</v>
      </c>
      <c r="L222" s="7">
        <v>97.649889999999999</v>
      </c>
      <c r="M222" s="7">
        <v>97.069429799999995</v>
      </c>
      <c r="N222" s="7">
        <v>96.769310300000001</v>
      </c>
      <c r="O222" s="7">
        <v>95.335197199999996</v>
      </c>
      <c r="P222" s="7">
        <v>91.461013300000005</v>
      </c>
      <c r="Q222" s="7">
        <v>90.900558500000002</v>
      </c>
      <c r="R222" s="7">
        <v>88.034080200000005</v>
      </c>
      <c r="S222" s="7">
        <v>85.914374899999999</v>
      </c>
      <c r="T222" s="7">
        <v>88.025753499999993</v>
      </c>
      <c r="U222" s="7">
        <v>88.512544700000007</v>
      </c>
      <c r="V222" s="7">
        <v>88.846919799999995</v>
      </c>
      <c r="W222" s="7">
        <v>89.184506799999994</v>
      </c>
      <c r="X222" s="7">
        <v>91.715807299999994</v>
      </c>
      <c r="Y222" s="7">
        <v>93.449319200000005</v>
      </c>
      <c r="Z222" s="7">
        <v>94.752201900000003</v>
      </c>
      <c r="AA222" s="7">
        <v>94.454934699999995</v>
      </c>
      <c r="AB222" s="7">
        <v>93.859684999999999</v>
      </c>
      <c r="AC222" s="7">
        <v>92.055617400000003</v>
      </c>
      <c r="AD222" s="7">
        <v>91.624611299999998</v>
      </c>
      <c r="AE222" s="7">
        <v>87.4886786</v>
      </c>
      <c r="AF222" s="7">
        <v>85.895273900000007</v>
      </c>
      <c r="AG222" s="7">
        <v>89.463407599999996</v>
      </c>
      <c r="AH222" s="7">
        <v>93.920088199999995</v>
      </c>
      <c r="AI222" s="7">
        <v>94.282349999999994</v>
      </c>
      <c r="AJ222" s="7">
        <v>94.239469600000007</v>
      </c>
      <c r="AK222" s="7">
        <v>94.925017400000002</v>
      </c>
      <c r="AL222" s="7">
        <v>93.015558999999996</v>
      </c>
      <c r="AM222" s="7">
        <v>92.071342099999995</v>
      </c>
      <c r="AN222" s="7">
        <v>89.4289986</v>
      </c>
      <c r="AO222" s="7">
        <v>85.886326999999994</v>
      </c>
      <c r="AP222" s="7">
        <v>84.632933600000001</v>
      </c>
      <c r="AQ222" s="7">
        <v>80.826230600000002</v>
      </c>
      <c r="AR222" s="7">
        <v>75.877124499999994</v>
      </c>
      <c r="AS222" s="7">
        <v>74.816210100000006</v>
      </c>
      <c r="AT222" s="7">
        <v>88.703999999999994</v>
      </c>
    </row>
    <row r="223" spans="1:46" x14ac:dyDescent="0.25">
      <c r="A223" s="4" t="s">
        <v>267</v>
      </c>
      <c r="B223" s="4" t="s">
        <v>207</v>
      </c>
      <c r="C223" s="4" t="s">
        <v>246</v>
      </c>
      <c r="D223" s="4" t="s">
        <v>254</v>
      </c>
      <c r="E223" s="4" t="s">
        <v>255</v>
      </c>
      <c r="F223" s="4" t="s">
        <v>195</v>
      </c>
      <c r="G223" s="4" t="s">
        <v>93</v>
      </c>
      <c r="H223" s="4" t="s">
        <v>252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7">
        <v>74.816210100000006</v>
      </c>
    </row>
    <row r="224" spans="1:46" x14ac:dyDescent="0.25">
      <c r="A224" s="4" t="s">
        <v>267</v>
      </c>
      <c r="B224" s="4" t="s">
        <v>207</v>
      </c>
      <c r="C224" s="4" t="s">
        <v>246</v>
      </c>
      <c r="D224" s="4" t="s">
        <v>254</v>
      </c>
      <c r="E224" s="4" t="s">
        <v>255</v>
      </c>
      <c r="F224" s="4" t="s">
        <v>195</v>
      </c>
      <c r="G224" s="4" t="s">
        <v>138</v>
      </c>
      <c r="H224" s="4" t="s">
        <v>151</v>
      </c>
      <c r="I224" s="5">
        <v>657.66300000000001</v>
      </c>
      <c r="J224" s="5">
        <v>921.83199999999999</v>
      </c>
      <c r="K224" s="5">
        <v>1821.394</v>
      </c>
      <c r="L224" s="5">
        <v>3005.8850000000002</v>
      </c>
      <c r="M224" s="5">
        <v>3852.8159999999998</v>
      </c>
      <c r="N224" s="5">
        <v>2324.3829999999998</v>
      </c>
      <c r="O224" s="5">
        <v>2073.5320000000002</v>
      </c>
      <c r="P224" s="5">
        <v>1456.58</v>
      </c>
      <c r="Q224" s="5">
        <v>872.17</v>
      </c>
      <c r="R224" s="5">
        <v>617.72</v>
      </c>
      <c r="S224" s="5">
        <v>361.68099999999998</v>
      </c>
      <c r="T224" s="5">
        <v>322.90899999999999</v>
      </c>
      <c r="U224" s="5">
        <v>406.28199999999998</v>
      </c>
      <c r="V224" s="5">
        <v>652.60299999999995</v>
      </c>
      <c r="W224" s="5">
        <v>1193.9570000000001</v>
      </c>
      <c r="X224" s="5">
        <v>2127.7669999999998</v>
      </c>
      <c r="Y224" s="5">
        <v>2141.864</v>
      </c>
      <c r="Z224" s="5">
        <v>2020.85</v>
      </c>
      <c r="AA224" s="5">
        <v>2001.0129999999999</v>
      </c>
      <c r="AB224" s="5">
        <v>1271.3140000000001</v>
      </c>
      <c r="AC224" s="5">
        <v>616.553</v>
      </c>
      <c r="AD224" s="5">
        <v>428.83699999999999</v>
      </c>
      <c r="AE224" s="5">
        <v>445.49599999999998</v>
      </c>
      <c r="AF224" s="5">
        <v>320.065</v>
      </c>
      <c r="AG224" s="5">
        <v>331.24400000000003</v>
      </c>
      <c r="AH224" s="5">
        <v>536.31200000000001</v>
      </c>
      <c r="AI224" s="5">
        <v>808.21100000000001</v>
      </c>
      <c r="AJ224" s="5">
        <v>1807.0940000000001</v>
      </c>
      <c r="AK224" s="5">
        <v>2106.127</v>
      </c>
      <c r="AL224" s="5">
        <v>1717.578</v>
      </c>
      <c r="AM224" s="5">
        <v>1535.5909999999999</v>
      </c>
      <c r="AN224" s="5">
        <v>998.12</v>
      </c>
      <c r="AO224" s="5">
        <v>514.74199999999996</v>
      </c>
      <c r="AP224" s="5">
        <v>381.39699999999999</v>
      </c>
      <c r="AQ224" s="5">
        <v>255.23500000000001</v>
      </c>
      <c r="AR224" s="5">
        <v>199.929</v>
      </c>
      <c r="AS224" s="5">
        <v>293.26900000000001</v>
      </c>
      <c r="AT224" s="5">
        <v>293.26900000000001</v>
      </c>
    </row>
    <row r="225" spans="1:46" x14ac:dyDescent="0.25">
      <c r="A225" s="4" t="s">
        <v>267</v>
      </c>
      <c r="B225" s="4" t="s">
        <v>207</v>
      </c>
      <c r="C225" s="4" t="s">
        <v>246</v>
      </c>
      <c r="D225" s="4" t="s">
        <v>254</v>
      </c>
      <c r="E225" s="4" t="s">
        <v>255</v>
      </c>
      <c r="F225" s="4" t="s">
        <v>195</v>
      </c>
      <c r="G225" s="4" t="s">
        <v>138</v>
      </c>
      <c r="H225" s="4" t="s">
        <v>205</v>
      </c>
      <c r="I225" s="6">
        <v>204881.125</v>
      </c>
      <c r="J225" s="6">
        <v>290661.81199999998</v>
      </c>
      <c r="K225" s="6">
        <v>573706.41099999996</v>
      </c>
      <c r="L225" s="6">
        <v>863369.8</v>
      </c>
      <c r="M225" s="6">
        <v>1165365.129</v>
      </c>
      <c r="N225" s="6">
        <v>740755.25</v>
      </c>
      <c r="O225" s="6">
        <v>661104.75</v>
      </c>
      <c r="P225" s="6">
        <v>456319.81699999998</v>
      </c>
      <c r="Q225" s="6">
        <v>273173.54599999997</v>
      </c>
      <c r="R225" s="6">
        <v>189410.60399999999</v>
      </c>
      <c r="S225" s="6">
        <v>109599.508</v>
      </c>
      <c r="T225" s="6">
        <v>100929.181</v>
      </c>
      <c r="U225" s="6">
        <v>127550.22100000001</v>
      </c>
      <c r="V225" s="6">
        <v>209391.31099999999</v>
      </c>
      <c r="W225" s="6">
        <v>387513.41100000002</v>
      </c>
      <c r="X225" s="6">
        <v>696240.62600000005</v>
      </c>
      <c r="Y225" s="6">
        <v>714018.446</v>
      </c>
      <c r="Z225" s="6">
        <v>712990.71200000006</v>
      </c>
      <c r="AA225" s="6">
        <v>708352.973</v>
      </c>
      <c r="AB225" s="6">
        <v>456539.17200000002</v>
      </c>
      <c r="AC225" s="6">
        <v>222895.995</v>
      </c>
      <c r="AD225" s="6">
        <v>155651.49600000001</v>
      </c>
      <c r="AE225" s="6">
        <v>159227.99900000001</v>
      </c>
      <c r="AF225" s="6">
        <v>116629.61500000001</v>
      </c>
      <c r="AG225" s="6">
        <v>127726.265</v>
      </c>
      <c r="AH225" s="6">
        <v>206603.76800000001</v>
      </c>
      <c r="AI225" s="6">
        <v>312397.01799999998</v>
      </c>
      <c r="AJ225" s="6">
        <v>696088.24100000004</v>
      </c>
      <c r="AK225" s="6">
        <v>818642.78200000001</v>
      </c>
      <c r="AL225" s="6">
        <v>671736.53300000005</v>
      </c>
      <c r="AM225" s="6">
        <v>589593.76399999997</v>
      </c>
      <c r="AN225" s="6">
        <v>379739.96299999999</v>
      </c>
      <c r="AO225" s="6">
        <v>194389.715</v>
      </c>
      <c r="AP225" s="6">
        <v>141382.394</v>
      </c>
      <c r="AQ225" s="6">
        <v>96086.820999999996</v>
      </c>
      <c r="AR225" s="6">
        <v>75374.832999999999</v>
      </c>
      <c r="AS225" s="6">
        <v>107860.5</v>
      </c>
      <c r="AT225" s="6">
        <v>107860.5</v>
      </c>
    </row>
    <row r="226" spans="1:46" x14ac:dyDescent="0.25">
      <c r="A226" s="4" t="s">
        <v>267</v>
      </c>
      <c r="B226" s="4" t="s">
        <v>207</v>
      </c>
      <c r="C226" s="4" t="s">
        <v>246</v>
      </c>
      <c r="D226" s="4" t="s">
        <v>254</v>
      </c>
      <c r="E226" s="4" t="s">
        <v>255</v>
      </c>
      <c r="F226" s="4" t="s">
        <v>195</v>
      </c>
      <c r="G226" s="4" t="s">
        <v>138</v>
      </c>
      <c r="H226" s="4" t="s">
        <v>249</v>
      </c>
      <c r="I226" s="7">
        <v>4.0000000000000001E-3</v>
      </c>
      <c r="J226" s="7">
        <v>3.0000000000000001E-3</v>
      </c>
      <c r="K226" s="7">
        <v>3.0000000000000001E-3</v>
      </c>
      <c r="L226" s="7">
        <v>4.0000000000000001E-3</v>
      </c>
      <c r="M226" s="7">
        <v>4.0000000000000001E-3</v>
      </c>
      <c r="N226" s="7">
        <v>2E-3</v>
      </c>
      <c r="O226" s="7">
        <v>3.0000000000000001E-3</v>
      </c>
      <c r="P226" s="7">
        <v>3.0000000000000001E-3</v>
      </c>
      <c r="Q226" s="7">
        <v>3.0000000000000001E-3</v>
      </c>
      <c r="R226" s="7">
        <v>6.0000000000000001E-3</v>
      </c>
      <c r="S226" s="7">
        <v>4.0000000000000001E-3</v>
      </c>
      <c r="T226" s="7">
        <v>3.0000000000000001E-3</v>
      </c>
      <c r="U226" s="7">
        <v>3.0000000000000001E-3</v>
      </c>
      <c r="V226" s="7">
        <v>3.0000000000000001E-3</v>
      </c>
      <c r="W226" s="7">
        <v>3.0000000000000001E-3</v>
      </c>
      <c r="X226" s="7">
        <v>3.0000000000000001E-3</v>
      </c>
      <c r="Y226" s="7">
        <v>3.0000000000000001E-3</v>
      </c>
      <c r="Z226" s="7">
        <v>3.0000000000000001E-3</v>
      </c>
      <c r="AA226" s="7">
        <v>3.0000000000000001E-3</v>
      </c>
      <c r="AB226" s="7">
        <v>2E-3</v>
      </c>
      <c r="AC226" s="7">
        <v>2E-3</v>
      </c>
      <c r="AD226" s="7">
        <v>2E-3</v>
      </c>
      <c r="AE226" s="7">
        <v>4.0000000000000001E-3</v>
      </c>
      <c r="AF226" s="7">
        <v>3.0000000000000001E-3</v>
      </c>
      <c r="AG226" s="7">
        <v>3.0000000000000001E-3</v>
      </c>
      <c r="AH226" s="7">
        <v>2E-3</v>
      </c>
      <c r="AI226" s="7">
        <v>2E-3</v>
      </c>
      <c r="AJ226" s="7">
        <v>3.0000000000000001E-3</v>
      </c>
      <c r="AK226" s="7">
        <v>2E-3</v>
      </c>
      <c r="AL226" s="7">
        <v>2E-3</v>
      </c>
      <c r="AM226" s="7">
        <v>2E-3</v>
      </c>
      <c r="AN226" s="7">
        <v>1E-3</v>
      </c>
      <c r="AO226" s="7">
        <v>1E-3</v>
      </c>
      <c r="AP226" s="7">
        <v>2E-3</v>
      </c>
      <c r="AQ226" s="7">
        <v>2E-3</v>
      </c>
      <c r="AR226" s="7">
        <v>3.0000000000000001E-3</v>
      </c>
      <c r="AS226" s="7">
        <v>3.0000000000000001E-3</v>
      </c>
      <c r="AT226" s="7">
        <v>0.151</v>
      </c>
    </row>
    <row r="227" spans="1:46" x14ac:dyDescent="0.25">
      <c r="A227" s="4" t="s">
        <v>267</v>
      </c>
      <c r="B227" s="4" t="s">
        <v>207</v>
      </c>
      <c r="C227" s="4" t="s">
        <v>246</v>
      </c>
      <c r="D227" s="4" t="s">
        <v>254</v>
      </c>
      <c r="E227" s="4" t="s">
        <v>255</v>
      </c>
      <c r="F227" s="4" t="s">
        <v>195</v>
      </c>
      <c r="G227" s="4" t="s">
        <v>138</v>
      </c>
      <c r="H227" s="4" t="s">
        <v>250</v>
      </c>
      <c r="I227" s="7">
        <v>80.722999999999999</v>
      </c>
      <c r="J227" s="7">
        <v>87.992000000000004</v>
      </c>
      <c r="K227" s="7">
        <v>93.477000000000004</v>
      </c>
      <c r="L227" s="7">
        <v>95.167000000000002</v>
      </c>
      <c r="M227" s="7">
        <v>95.299000000000007</v>
      </c>
      <c r="N227" s="7">
        <v>94.299000000000007</v>
      </c>
      <c r="O227" s="7">
        <v>93.087000000000003</v>
      </c>
      <c r="P227" s="7">
        <v>89.12</v>
      </c>
      <c r="Q227" s="7">
        <v>84.900999999999996</v>
      </c>
      <c r="R227" s="7">
        <v>75.5</v>
      </c>
      <c r="S227" s="7">
        <v>72.426000000000002</v>
      </c>
      <c r="T227" s="7">
        <v>70.099000000000004</v>
      </c>
      <c r="U227" s="7">
        <v>74.364999999999995</v>
      </c>
      <c r="V227" s="7">
        <v>84.634</v>
      </c>
      <c r="W227" s="7">
        <v>91.477999999999994</v>
      </c>
      <c r="X227" s="7">
        <v>95.721999999999994</v>
      </c>
      <c r="Y227" s="7">
        <v>93.278000000000006</v>
      </c>
      <c r="Z227" s="7">
        <v>93.867000000000004</v>
      </c>
      <c r="AA227" s="7">
        <v>90.393000000000001</v>
      </c>
      <c r="AB227" s="7">
        <v>87.852999999999994</v>
      </c>
      <c r="AC227" s="7">
        <v>77.965000000000003</v>
      </c>
      <c r="AD227" s="7">
        <v>71.572999999999993</v>
      </c>
      <c r="AE227" s="7">
        <v>71.605999999999995</v>
      </c>
      <c r="AF227" s="7">
        <v>63.256999999999998</v>
      </c>
      <c r="AG227" s="7">
        <v>69.31</v>
      </c>
      <c r="AH227" s="7">
        <v>81.3</v>
      </c>
      <c r="AI227" s="7">
        <v>86.442999999999998</v>
      </c>
      <c r="AJ227" s="7">
        <v>92.519000000000005</v>
      </c>
      <c r="AK227" s="7">
        <v>95.403000000000006</v>
      </c>
      <c r="AL227" s="7">
        <v>91.828000000000003</v>
      </c>
      <c r="AM227" s="7">
        <v>84.516999999999996</v>
      </c>
      <c r="AN227" s="7">
        <v>87.066000000000003</v>
      </c>
      <c r="AO227" s="7">
        <v>68.072999999999993</v>
      </c>
      <c r="AP227" s="7">
        <v>63.905999999999999</v>
      </c>
      <c r="AQ227" s="7">
        <v>55.704000000000001</v>
      </c>
      <c r="AR227" s="7">
        <v>53.807000000000002</v>
      </c>
      <c r="AS227" s="7">
        <v>60.281999999999996</v>
      </c>
      <c r="AT227" s="8">
        <v>0</v>
      </c>
    </row>
    <row r="228" spans="1:46" x14ac:dyDescent="0.25">
      <c r="A228" s="4" t="s">
        <v>267</v>
      </c>
      <c r="B228" s="4" t="s">
        <v>207</v>
      </c>
      <c r="C228" s="4" t="s">
        <v>246</v>
      </c>
      <c r="D228" s="4" t="s">
        <v>254</v>
      </c>
      <c r="E228" s="4" t="s">
        <v>255</v>
      </c>
      <c r="F228" s="4" t="s">
        <v>195</v>
      </c>
      <c r="G228" s="4" t="s">
        <v>138</v>
      </c>
      <c r="H228" s="4" t="s">
        <v>251</v>
      </c>
      <c r="I228" s="7">
        <v>61.2837703</v>
      </c>
      <c r="J228" s="7">
        <v>68.453348199999994</v>
      </c>
      <c r="K228" s="7">
        <v>75.485133099999999</v>
      </c>
      <c r="L228" s="7">
        <v>78.800441199999995</v>
      </c>
      <c r="M228" s="7">
        <v>77.219289900000007</v>
      </c>
      <c r="N228" s="7">
        <v>79.179897100000005</v>
      </c>
      <c r="O228" s="7">
        <v>78.023110299999999</v>
      </c>
      <c r="P228" s="7">
        <v>74.726241299999998</v>
      </c>
      <c r="Q228" s="7">
        <v>71.453021300000003</v>
      </c>
      <c r="R228" s="7">
        <v>60.136677800000001</v>
      </c>
      <c r="S228" s="7">
        <v>55.076954299999997</v>
      </c>
      <c r="T228" s="7">
        <v>49.504575500000001</v>
      </c>
      <c r="U228" s="7">
        <v>56.136960799999997</v>
      </c>
      <c r="V228" s="7">
        <v>65.561320800000004</v>
      </c>
      <c r="W228" s="7">
        <v>78.087101799999999</v>
      </c>
      <c r="X228" s="7">
        <v>83.068660600000001</v>
      </c>
      <c r="Y228" s="7">
        <v>80.618130800000003</v>
      </c>
      <c r="Z228" s="7">
        <v>81.794805299999993</v>
      </c>
      <c r="AA228" s="7">
        <v>79.293558700000006</v>
      </c>
      <c r="AB228" s="7">
        <v>76.202185999999998</v>
      </c>
      <c r="AC228" s="7">
        <v>65.780050399999993</v>
      </c>
      <c r="AD228" s="7">
        <v>58.2458679</v>
      </c>
      <c r="AE228" s="7">
        <v>58.872398199999999</v>
      </c>
      <c r="AF228" s="7">
        <v>44.782799799999999</v>
      </c>
      <c r="AG228" s="7">
        <v>51.803590700000001</v>
      </c>
      <c r="AH228" s="7">
        <v>66.579189299999996</v>
      </c>
      <c r="AI228" s="7">
        <v>70.978114399999995</v>
      </c>
      <c r="AJ228" s="7">
        <v>77.652663200000006</v>
      </c>
      <c r="AK228" s="7">
        <v>80.993251299999997</v>
      </c>
      <c r="AL228" s="7">
        <v>76.133297400000004</v>
      </c>
      <c r="AM228" s="7">
        <v>68.345347700000005</v>
      </c>
      <c r="AN228" s="7">
        <v>69.189017300000003</v>
      </c>
      <c r="AO228" s="7">
        <v>52.209999400000001</v>
      </c>
      <c r="AP228" s="7">
        <v>47.538823700000002</v>
      </c>
      <c r="AQ228" s="7">
        <v>40.785500200000001</v>
      </c>
      <c r="AR228" s="7">
        <v>33.730303399999997</v>
      </c>
      <c r="AS228" s="7">
        <v>44.428747100000002</v>
      </c>
      <c r="AT228" s="7">
        <v>60.281999999999996</v>
      </c>
    </row>
    <row r="229" spans="1:46" x14ac:dyDescent="0.25">
      <c r="A229" s="4" t="s">
        <v>267</v>
      </c>
      <c r="B229" s="4" t="s">
        <v>207</v>
      </c>
      <c r="C229" s="4" t="s">
        <v>246</v>
      </c>
      <c r="D229" s="4" t="s">
        <v>254</v>
      </c>
      <c r="E229" s="4" t="s">
        <v>255</v>
      </c>
      <c r="F229" s="4" t="s">
        <v>195</v>
      </c>
      <c r="G229" s="4" t="s">
        <v>138</v>
      </c>
      <c r="H229" s="4" t="s">
        <v>252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7">
        <v>44.428747100000002</v>
      </c>
    </row>
    <row r="230" spans="1:46" x14ac:dyDescent="0.25">
      <c r="A230" s="4" t="s">
        <v>267</v>
      </c>
      <c r="B230" s="4" t="s">
        <v>207</v>
      </c>
      <c r="C230" s="4" t="s">
        <v>246</v>
      </c>
      <c r="D230" s="4" t="s">
        <v>254</v>
      </c>
      <c r="E230" s="4" t="s">
        <v>255</v>
      </c>
      <c r="F230" s="4" t="s">
        <v>195</v>
      </c>
      <c r="G230" s="4" t="s">
        <v>140</v>
      </c>
      <c r="H230" s="4" t="s">
        <v>151</v>
      </c>
      <c r="I230" s="5">
        <v>1964.788</v>
      </c>
      <c r="J230" s="5">
        <v>2869.6840000000002</v>
      </c>
      <c r="K230" s="5">
        <v>5405.5910000000003</v>
      </c>
      <c r="L230" s="5">
        <v>7178.5050000000001</v>
      </c>
      <c r="M230" s="5">
        <v>9172.3220000000001</v>
      </c>
      <c r="N230" s="5">
        <v>6893.6459999999997</v>
      </c>
      <c r="O230" s="5">
        <v>5958.4750000000004</v>
      </c>
      <c r="P230" s="5">
        <v>4222.5820000000003</v>
      </c>
      <c r="Q230" s="5">
        <v>2420.4009999999998</v>
      </c>
      <c r="R230" s="5">
        <v>1332.221</v>
      </c>
      <c r="S230" s="5">
        <v>1165.0940000000001</v>
      </c>
      <c r="T230" s="5">
        <v>1218.8389999999999</v>
      </c>
      <c r="U230" s="5">
        <v>1618.059</v>
      </c>
      <c r="V230" s="5">
        <v>2283</v>
      </c>
      <c r="W230" s="5">
        <v>4371.41</v>
      </c>
      <c r="X230" s="5">
        <v>7374.8620000000001</v>
      </c>
      <c r="Y230" s="5">
        <v>6884.8220000000001</v>
      </c>
      <c r="Z230" s="5">
        <v>5670.0460000000003</v>
      </c>
      <c r="AA230" s="5">
        <v>5311.3029999999999</v>
      </c>
      <c r="AB230" s="5">
        <v>3805.6819999999998</v>
      </c>
      <c r="AC230" s="5">
        <v>2453.846</v>
      </c>
      <c r="AD230" s="5">
        <v>1696.373</v>
      </c>
      <c r="AE230" s="5">
        <v>1237.943</v>
      </c>
      <c r="AF230" s="5">
        <v>1318.038</v>
      </c>
      <c r="AG230" s="5">
        <v>1362.48</v>
      </c>
      <c r="AH230" s="5">
        <v>2074.1869999999999</v>
      </c>
      <c r="AI230" s="5">
        <v>2399.3319999999999</v>
      </c>
      <c r="AJ230" s="5">
        <v>3911.2420000000002</v>
      </c>
      <c r="AK230" s="5">
        <v>7731.2240000000002</v>
      </c>
      <c r="AL230" s="5">
        <v>6672.6750000000002</v>
      </c>
      <c r="AM230" s="5">
        <v>5383.3829999999998</v>
      </c>
      <c r="AN230" s="5">
        <v>3727.2510000000002</v>
      </c>
      <c r="AO230" s="5">
        <v>2194.2910000000002</v>
      </c>
      <c r="AP230" s="5">
        <v>1604.85</v>
      </c>
      <c r="AQ230" s="5">
        <v>1131.942</v>
      </c>
      <c r="AR230" s="5">
        <v>1110.7660000000001</v>
      </c>
      <c r="AS230" s="5">
        <v>1258.4480000000001</v>
      </c>
      <c r="AT230" s="5">
        <v>7550.6850000000004</v>
      </c>
    </row>
    <row r="231" spans="1:46" x14ac:dyDescent="0.25">
      <c r="A231" s="4" t="s">
        <v>267</v>
      </c>
      <c r="B231" s="4" t="s">
        <v>207</v>
      </c>
      <c r="C231" s="4" t="s">
        <v>246</v>
      </c>
      <c r="D231" s="4" t="s">
        <v>254</v>
      </c>
      <c r="E231" s="4" t="s">
        <v>255</v>
      </c>
      <c r="F231" s="4" t="s">
        <v>195</v>
      </c>
      <c r="G231" s="4" t="s">
        <v>140</v>
      </c>
      <c r="H231" s="4" t="s">
        <v>205</v>
      </c>
      <c r="I231" s="6">
        <v>539954.95299999998</v>
      </c>
      <c r="J231" s="6">
        <v>817458.18200000003</v>
      </c>
      <c r="K231" s="6">
        <v>1550246.1470000001</v>
      </c>
      <c r="L231" s="6">
        <v>2021099.9939999999</v>
      </c>
      <c r="M231" s="6">
        <v>2619295.69</v>
      </c>
      <c r="N231" s="6">
        <v>2007189.497</v>
      </c>
      <c r="O231" s="6">
        <v>1702799.405</v>
      </c>
      <c r="P231" s="6">
        <v>1168901.1950000001</v>
      </c>
      <c r="Q231" s="6">
        <v>686490.78399999999</v>
      </c>
      <c r="R231" s="6">
        <v>374053.11700000003</v>
      </c>
      <c r="S231" s="6">
        <v>315805.19300000003</v>
      </c>
      <c r="T231" s="6">
        <v>351404.853</v>
      </c>
      <c r="U231" s="6">
        <v>489351.46100000001</v>
      </c>
      <c r="V231" s="6">
        <v>689541.93200000003</v>
      </c>
      <c r="W231" s="6">
        <v>1302769.487</v>
      </c>
      <c r="X231" s="6">
        <v>2293066.08</v>
      </c>
      <c r="Y231" s="6">
        <v>2201113.9890000001</v>
      </c>
      <c r="Z231" s="6">
        <v>1833429.828</v>
      </c>
      <c r="AA231" s="6">
        <v>1728557.5819999999</v>
      </c>
      <c r="AB231" s="6">
        <v>1232489.531</v>
      </c>
      <c r="AC231" s="6">
        <v>731538.30799999996</v>
      </c>
      <c r="AD231" s="6">
        <v>565320.18099999998</v>
      </c>
      <c r="AE231" s="6">
        <v>426768.84499999997</v>
      </c>
      <c r="AF231" s="6">
        <v>462678.59700000001</v>
      </c>
      <c r="AG231" s="6">
        <v>496500.19900000002</v>
      </c>
      <c r="AH231" s="6">
        <v>753831.19200000004</v>
      </c>
      <c r="AI231" s="6">
        <v>824236.62</v>
      </c>
      <c r="AJ231" s="6">
        <v>1407183.1</v>
      </c>
      <c r="AK231" s="6">
        <v>2816404.3629999999</v>
      </c>
      <c r="AL231" s="6">
        <v>2514156.84</v>
      </c>
      <c r="AM231" s="6">
        <v>2003768.51</v>
      </c>
      <c r="AN231" s="6">
        <v>1403889.28</v>
      </c>
      <c r="AO231" s="6">
        <v>797532.08100000001</v>
      </c>
      <c r="AP231" s="6">
        <v>563872.50300000003</v>
      </c>
      <c r="AQ231" s="6">
        <v>412912.57400000002</v>
      </c>
      <c r="AR231" s="6">
        <v>416831.73499999999</v>
      </c>
      <c r="AS231" s="6">
        <v>499387.05099999998</v>
      </c>
      <c r="AT231" s="6">
        <v>499387.05099999998</v>
      </c>
    </row>
    <row r="232" spans="1:46" x14ac:dyDescent="0.25">
      <c r="A232" s="4" t="s">
        <v>267</v>
      </c>
      <c r="B232" s="4" t="s">
        <v>207</v>
      </c>
      <c r="C232" s="4" t="s">
        <v>246</v>
      </c>
      <c r="D232" s="4" t="s">
        <v>254</v>
      </c>
      <c r="E232" s="4" t="s">
        <v>255</v>
      </c>
      <c r="F232" s="4" t="s">
        <v>195</v>
      </c>
      <c r="G232" s="4" t="s">
        <v>140</v>
      </c>
      <c r="H232" s="4" t="s">
        <v>249</v>
      </c>
      <c r="I232" s="7">
        <v>7.1999999999999995E-2</v>
      </c>
      <c r="J232" s="7">
        <v>5.3999999999999999E-2</v>
      </c>
      <c r="K232" s="7">
        <v>6.0999999999999999E-2</v>
      </c>
      <c r="L232" s="7">
        <v>6.3E-2</v>
      </c>
      <c r="M232" s="7">
        <v>5.1999999999999998E-2</v>
      </c>
      <c r="N232" s="7">
        <v>4.2999999999999997E-2</v>
      </c>
      <c r="O232" s="7">
        <v>4.4999999999999998E-2</v>
      </c>
      <c r="P232" s="7">
        <v>5.0999999999999997E-2</v>
      </c>
      <c r="Q232" s="7">
        <v>5.6000000000000001E-2</v>
      </c>
      <c r="R232" s="7">
        <v>7.3999999999999996E-2</v>
      </c>
      <c r="S232" s="7">
        <v>8.3000000000000004E-2</v>
      </c>
      <c r="T232" s="7">
        <v>7.9000000000000001E-2</v>
      </c>
      <c r="U232" s="7">
        <v>6.7000000000000004E-2</v>
      </c>
      <c r="V232" s="7">
        <v>5.2999999999999999E-2</v>
      </c>
      <c r="W232" s="7">
        <v>5.6000000000000001E-2</v>
      </c>
      <c r="X232" s="7">
        <v>0.06</v>
      </c>
      <c r="Y232" s="7">
        <v>0.05</v>
      </c>
      <c r="Z232" s="7">
        <v>4.3999999999999997E-2</v>
      </c>
      <c r="AA232" s="7">
        <v>0.04</v>
      </c>
      <c r="AB232" s="7">
        <v>4.1000000000000002E-2</v>
      </c>
      <c r="AC232" s="7">
        <v>4.2999999999999997E-2</v>
      </c>
      <c r="AD232" s="7">
        <v>5.2999999999999999E-2</v>
      </c>
      <c r="AE232" s="7">
        <v>6.4000000000000001E-2</v>
      </c>
      <c r="AF232" s="7">
        <v>7.3999999999999996E-2</v>
      </c>
      <c r="AG232" s="7">
        <v>7.0000000000000007E-2</v>
      </c>
      <c r="AH232" s="7">
        <v>5.2999999999999999E-2</v>
      </c>
      <c r="AI232" s="7">
        <v>3.9E-2</v>
      </c>
      <c r="AJ232" s="7">
        <v>3.5999999999999997E-2</v>
      </c>
      <c r="AK232" s="7">
        <v>5.0999999999999997E-2</v>
      </c>
      <c r="AL232" s="7">
        <v>0.05</v>
      </c>
      <c r="AM232" s="7">
        <v>3.5999999999999997E-2</v>
      </c>
      <c r="AN232" s="7">
        <v>2.5000000000000001E-2</v>
      </c>
      <c r="AO232" s="7">
        <v>3.5000000000000003E-2</v>
      </c>
      <c r="AP232" s="7">
        <v>5.2999999999999999E-2</v>
      </c>
      <c r="AQ232" s="7">
        <v>6.6000000000000003E-2</v>
      </c>
      <c r="AR232" s="7">
        <v>8.3000000000000004E-2</v>
      </c>
      <c r="AS232" s="7">
        <v>7.0000000000000007E-2</v>
      </c>
      <c r="AT232" s="7">
        <v>3.8759999999999999</v>
      </c>
    </row>
    <row r="233" spans="1:46" x14ac:dyDescent="0.25">
      <c r="A233" s="4" t="s">
        <v>267</v>
      </c>
      <c r="B233" s="4" t="s">
        <v>207</v>
      </c>
      <c r="C233" s="4" t="s">
        <v>246</v>
      </c>
      <c r="D233" s="4" t="s">
        <v>254</v>
      </c>
      <c r="E233" s="4" t="s">
        <v>255</v>
      </c>
      <c r="F233" s="4" t="s">
        <v>195</v>
      </c>
      <c r="G233" s="4" t="s">
        <v>140</v>
      </c>
      <c r="H233" s="4" t="s">
        <v>250</v>
      </c>
      <c r="I233" s="7">
        <v>83.299000000000007</v>
      </c>
      <c r="J233" s="7">
        <v>90.706999999999994</v>
      </c>
      <c r="K233" s="7">
        <v>95.097999999999999</v>
      </c>
      <c r="L233" s="7">
        <v>94.757999999999996</v>
      </c>
      <c r="M233" s="7">
        <v>95.831000000000003</v>
      </c>
      <c r="N233" s="7">
        <v>95.421999999999997</v>
      </c>
      <c r="O233" s="7">
        <v>93.799000000000007</v>
      </c>
      <c r="P233" s="7">
        <v>91.84</v>
      </c>
      <c r="Q233" s="7">
        <v>87.275000000000006</v>
      </c>
      <c r="R233" s="7">
        <v>77.466999999999999</v>
      </c>
      <c r="S233" s="7">
        <v>72.415000000000006</v>
      </c>
      <c r="T233" s="7">
        <v>79.602000000000004</v>
      </c>
      <c r="U233" s="7">
        <v>88.89</v>
      </c>
      <c r="V233" s="7">
        <v>93.113</v>
      </c>
      <c r="W233" s="7">
        <v>96.427999999999997</v>
      </c>
      <c r="X233" s="7">
        <v>97.668999999999997</v>
      </c>
      <c r="Y233" s="7">
        <v>97.069000000000003</v>
      </c>
      <c r="Z233" s="7">
        <v>93.804000000000002</v>
      </c>
      <c r="AA233" s="7">
        <v>91.685000000000002</v>
      </c>
      <c r="AB233" s="7">
        <v>86.631</v>
      </c>
      <c r="AC233" s="7">
        <v>84.588999999999999</v>
      </c>
      <c r="AD233" s="7">
        <v>81.96</v>
      </c>
      <c r="AE233" s="7">
        <v>76.813999999999993</v>
      </c>
      <c r="AF233" s="7">
        <v>81.796000000000006</v>
      </c>
      <c r="AG233" s="7">
        <v>80.198999999999998</v>
      </c>
      <c r="AH233" s="7">
        <v>88.977000000000004</v>
      </c>
      <c r="AI233" s="7">
        <v>88.296000000000006</v>
      </c>
      <c r="AJ233" s="7">
        <v>92.793000000000006</v>
      </c>
      <c r="AK233" s="7">
        <v>95.795000000000002</v>
      </c>
      <c r="AL233" s="7">
        <v>94.697000000000003</v>
      </c>
      <c r="AM233" s="7">
        <v>93.372</v>
      </c>
      <c r="AN233" s="7">
        <v>91.903999999999996</v>
      </c>
      <c r="AO233" s="7">
        <v>83.936999999999998</v>
      </c>
      <c r="AP233" s="7">
        <v>79.432000000000002</v>
      </c>
      <c r="AQ233" s="7">
        <v>71.941999999999993</v>
      </c>
      <c r="AR233" s="7">
        <v>74.959999999999994</v>
      </c>
      <c r="AS233" s="7">
        <v>86.686000000000007</v>
      </c>
      <c r="AT233" s="8">
        <v>0</v>
      </c>
    </row>
    <row r="234" spans="1:46" x14ac:dyDescent="0.25">
      <c r="A234" s="4" t="s">
        <v>267</v>
      </c>
      <c r="B234" s="4" t="s">
        <v>207</v>
      </c>
      <c r="C234" s="4" t="s">
        <v>246</v>
      </c>
      <c r="D234" s="4" t="s">
        <v>254</v>
      </c>
      <c r="E234" s="4" t="s">
        <v>255</v>
      </c>
      <c r="F234" s="4" t="s">
        <v>195</v>
      </c>
      <c r="G234" s="4" t="s">
        <v>140</v>
      </c>
      <c r="H234" s="4" t="s">
        <v>251</v>
      </c>
      <c r="I234" s="7">
        <v>74.073497200000006</v>
      </c>
      <c r="J234" s="7">
        <v>75.731600099999994</v>
      </c>
      <c r="K234" s="7">
        <v>79.504696800000005</v>
      </c>
      <c r="L234" s="7">
        <v>83.112423000000007</v>
      </c>
      <c r="M234" s="7">
        <v>81.645067900000001</v>
      </c>
      <c r="N234" s="7">
        <v>81.692450600000001</v>
      </c>
      <c r="O234" s="7">
        <v>83.611216200000001</v>
      </c>
      <c r="P234" s="7">
        <v>83.384978099999998</v>
      </c>
      <c r="Q234" s="7">
        <v>83.334713600000001</v>
      </c>
      <c r="R234" s="7">
        <v>77.298937199999997</v>
      </c>
      <c r="S234" s="7">
        <v>75.999852300000001</v>
      </c>
      <c r="T234" s="7">
        <v>80.054315000000003</v>
      </c>
      <c r="U234" s="7">
        <v>85.982682999999994</v>
      </c>
      <c r="V234" s="7">
        <v>86.426246000000006</v>
      </c>
      <c r="W234" s="7">
        <v>88.358055500000006</v>
      </c>
      <c r="X234" s="7">
        <v>91.269557300000002</v>
      </c>
      <c r="Y234" s="7">
        <v>90.823445000000007</v>
      </c>
      <c r="Z234" s="7">
        <v>86.880504700000003</v>
      </c>
      <c r="AA234" s="7">
        <v>84.215241899999995</v>
      </c>
      <c r="AB234" s="7">
        <v>78.752463399999996</v>
      </c>
      <c r="AC234" s="7">
        <v>79.357381500000002</v>
      </c>
      <c r="AD234" s="7">
        <v>74.847871400000002</v>
      </c>
      <c r="AE234" s="7">
        <v>69.803202099999993</v>
      </c>
      <c r="AF234" s="7">
        <v>78.569561199999995</v>
      </c>
      <c r="AG234" s="7">
        <v>76.270242999999994</v>
      </c>
      <c r="AH234" s="7">
        <v>81.666028900000001</v>
      </c>
      <c r="AI234" s="7">
        <v>80.823228400000005</v>
      </c>
      <c r="AJ234" s="7">
        <v>83.651103199999994</v>
      </c>
      <c r="AK234" s="7">
        <v>85.933149900000004</v>
      </c>
      <c r="AL234" s="7">
        <v>84.790069399999993</v>
      </c>
      <c r="AM234" s="7">
        <v>82.587108900000004</v>
      </c>
      <c r="AN234" s="7">
        <v>80.419939299999996</v>
      </c>
      <c r="AO234" s="7">
        <v>74.710215399999996</v>
      </c>
      <c r="AP234" s="7">
        <v>73.314113000000006</v>
      </c>
      <c r="AQ234" s="7">
        <v>71.011249800000002</v>
      </c>
      <c r="AR234" s="7">
        <v>68.304312899999999</v>
      </c>
      <c r="AS234" s="7">
        <v>69.535212900000005</v>
      </c>
      <c r="AT234" s="7">
        <v>86.686000000000007</v>
      </c>
    </row>
    <row r="235" spans="1:46" x14ac:dyDescent="0.25">
      <c r="A235" s="4" t="s">
        <v>267</v>
      </c>
      <c r="B235" s="4" t="s">
        <v>207</v>
      </c>
      <c r="C235" s="4" t="s">
        <v>246</v>
      </c>
      <c r="D235" s="4" t="s">
        <v>254</v>
      </c>
      <c r="E235" s="4" t="s">
        <v>255</v>
      </c>
      <c r="F235" s="4" t="s">
        <v>195</v>
      </c>
      <c r="G235" s="4" t="s">
        <v>140</v>
      </c>
      <c r="H235" s="4" t="s">
        <v>252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7">
        <v>69.535212900000005</v>
      </c>
    </row>
    <row r="236" spans="1:46" x14ac:dyDescent="0.25">
      <c r="A236" s="4" t="s">
        <v>267</v>
      </c>
      <c r="B236" s="4" t="s">
        <v>207</v>
      </c>
      <c r="C236" s="4" t="s">
        <v>246</v>
      </c>
      <c r="D236" s="4" t="s">
        <v>254</v>
      </c>
      <c r="E236" s="4" t="s">
        <v>256</v>
      </c>
      <c r="F236" s="4" t="s">
        <v>195</v>
      </c>
      <c r="G236" s="4" t="s">
        <v>93</v>
      </c>
      <c r="H236" s="4" t="s">
        <v>151</v>
      </c>
      <c r="I236" s="5">
        <v>1538.2070000000001</v>
      </c>
      <c r="J236" s="5">
        <v>2107.8969999999999</v>
      </c>
      <c r="K236" s="5">
        <v>2822.6930000000002</v>
      </c>
      <c r="L236" s="5">
        <v>2704.393</v>
      </c>
      <c r="M236" s="5">
        <v>4060.875</v>
      </c>
      <c r="N236" s="5">
        <v>2515.6329999999998</v>
      </c>
      <c r="O236" s="5">
        <v>2431.1550000000002</v>
      </c>
      <c r="P236" s="5">
        <v>1553.6949999999999</v>
      </c>
      <c r="Q236" s="5">
        <v>1128.817</v>
      </c>
      <c r="R236" s="5">
        <v>710.36699999999996</v>
      </c>
      <c r="S236" s="5">
        <v>625.01800000000003</v>
      </c>
      <c r="T236" s="5">
        <v>749.88499999999999</v>
      </c>
      <c r="U236" s="5">
        <v>1091.308</v>
      </c>
      <c r="V236" s="5">
        <v>1570.2860000000001</v>
      </c>
      <c r="W236" s="5">
        <v>2385.3339999999998</v>
      </c>
      <c r="X236" s="5">
        <v>3626.3679999999999</v>
      </c>
      <c r="Y236" s="5">
        <v>2710.8449999999998</v>
      </c>
      <c r="Z236" s="5">
        <v>2408.7310000000002</v>
      </c>
      <c r="AA236" s="5">
        <v>2622.74</v>
      </c>
      <c r="AB236" s="5">
        <v>1503.1610000000001</v>
      </c>
      <c r="AC236" s="5">
        <v>943.99699999999996</v>
      </c>
      <c r="AD236" s="5">
        <v>920.43899999999996</v>
      </c>
      <c r="AE236" s="5">
        <v>651.74300000000005</v>
      </c>
      <c r="AF236" s="5">
        <v>818.23400000000004</v>
      </c>
      <c r="AG236" s="5">
        <v>568.84100000000001</v>
      </c>
      <c r="AH236" s="5">
        <v>430.18</v>
      </c>
      <c r="AI236" s="5">
        <v>454.48599999999999</v>
      </c>
      <c r="AJ236" s="5">
        <v>529.26700000000005</v>
      </c>
      <c r="AK236" s="5">
        <v>346.24099999999999</v>
      </c>
      <c r="AL236" s="5">
        <v>272.596</v>
      </c>
      <c r="AM236" s="5">
        <v>261.25599999999997</v>
      </c>
      <c r="AN236" s="5">
        <v>225.19399999999999</v>
      </c>
      <c r="AO236" s="5">
        <v>190.517</v>
      </c>
      <c r="AP236" s="5">
        <v>184.08699999999999</v>
      </c>
      <c r="AQ236" s="5">
        <v>162.928</v>
      </c>
      <c r="AR236" s="5">
        <v>89.766999999999996</v>
      </c>
      <c r="AS236" s="5">
        <v>88.838999999999999</v>
      </c>
      <c r="AT236" s="5">
        <v>88.838999999999999</v>
      </c>
    </row>
    <row r="237" spans="1:46" x14ac:dyDescent="0.25">
      <c r="A237" s="4" t="s">
        <v>267</v>
      </c>
      <c r="B237" s="4" t="s">
        <v>207</v>
      </c>
      <c r="C237" s="4" t="s">
        <v>246</v>
      </c>
      <c r="D237" s="4" t="s">
        <v>254</v>
      </c>
      <c r="E237" s="4" t="s">
        <v>256</v>
      </c>
      <c r="F237" s="4" t="s">
        <v>195</v>
      </c>
      <c r="G237" s="4" t="s">
        <v>93</v>
      </c>
      <c r="H237" s="4" t="s">
        <v>205</v>
      </c>
      <c r="I237" s="6">
        <v>410333.17700000003</v>
      </c>
      <c r="J237" s="6">
        <v>562497.23499999999</v>
      </c>
      <c r="K237" s="6">
        <v>764390.11300000001</v>
      </c>
      <c r="L237" s="6">
        <v>729661.83400000003</v>
      </c>
      <c r="M237" s="6">
        <v>1078373.2509999999</v>
      </c>
      <c r="N237" s="6">
        <v>660241.20799999998</v>
      </c>
      <c r="O237" s="6">
        <v>647827.18799999997</v>
      </c>
      <c r="P237" s="6">
        <v>410082.72600000002</v>
      </c>
      <c r="Q237" s="6">
        <v>296665.20799999998</v>
      </c>
      <c r="R237" s="6">
        <v>187947.66899999999</v>
      </c>
      <c r="S237" s="6">
        <v>165696.204</v>
      </c>
      <c r="T237" s="6">
        <v>207065.27600000001</v>
      </c>
      <c r="U237" s="6">
        <v>304191.15999999997</v>
      </c>
      <c r="V237" s="6">
        <v>435859.83799999999</v>
      </c>
      <c r="W237" s="6">
        <v>669544.07400000002</v>
      </c>
      <c r="X237" s="6">
        <v>1022293.87</v>
      </c>
      <c r="Y237" s="6">
        <v>800876.39899999998</v>
      </c>
      <c r="Z237" s="6">
        <v>733809.21499999997</v>
      </c>
      <c r="AA237" s="6">
        <v>806688.78300000005</v>
      </c>
      <c r="AB237" s="6">
        <v>461860.42099999997</v>
      </c>
      <c r="AC237" s="6">
        <v>272050.98300000001</v>
      </c>
      <c r="AD237" s="6">
        <v>277970.12400000001</v>
      </c>
      <c r="AE237" s="6">
        <v>196952.55100000001</v>
      </c>
      <c r="AF237" s="6">
        <v>237772.27900000001</v>
      </c>
      <c r="AG237" s="6">
        <v>182154.61300000001</v>
      </c>
      <c r="AH237" s="6">
        <v>135207.06299999999</v>
      </c>
      <c r="AI237" s="6">
        <v>138603.06899999999</v>
      </c>
      <c r="AJ237" s="6">
        <v>169091.503</v>
      </c>
      <c r="AK237" s="6">
        <v>104716.696</v>
      </c>
      <c r="AL237" s="6">
        <v>79188.442999999999</v>
      </c>
      <c r="AM237" s="6">
        <v>74468.963000000003</v>
      </c>
      <c r="AN237" s="6">
        <v>66368.554000000004</v>
      </c>
      <c r="AO237" s="6">
        <v>54267.358999999997</v>
      </c>
      <c r="AP237" s="6">
        <v>52318.578000000001</v>
      </c>
      <c r="AQ237" s="6">
        <v>47511.603000000003</v>
      </c>
      <c r="AR237" s="6">
        <v>27474.491000000002</v>
      </c>
      <c r="AS237" s="6">
        <v>32056.642</v>
      </c>
      <c r="AT237" s="6">
        <v>32056.642</v>
      </c>
    </row>
    <row r="238" spans="1:46" x14ac:dyDescent="0.25">
      <c r="A238" s="4" t="s">
        <v>267</v>
      </c>
      <c r="B238" s="4" t="s">
        <v>207</v>
      </c>
      <c r="C238" s="4" t="s">
        <v>246</v>
      </c>
      <c r="D238" s="4" t="s">
        <v>254</v>
      </c>
      <c r="E238" s="4" t="s">
        <v>256</v>
      </c>
      <c r="F238" s="4" t="s">
        <v>195</v>
      </c>
      <c r="G238" s="4" t="s">
        <v>93</v>
      </c>
      <c r="H238" s="4" t="s">
        <v>249</v>
      </c>
      <c r="I238" s="7">
        <v>3.6680000000000001</v>
      </c>
      <c r="J238" s="7">
        <v>2.5750000000000002</v>
      </c>
      <c r="K238" s="7">
        <v>2.069</v>
      </c>
      <c r="L238" s="7">
        <v>1.5449999999999999</v>
      </c>
      <c r="M238" s="7">
        <v>1.4870000000000001</v>
      </c>
      <c r="N238" s="7">
        <v>1.028</v>
      </c>
      <c r="O238" s="7">
        <v>1.1890000000000001</v>
      </c>
      <c r="P238" s="7">
        <v>1.2170000000000001</v>
      </c>
      <c r="Q238" s="7">
        <v>1.698</v>
      </c>
      <c r="R238" s="7">
        <v>2.528</v>
      </c>
      <c r="S238" s="7">
        <v>2.855</v>
      </c>
      <c r="T238" s="7">
        <v>3.1320000000000001</v>
      </c>
      <c r="U238" s="7">
        <v>2.9220000000000002</v>
      </c>
      <c r="V238" s="7">
        <v>2.3460000000000001</v>
      </c>
      <c r="W238" s="7">
        <v>1.966</v>
      </c>
      <c r="X238" s="7">
        <v>1.9119999999999999</v>
      </c>
      <c r="Y238" s="7">
        <v>1.272</v>
      </c>
      <c r="Z238" s="7">
        <v>1.1990000000000001</v>
      </c>
      <c r="AA238" s="7">
        <v>1.278</v>
      </c>
      <c r="AB238" s="7">
        <v>1.0549999999999999</v>
      </c>
      <c r="AC238" s="7">
        <v>1.071</v>
      </c>
      <c r="AD238" s="7">
        <v>1.8620000000000001</v>
      </c>
      <c r="AE238" s="7">
        <v>2.1720000000000002</v>
      </c>
      <c r="AF238" s="7">
        <v>2.9329999999999998</v>
      </c>
      <c r="AG238" s="7">
        <v>1.8819999999999999</v>
      </c>
      <c r="AH238" s="7">
        <v>0.70099999999999996</v>
      </c>
      <c r="AI238" s="7">
        <v>0.47199999999999998</v>
      </c>
      <c r="AJ238" s="7">
        <v>0.312</v>
      </c>
      <c r="AK238" s="7">
        <v>0.14299999999999999</v>
      </c>
      <c r="AL238" s="7">
        <v>0.128</v>
      </c>
      <c r="AM238" s="7">
        <v>0.11</v>
      </c>
      <c r="AN238" s="7">
        <v>9.4E-2</v>
      </c>
      <c r="AO238" s="7">
        <v>0.189</v>
      </c>
      <c r="AP238" s="7">
        <v>0.377</v>
      </c>
      <c r="AQ238" s="7">
        <v>0.59099999999999997</v>
      </c>
      <c r="AR238" s="7">
        <v>0.41799999999999998</v>
      </c>
      <c r="AS238" s="7">
        <v>0.32</v>
      </c>
      <c r="AT238" s="7">
        <v>4.5999999999999999E-2</v>
      </c>
    </row>
    <row r="239" spans="1:46" x14ac:dyDescent="0.25">
      <c r="A239" s="4" t="s">
        <v>267</v>
      </c>
      <c r="B239" s="4" t="s">
        <v>207</v>
      </c>
      <c r="C239" s="4" t="s">
        <v>246</v>
      </c>
      <c r="D239" s="4" t="s">
        <v>254</v>
      </c>
      <c r="E239" s="4" t="s">
        <v>256</v>
      </c>
      <c r="F239" s="4" t="s">
        <v>195</v>
      </c>
      <c r="G239" s="4" t="s">
        <v>93</v>
      </c>
      <c r="H239" s="4" t="s">
        <v>250</v>
      </c>
      <c r="I239" s="7">
        <v>88.789000000000001</v>
      </c>
      <c r="J239" s="7">
        <v>92.698999999999998</v>
      </c>
      <c r="K239" s="7">
        <v>96.991</v>
      </c>
      <c r="L239" s="7">
        <v>97.582999999999998</v>
      </c>
      <c r="M239" s="7">
        <v>97.296999999999997</v>
      </c>
      <c r="N239" s="7">
        <v>95.631</v>
      </c>
      <c r="O239" s="7">
        <v>95.68</v>
      </c>
      <c r="P239" s="7">
        <v>93.173000000000002</v>
      </c>
      <c r="Q239" s="7">
        <v>88.745999999999995</v>
      </c>
      <c r="R239" s="7">
        <v>80.537999999999997</v>
      </c>
      <c r="S239" s="7">
        <v>82.718999999999994</v>
      </c>
      <c r="T239" s="7">
        <v>87.262</v>
      </c>
      <c r="U239" s="7">
        <v>91.668000000000006</v>
      </c>
      <c r="V239" s="7">
        <v>95.051000000000002</v>
      </c>
      <c r="W239" s="7">
        <v>96.991</v>
      </c>
      <c r="X239" s="7">
        <v>96.947000000000003</v>
      </c>
      <c r="Y239" s="7">
        <v>95.912999999999997</v>
      </c>
      <c r="Z239" s="7">
        <v>96.388000000000005</v>
      </c>
      <c r="AA239" s="7">
        <v>96.063999999999993</v>
      </c>
      <c r="AB239" s="7">
        <v>91.82</v>
      </c>
      <c r="AC239" s="7">
        <v>87.701999999999998</v>
      </c>
      <c r="AD239" s="7">
        <v>76.905000000000001</v>
      </c>
      <c r="AE239" s="7">
        <v>71.894999999999996</v>
      </c>
      <c r="AF239" s="7">
        <v>78.194000000000003</v>
      </c>
      <c r="AG239" s="7">
        <v>73.201999999999998</v>
      </c>
      <c r="AH239" s="7">
        <v>49.597999999999999</v>
      </c>
      <c r="AI239" s="7">
        <v>23.206</v>
      </c>
      <c r="AJ239" s="7">
        <v>15.863</v>
      </c>
      <c r="AK239" s="7">
        <v>11.19</v>
      </c>
      <c r="AL239" s="7">
        <v>9.7520000000000007</v>
      </c>
      <c r="AM239" s="7">
        <v>7.6959999999999997</v>
      </c>
      <c r="AN239" s="7">
        <v>6.38</v>
      </c>
      <c r="AO239" s="7">
        <v>12.233000000000001</v>
      </c>
      <c r="AP239" s="7">
        <v>24.059000000000001</v>
      </c>
      <c r="AQ239" s="7">
        <v>26.442</v>
      </c>
      <c r="AR239" s="7">
        <v>18.605</v>
      </c>
      <c r="AS239" s="7">
        <v>5.548</v>
      </c>
      <c r="AT239" s="8">
        <v>0</v>
      </c>
    </row>
    <row r="240" spans="1:46" x14ac:dyDescent="0.25">
      <c r="A240" s="4" t="s">
        <v>267</v>
      </c>
      <c r="B240" s="4" t="s">
        <v>207</v>
      </c>
      <c r="C240" s="4" t="s">
        <v>246</v>
      </c>
      <c r="D240" s="4" t="s">
        <v>254</v>
      </c>
      <c r="E240" s="4" t="s">
        <v>256</v>
      </c>
      <c r="F240" s="4" t="s">
        <v>195</v>
      </c>
      <c r="G240" s="4" t="s">
        <v>93</v>
      </c>
      <c r="H240" s="4" t="s">
        <v>251</v>
      </c>
      <c r="I240" s="7">
        <v>77.742747499999993</v>
      </c>
      <c r="J240" s="7">
        <v>80.599198999999999</v>
      </c>
      <c r="K240" s="7">
        <v>86.198587099999997</v>
      </c>
      <c r="L240" s="7">
        <v>87.253003399999997</v>
      </c>
      <c r="M240" s="7">
        <v>87.129244299999996</v>
      </c>
      <c r="N240" s="7">
        <v>84.700991999999999</v>
      </c>
      <c r="O240" s="7">
        <v>86.244875199999996</v>
      </c>
      <c r="P240" s="7">
        <v>82.441791600000002</v>
      </c>
      <c r="Q240" s="7">
        <v>78.473519400000001</v>
      </c>
      <c r="R240" s="7">
        <v>67.213644400000007</v>
      </c>
      <c r="S240" s="7">
        <v>69.093963700000003</v>
      </c>
      <c r="T240" s="7">
        <v>75.127781999999996</v>
      </c>
      <c r="U240" s="7">
        <v>79.452796599999999</v>
      </c>
      <c r="V240" s="7">
        <v>82.096403499999994</v>
      </c>
      <c r="W240" s="7">
        <v>84.287017399999996</v>
      </c>
      <c r="X240" s="7">
        <v>84.101290300000002</v>
      </c>
      <c r="Y240" s="7">
        <v>81.665271099999998</v>
      </c>
      <c r="Z240" s="7">
        <v>82.977017599999996</v>
      </c>
      <c r="AA240" s="7">
        <v>84.101714000000001</v>
      </c>
      <c r="AB240" s="7">
        <v>79.808305200000007</v>
      </c>
      <c r="AC240" s="7">
        <v>74.511809200000002</v>
      </c>
      <c r="AD240" s="7">
        <v>64.092974999999996</v>
      </c>
      <c r="AE240" s="7">
        <v>56.0247466</v>
      </c>
      <c r="AF240" s="7">
        <v>58.8361023</v>
      </c>
      <c r="AG240" s="7">
        <v>52.850529999999999</v>
      </c>
      <c r="AH240" s="7">
        <v>39.680055699999997</v>
      </c>
      <c r="AI240" s="7">
        <v>27.652480099999998</v>
      </c>
      <c r="AJ240" s="7">
        <v>22.758524600000001</v>
      </c>
      <c r="AK240" s="7">
        <v>17.762439000000001</v>
      </c>
      <c r="AL240" s="7">
        <v>14.2887314</v>
      </c>
      <c r="AM240" s="7">
        <v>11.8292588</v>
      </c>
      <c r="AN240" s="7">
        <v>10.9522827</v>
      </c>
      <c r="AO240" s="7">
        <v>7.5994770999999997</v>
      </c>
      <c r="AP240" s="7">
        <v>7.0382595999999999</v>
      </c>
      <c r="AQ240" s="7">
        <v>8.7347015999999993</v>
      </c>
      <c r="AR240" s="7">
        <v>5.2274475999999996</v>
      </c>
      <c r="AS240" s="7">
        <v>4.5251986000000004</v>
      </c>
      <c r="AT240" s="7">
        <v>5.548</v>
      </c>
    </row>
    <row r="241" spans="1:46" x14ac:dyDescent="0.25">
      <c r="A241" s="4" t="s">
        <v>267</v>
      </c>
      <c r="B241" s="4" t="s">
        <v>207</v>
      </c>
      <c r="C241" s="4" t="s">
        <v>246</v>
      </c>
      <c r="D241" s="4" t="s">
        <v>254</v>
      </c>
      <c r="E241" s="4" t="s">
        <v>256</v>
      </c>
      <c r="F241" s="4" t="s">
        <v>195</v>
      </c>
      <c r="G241" s="4" t="s">
        <v>93</v>
      </c>
      <c r="H241" s="4" t="s">
        <v>252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7">
        <v>4.5251986000000004</v>
      </c>
    </row>
    <row r="242" spans="1:46" x14ac:dyDescent="0.25">
      <c r="A242" s="4" t="s">
        <v>267</v>
      </c>
      <c r="B242" s="4" t="s">
        <v>207</v>
      </c>
      <c r="C242" s="4" t="s">
        <v>246</v>
      </c>
      <c r="D242" s="4" t="s">
        <v>254</v>
      </c>
      <c r="E242" s="4" t="s">
        <v>257</v>
      </c>
      <c r="F242" s="4" t="s">
        <v>203</v>
      </c>
      <c r="G242" s="4" t="s">
        <v>93</v>
      </c>
      <c r="H242" s="4" t="s">
        <v>151</v>
      </c>
      <c r="I242" s="5">
        <v>948.51499999999999</v>
      </c>
      <c r="J242" s="5">
        <v>1198.96</v>
      </c>
      <c r="K242" s="5">
        <v>1983.067</v>
      </c>
      <c r="L242" s="5">
        <v>2406.3890000000001</v>
      </c>
      <c r="M242" s="5">
        <v>3283.9650000000001</v>
      </c>
      <c r="N242" s="5">
        <v>2290.7890000000002</v>
      </c>
      <c r="O242" s="5">
        <v>2331.9870000000001</v>
      </c>
      <c r="P242" s="5">
        <v>1786.019</v>
      </c>
      <c r="Q242" s="5">
        <v>1061.941</v>
      </c>
      <c r="R242" s="5">
        <v>585</v>
      </c>
      <c r="S242" s="5">
        <v>565.44000000000005</v>
      </c>
      <c r="T242" s="5">
        <v>492.96699999999998</v>
      </c>
      <c r="U242" s="5">
        <v>678.92700000000002</v>
      </c>
      <c r="V242" s="5">
        <v>913.95899999999995</v>
      </c>
      <c r="W242" s="5">
        <v>1629.4970000000001</v>
      </c>
      <c r="X242" s="5">
        <v>2167.5709999999999</v>
      </c>
      <c r="Y242" s="5">
        <v>1471.373</v>
      </c>
      <c r="Z242" s="5">
        <v>654.99699999999996</v>
      </c>
      <c r="AA242" s="5">
        <v>551.93499999999995</v>
      </c>
      <c r="AB242" s="5">
        <v>401.93200000000002</v>
      </c>
      <c r="AC242" s="5">
        <v>467.358</v>
      </c>
      <c r="AD242" s="5">
        <v>432.18400000000003</v>
      </c>
      <c r="AE242" s="5">
        <v>529.22199999999998</v>
      </c>
      <c r="AF242" s="5">
        <v>608.80999999999995</v>
      </c>
      <c r="AG242" s="5">
        <v>729.16499999999996</v>
      </c>
      <c r="AH242" s="5">
        <v>860.86</v>
      </c>
      <c r="AI242" s="5">
        <v>880.48500000000001</v>
      </c>
      <c r="AJ242" s="5">
        <v>1044.2080000000001</v>
      </c>
      <c r="AK242" s="5">
        <v>684.91</v>
      </c>
      <c r="AL242" s="5">
        <v>773.24</v>
      </c>
      <c r="AM242" s="5">
        <v>784.36599999999999</v>
      </c>
      <c r="AN242" s="5">
        <v>776.52499999999998</v>
      </c>
      <c r="AO242" s="5">
        <v>700.62099999999998</v>
      </c>
      <c r="AP242" s="5">
        <v>691.74800000000005</v>
      </c>
      <c r="AQ242" s="5">
        <v>549.80499999999995</v>
      </c>
      <c r="AR242" s="5">
        <v>373.86599999999999</v>
      </c>
      <c r="AS242" s="5">
        <v>4.2679999999999998</v>
      </c>
      <c r="AT242" s="5">
        <v>4.2679999999999998</v>
      </c>
    </row>
    <row r="243" spans="1:46" x14ac:dyDescent="0.25">
      <c r="A243" s="4" t="s">
        <v>267</v>
      </c>
      <c r="B243" s="4" t="s">
        <v>207</v>
      </c>
      <c r="C243" s="4" t="s">
        <v>246</v>
      </c>
      <c r="D243" s="4" t="s">
        <v>254</v>
      </c>
      <c r="E243" s="4" t="s">
        <v>257</v>
      </c>
      <c r="F243" s="4" t="s">
        <v>203</v>
      </c>
      <c r="G243" s="4" t="s">
        <v>93</v>
      </c>
      <c r="H243" s="4" t="s">
        <v>205</v>
      </c>
      <c r="I243" s="6">
        <v>124083.431</v>
      </c>
      <c r="J243" s="6">
        <v>161618.318</v>
      </c>
      <c r="K243" s="6">
        <v>270227.02399999998</v>
      </c>
      <c r="L243" s="6">
        <v>332123.28200000001</v>
      </c>
      <c r="M243" s="6">
        <v>451010.88</v>
      </c>
      <c r="N243" s="6">
        <v>313819.75900000002</v>
      </c>
      <c r="O243" s="6">
        <v>312420.02399999998</v>
      </c>
      <c r="P243" s="6">
        <v>239041.73</v>
      </c>
      <c r="Q243" s="6">
        <v>140680.40700000001</v>
      </c>
      <c r="R243" s="6">
        <v>78028.350999999995</v>
      </c>
      <c r="S243" s="6">
        <v>75839.641000000003</v>
      </c>
      <c r="T243" s="6">
        <v>68536.284</v>
      </c>
      <c r="U243" s="6">
        <v>93834.278000000006</v>
      </c>
      <c r="V243" s="6">
        <v>128362.55899999999</v>
      </c>
      <c r="W243" s="6">
        <v>230565.984</v>
      </c>
      <c r="X243" s="6">
        <v>311199.25099999999</v>
      </c>
      <c r="Y243" s="6">
        <v>215317.39600000001</v>
      </c>
      <c r="Z243" s="6">
        <v>93881.626000000004</v>
      </c>
      <c r="AA243" s="6">
        <v>74124.308999999994</v>
      </c>
      <c r="AB243" s="6">
        <v>53003.057999999997</v>
      </c>
      <c r="AC243" s="6">
        <v>61130.885999999999</v>
      </c>
      <c r="AD243" s="6">
        <v>55908.031000000003</v>
      </c>
      <c r="AE243" s="6">
        <v>68734.698000000004</v>
      </c>
      <c r="AF243" s="6">
        <v>78579.933999999994</v>
      </c>
      <c r="AG243" s="6">
        <v>94061.964999999997</v>
      </c>
      <c r="AH243" s="6">
        <v>111070.433</v>
      </c>
      <c r="AI243" s="6">
        <v>113893.249</v>
      </c>
      <c r="AJ243" s="6">
        <v>134627.13699999999</v>
      </c>
      <c r="AK243" s="6">
        <v>88616.854999999996</v>
      </c>
      <c r="AL243" s="6">
        <v>99698.504000000001</v>
      </c>
      <c r="AM243" s="6">
        <v>101419.48699999999</v>
      </c>
      <c r="AN243" s="6">
        <v>100912.338</v>
      </c>
      <c r="AO243" s="6">
        <v>90688.805999999997</v>
      </c>
      <c r="AP243" s="6">
        <v>90179.975999999995</v>
      </c>
      <c r="AQ243" s="6">
        <v>70791.430999999997</v>
      </c>
      <c r="AR243" s="6">
        <v>48137.936999999998</v>
      </c>
      <c r="AS243" s="6">
        <v>635.87300000000005</v>
      </c>
      <c r="AT243" s="6">
        <v>635.87300000000005</v>
      </c>
    </row>
    <row r="244" spans="1:46" x14ac:dyDescent="0.25">
      <c r="A244" s="4" t="s">
        <v>267</v>
      </c>
      <c r="B244" s="4" t="s">
        <v>207</v>
      </c>
      <c r="C244" s="4" t="s">
        <v>246</v>
      </c>
      <c r="D244" s="4" t="s">
        <v>254</v>
      </c>
      <c r="E244" s="4" t="s">
        <v>257</v>
      </c>
      <c r="F244" s="4" t="s">
        <v>203</v>
      </c>
      <c r="G244" s="4" t="s">
        <v>93</v>
      </c>
      <c r="H244" s="4" t="s">
        <v>249</v>
      </c>
      <c r="I244" s="7">
        <v>1.75</v>
      </c>
      <c r="J244" s="7">
        <v>1.1359999999999999</v>
      </c>
      <c r="K244" s="7">
        <v>1.1240000000000001</v>
      </c>
      <c r="L244" s="7">
        <v>1.0609999999999999</v>
      </c>
      <c r="M244" s="7">
        <v>0.92700000000000005</v>
      </c>
      <c r="N244" s="7">
        <v>0.72299999999999998</v>
      </c>
      <c r="O244" s="7">
        <v>0.88</v>
      </c>
      <c r="P244" s="7">
        <v>1.0820000000000001</v>
      </c>
      <c r="Q244" s="7">
        <v>1.238</v>
      </c>
      <c r="R244" s="7">
        <v>1.621</v>
      </c>
      <c r="S244" s="7">
        <v>2.0150000000000001</v>
      </c>
      <c r="T244" s="7">
        <v>1.6020000000000001</v>
      </c>
      <c r="U244" s="7">
        <v>1.4119999999999999</v>
      </c>
      <c r="V244" s="7">
        <v>1.0580000000000001</v>
      </c>
      <c r="W244" s="7">
        <v>1.0369999999999999</v>
      </c>
      <c r="X244" s="7">
        <v>0.88100000000000001</v>
      </c>
      <c r="Y244" s="7">
        <v>0.53400000000000003</v>
      </c>
      <c r="Z244" s="7">
        <v>0.254</v>
      </c>
      <c r="AA244" s="7">
        <v>0.21</v>
      </c>
      <c r="AB244" s="7">
        <v>0.219</v>
      </c>
      <c r="AC244" s="7">
        <v>0.41199999999999998</v>
      </c>
      <c r="AD244" s="7">
        <v>0.68</v>
      </c>
      <c r="AE244" s="7">
        <v>1.3759999999999999</v>
      </c>
      <c r="AF244" s="7">
        <v>1.7050000000000001</v>
      </c>
      <c r="AG244" s="7">
        <v>1.887</v>
      </c>
      <c r="AH244" s="7">
        <v>1.1060000000000001</v>
      </c>
      <c r="AI244" s="7">
        <v>0.72099999999999997</v>
      </c>
      <c r="AJ244" s="7">
        <v>0.48399999999999999</v>
      </c>
      <c r="AK244" s="7">
        <v>0.22600000000000001</v>
      </c>
      <c r="AL244" s="7">
        <v>0.29099999999999998</v>
      </c>
      <c r="AM244" s="7">
        <v>0.26600000000000001</v>
      </c>
      <c r="AN244" s="7">
        <v>0.26</v>
      </c>
      <c r="AO244" s="7">
        <v>0.56499999999999995</v>
      </c>
      <c r="AP244" s="7">
        <v>1.153</v>
      </c>
      <c r="AQ244" s="7">
        <v>1.5980000000000001</v>
      </c>
      <c r="AR244" s="7">
        <v>1.4079999999999999</v>
      </c>
      <c r="AS244" s="7">
        <v>1.4E-2</v>
      </c>
      <c r="AT244" s="7">
        <v>2E-3</v>
      </c>
    </row>
    <row r="245" spans="1:46" x14ac:dyDescent="0.25">
      <c r="A245" s="4" t="s">
        <v>267</v>
      </c>
      <c r="B245" s="4" t="s">
        <v>207</v>
      </c>
      <c r="C245" s="4" t="s">
        <v>246</v>
      </c>
      <c r="D245" s="4" t="s">
        <v>254</v>
      </c>
      <c r="E245" s="4" t="s">
        <v>257</v>
      </c>
      <c r="F245" s="4" t="s">
        <v>203</v>
      </c>
      <c r="G245" s="4" t="s">
        <v>93</v>
      </c>
      <c r="H245" s="4" t="s">
        <v>250</v>
      </c>
      <c r="I245" s="7">
        <v>65.397000000000006</v>
      </c>
      <c r="J245" s="7">
        <v>66.064999999999998</v>
      </c>
      <c r="K245" s="7">
        <v>69.155000000000001</v>
      </c>
      <c r="L245" s="7">
        <v>63.865000000000002</v>
      </c>
      <c r="M245" s="7">
        <v>67.254999999999995</v>
      </c>
      <c r="N245" s="7">
        <v>63.716000000000001</v>
      </c>
      <c r="O245" s="7">
        <v>61.527999999999999</v>
      </c>
      <c r="P245" s="7">
        <v>60.725999999999999</v>
      </c>
      <c r="Q245" s="7">
        <v>58.44</v>
      </c>
      <c r="R245" s="7">
        <v>56.055</v>
      </c>
      <c r="S245" s="7">
        <v>58.228999999999999</v>
      </c>
      <c r="T245" s="7">
        <v>55.646999999999998</v>
      </c>
      <c r="U245" s="7">
        <v>58.122999999999998</v>
      </c>
      <c r="V245" s="7">
        <v>72.867999999999995</v>
      </c>
      <c r="W245" s="7">
        <v>79.521000000000001</v>
      </c>
      <c r="X245" s="7">
        <v>60.622</v>
      </c>
      <c r="Y245" s="7">
        <v>49.741</v>
      </c>
      <c r="Z245" s="7">
        <v>15.084</v>
      </c>
      <c r="AA245" s="7">
        <v>8.6479999999999997</v>
      </c>
      <c r="AB245" s="7">
        <v>7.3689999999999998</v>
      </c>
      <c r="AC245" s="7">
        <v>9.89</v>
      </c>
      <c r="AD245" s="7">
        <v>10.282</v>
      </c>
      <c r="AE245" s="7">
        <v>15.345000000000001</v>
      </c>
      <c r="AF245" s="7">
        <v>14.176</v>
      </c>
      <c r="AG245" s="7">
        <v>12.481</v>
      </c>
      <c r="AH245" s="7">
        <v>7.7530000000000001</v>
      </c>
      <c r="AI245" s="7">
        <v>4.5060000000000002</v>
      </c>
      <c r="AJ245" s="7">
        <v>2.6429999999999998</v>
      </c>
      <c r="AK245" s="7">
        <v>2.992</v>
      </c>
      <c r="AL245" s="7">
        <v>3.5369999999999999</v>
      </c>
      <c r="AM245" s="7">
        <v>3.863</v>
      </c>
      <c r="AN245" s="7">
        <v>3.15</v>
      </c>
      <c r="AO245" s="7">
        <v>8.5890000000000004</v>
      </c>
      <c r="AP245" s="7">
        <v>17.591999999999999</v>
      </c>
      <c r="AQ245" s="7">
        <v>15.586</v>
      </c>
      <c r="AR245" s="7">
        <v>15.682</v>
      </c>
      <c r="AS245" s="7">
        <v>2.633</v>
      </c>
      <c r="AT245" s="8">
        <v>0</v>
      </c>
    </row>
    <row r="246" spans="1:46" x14ac:dyDescent="0.25">
      <c r="A246" s="4" t="s">
        <v>267</v>
      </c>
      <c r="B246" s="4" t="s">
        <v>207</v>
      </c>
      <c r="C246" s="4" t="s">
        <v>246</v>
      </c>
      <c r="D246" s="4" t="s">
        <v>254</v>
      </c>
      <c r="E246" s="4" t="s">
        <v>257</v>
      </c>
      <c r="F246" s="4" t="s">
        <v>203</v>
      </c>
      <c r="G246" s="4" t="s">
        <v>93</v>
      </c>
      <c r="H246" s="4" t="s">
        <v>251</v>
      </c>
      <c r="I246" s="7">
        <v>45.326986300000002</v>
      </c>
      <c r="J246" s="7">
        <v>47.379164400000001</v>
      </c>
      <c r="K246" s="7">
        <v>53.558885199999999</v>
      </c>
      <c r="L246" s="7">
        <v>51.394711899999997</v>
      </c>
      <c r="M246" s="7">
        <v>52.458131399999999</v>
      </c>
      <c r="N246" s="7">
        <v>47.1108403</v>
      </c>
      <c r="O246" s="7">
        <v>46.308479200000001</v>
      </c>
      <c r="P246" s="7">
        <v>45.370176000000001</v>
      </c>
      <c r="Q246" s="7">
        <v>41.024319800000001</v>
      </c>
      <c r="R246" s="7">
        <v>35.897451699999998</v>
      </c>
      <c r="S246" s="7">
        <v>34.051286500000003</v>
      </c>
      <c r="T246" s="7">
        <v>32.739583500000002</v>
      </c>
      <c r="U246" s="7">
        <v>37.401768599999997</v>
      </c>
      <c r="V246" s="7">
        <v>51.480971199999999</v>
      </c>
      <c r="W246" s="7">
        <v>58.735590700000003</v>
      </c>
      <c r="X246" s="7">
        <v>47.300698500000003</v>
      </c>
      <c r="Y246" s="7">
        <v>40.247357299999997</v>
      </c>
      <c r="Z246" s="7">
        <v>19.241926400000001</v>
      </c>
      <c r="AA246" s="7">
        <v>12.744019400000001</v>
      </c>
      <c r="AB246" s="7">
        <v>9.8440945000000006</v>
      </c>
      <c r="AC246" s="7">
        <v>8.6933716000000008</v>
      </c>
      <c r="AD246" s="7">
        <v>8.0708397000000005</v>
      </c>
      <c r="AE246" s="7">
        <v>7.4271592999999996</v>
      </c>
      <c r="AF246" s="7">
        <v>6.0329398999999997</v>
      </c>
      <c r="AG246" s="7">
        <v>5.4798470999999997</v>
      </c>
      <c r="AH246" s="7">
        <v>6.2823757000000002</v>
      </c>
      <c r="AI246" s="7">
        <v>5.6610395999999996</v>
      </c>
      <c r="AJ246" s="7">
        <v>5.2930688999999997</v>
      </c>
      <c r="AK246" s="7">
        <v>5.2166560000000004</v>
      </c>
      <c r="AL246" s="7">
        <v>4.9094500999999999</v>
      </c>
      <c r="AM246" s="7">
        <v>4.9058102000000003</v>
      </c>
      <c r="AN246" s="7">
        <v>4.9276486000000004</v>
      </c>
      <c r="AO246" s="7">
        <v>4.9238993000000004</v>
      </c>
      <c r="AP246" s="7">
        <v>4.9212385000000003</v>
      </c>
      <c r="AQ246" s="7">
        <v>4.0973508000000001</v>
      </c>
      <c r="AR246" s="7">
        <v>4.2437025999999998</v>
      </c>
      <c r="AS246" s="7">
        <v>2.3255341</v>
      </c>
      <c r="AT246" s="7">
        <v>2.633</v>
      </c>
    </row>
    <row r="247" spans="1:46" x14ac:dyDescent="0.25">
      <c r="A247" s="4" t="s">
        <v>267</v>
      </c>
      <c r="B247" s="4" t="s">
        <v>207</v>
      </c>
      <c r="C247" s="4" t="s">
        <v>246</v>
      </c>
      <c r="D247" s="4" t="s">
        <v>254</v>
      </c>
      <c r="E247" s="4" t="s">
        <v>257</v>
      </c>
      <c r="F247" s="4" t="s">
        <v>203</v>
      </c>
      <c r="G247" s="4" t="s">
        <v>93</v>
      </c>
      <c r="H247" s="4" t="s">
        <v>252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7">
        <v>2.3255341</v>
      </c>
    </row>
    <row r="248" spans="1:46" x14ac:dyDescent="0.25">
      <c r="A248" s="4" t="s">
        <v>267</v>
      </c>
      <c r="B248" s="4" t="s">
        <v>207</v>
      </c>
      <c r="C248" s="4" t="s">
        <v>246</v>
      </c>
      <c r="D248" s="4" t="s">
        <v>254</v>
      </c>
      <c r="E248" s="4" t="s">
        <v>258</v>
      </c>
      <c r="F248" s="4" t="s">
        <v>203</v>
      </c>
      <c r="G248" s="4" t="s">
        <v>93</v>
      </c>
      <c r="H248" s="4" t="s">
        <v>151</v>
      </c>
      <c r="I248" s="5">
        <v>0</v>
      </c>
      <c r="J248" s="5">
        <v>47.936999999999998</v>
      </c>
      <c r="K248" s="5">
        <v>42.25</v>
      </c>
      <c r="L248" s="5">
        <v>0</v>
      </c>
      <c r="M248" s="5">
        <v>0</v>
      </c>
      <c r="N248" s="5">
        <v>0</v>
      </c>
      <c r="O248" s="5">
        <v>387.33499999999998</v>
      </c>
      <c r="P248" s="5">
        <v>218.529</v>
      </c>
      <c r="Q248" s="5">
        <v>196.70400000000001</v>
      </c>
      <c r="R248" s="5">
        <v>171.756</v>
      </c>
      <c r="S248" s="5">
        <v>183.59</v>
      </c>
      <c r="T248" s="5">
        <v>118.619</v>
      </c>
      <c r="U248" s="5">
        <v>85.878</v>
      </c>
      <c r="V248" s="5">
        <v>95.073999999999998</v>
      </c>
      <c r="W248" s="5">
        <v>128.46299999999999</v>
      </c>
      <c r="X248" s="5">
        <v>504.47399999999999</v>
      </c>
      <c r="Y248" s="5">
        <v>1331.134</v>
      </c>
      <c r="Z248" s="5">
        <v>1924.066</v>
      </c>
      <c r="AA248" s="5">
        <v>1843.184</v>
      </c>
      <c r="AB248" s="5">
        <v>1259.394</v>
      </c>
      <c r="AC248" s="5">
        <v>863.822</v>
      </c>
      <c r="AD248" s="5">
        <v>588.54999999999995</v>
      </c>
      <c r="AE248" s="5">
        <v>429.06</v>
      </c>
      <c r="AF248" s="5">
        <v>436.17500000000001</v>
      </c>
      <c r="AG248" s="5">
        <v>436.03800000000001</v>
      </c>
      <c r="AH248" s="5">
        <v>666.745</v>
      </c>
      <c r="AI248" s="5">
        <v>1048.2449999999999</v>
      </c>
      <c r="AJ248" s="5">
        <v>2009.4749999999999</v>
      </c>
      <c r="AK248" s="5">
        <v>2505.6010000000001</v>
      </c>
      <c r="AL248" s="5">
        <v>2586.4360000000001</v>
      </c>
      <c r="AM248" s="5">
        <v>2266.607</v>
      </c>
      <c r="AN248" s="5">
        <v>1923.5530000000001</v>
      </c>
      <c r="AO248" s="5">
        <v>1302.1890000000001</v>
      </c>
      <c r="AP248" s="5">
        <v>906.65099999999995</v>
      </c>
      <c r="AQ248" s="5">
        <v>594.64400000000001</v>
      </c>
      <c r="AR248" s="5">
        <v>456.399</v>
      </c>
      <c r="AS248" s="5">
        <v>537.71699999999998</v>
      </c>
      <c r="AT248" s="5">
        <v>537.71699999999998</v>
      </c>
    </row>
    <row r="249" spans="1:46" x14ac:dyDescent="0.25">
      <c r="A249" s="4" t="s">
        <v>267</v>
      </c>
      <c r="B249" s="4" t="s">
        <v>207</v>
      </c>
      <c r="C249" s="4" t="s">
        <v>246</v>
      </c>
      <c r="D249" s="4" t="s">
        <v>254</v>
      </c>
      <c r="E249" s="4" t="s">
        <v>258</v>
      </c>
      <c r="F249" s="4" t="s">
        <v>203</v>
      </c>
      <c r="G249" s="4" t="s">
        <v>93</v>
      </c>
      <c r="H249" s="4" t="s">
        <v>205</v>
      </c>
      <c r="I249" s="6">
        <v>0</v>
      </c>
      <c r="J249" s="6">
        <v>6183.8450000000003</v>
      </c>
      <c r="K249" s="6">
        <v>5450.2889999999998</v>
      </c>
      <c r="L249" s="6">
        <v>0</v>
      </c>
      <c r="M249" s="6">
        <v>0</v>
      </c>
      <c r="N249" s="6">
        <v>0</v>
      </c>
      <c r="O249" s="6">
        <v>42804.646999999997</v>
      </c>
      <c r="P249" s="6">
        <v>24007.834999999999</v>
      </c>
      <c r="Q249" s="6">
        <v>21610.133999999998</v>
      </c>
      <c r="R249" s="6">
        <v>18869.359</v>
      </c>
      <c r="S249" s="6">
        <v>20169.457999999999</v>
      </c>
      <c r="T249" s="6">
        <v>10557.048000000001</v>
      </c>
      <c r="U249" s="6">
        <v>7643.1509999999998</v>
      </c>
      <c r="V249" s="6">
        <v>8461.6229999999996</v>
      </c>
      <c r="W249" s="6">
        <v>12287.369000000001</v>
      </c>
      <c r="X249" s="6">
        <v>67702.561000000002</v>
      </c>
      <c r="Y249" s="6">
        <v>203586.39600000001</v>
      </c>
      <c r="Z249" s="6">
        <v>307612.10700000002</v>
      </c>
      <c r="AA249" s="6">
        <v>296041.11200000002</v>
      </c>
      <c r="AB249" s="6">
        <v>201672.37</v>
      </c>
      <c r="AC249" s="6">
        <v>138711.98800000001</v>
      </c>
      <c r="AD249" s="6">
        <v>95268.782999999996</v>
      </c>
      <c r="AE249" s="6">
        <v>69717.589000000007</v>
      </c>
      <c r="AF249" s="6">
        <v>74269.437000000005</v>
      </c>
      <c r="AG249" s="6">
        <v>77212.678</v>
      </c>
      <c r="AH249" s="6">
        <v>117730.038</v>
      </c>
      <c r="AI249" s="6">
        <v>184465.625</v>
      </c>
      <c r="AJ249" s="6">
        <v>353645.09399999998</v>
      </c>
      <c r="AK249" s="6">
        <v>439356.26699999999</v>
      </c>
      <c r="AL249" s="6">
        <v>449372.78499999997</v>
      </c>
      <c r="AM249" s="6">
        <v>391096.93900000001</v>
      </c>
      <c r="AN249" s="6">
        <v>327304.63</v>
      </c>
      <c r="AO249" s="6">
        <v>220975.83100000001</v>
      </c>
      <c r="AP249" s="6">
        <v>144704.674</v>
      </c>
      <c r="AQ249" s="6">
        <v>98781.513000000006</v>
      </c>
      <c r="AR249" s="6">
        <v>80704.051000000007</v>
      </c>
      <c r="AS249" s="6">
        <v>98700.358999999997</v>
      </c>
      <c r="AT249" s="6">
        <v>98700.358999999997</v>
      </c>
    </row>
    <row r="250" spans="1:46" x14ac:dyDescent="0.25">
      <c r="A250" s="4" t="s">
        <v>267</v>
      </c>
      <c r="B250" s="4" t="s">
        <v>207</v>
      </c>
      <c r="C250" s="4" t="s">
        <v>246</v>
      </c>
      <c r="D250" s="4" t="s">
        <v>254</v>
      </c>
      <c r="E250" s="4" t="s">
        <v>258</v>
      </c>
      <c r="F250" s="4" t="s">
        <v>203</v>
      </c>
      <c r="G250" s="4" t="s">
        <v>93</v>
      </c>
      <c r="H250" s="4" t="s">
        <v>249</v>
      </c>
      <c r="I250" s="7">
        <v>0</v>
      </c>
      <c r="J250" s="7">
        <v>4.4999999999999998E-2</v>
      </c>
      <c r="K250" s="7">
        <v>2.4E-2</v>
      </c>
      <c r="L250" s="7">
        <v>0</v>
      </c>
      <c r="M250" s="7">
        <v>0</v>
      </c>
      <c r="N250" s="7">
        <v>0</v>
      </c>
      <c r="O250" s="7">
        <v>0.14599999999999999</v>
      </c>
      <c r="P250" s="7">
        <v>0.13200000000000001</v>
      </c>
      <c r="Q250" s="7">
        <v>0.22900000000000001</v>
      </c>
      <c r="R250" s="7">
        <v>0.47499999999999998</v>
      </c>
      <c r="S250" s="7">
        <v>0.65300000000000002</v>
      </c>
      <c r="T250" s="7">
        <v>0.38500000000000001</v>
      </c>
      <c r="U250" s="7">
        <v>0.17799999999999999</v>
      </c>
      <c r="V250" s="7">
        <v>0.11</v>
      </c>
      <c r="W250" s="7">
        <v>8.2000000000000003E-2</v>
      </c>
      <c r="X250" s="7">
        <v>0.20499999999999999</v>
      </c>
      <c r="Y250" s="7">
        <v>0.48199999999999998</v>
      </c>
      <c r="Z250" s="7">
        <v>0.73899999999999999</v>
      </c>
      <c r="AA250" s="7">
        <v>0.69299999999999995</v>
      </c>
      <c r="AB250" s="7">
        <v>0.68300000000000005</v>
      </c>
      <c r="AC250" s="7">
        <v>0.76</v>
      </c>
      <c r="AD250" s="7">
        <v>0.92400000000000004</v>
      </c>
      <c r="AE250" s="7">
        <v>1.113</v>
      </c>
      <c r="AF250" s="7">
        <v>1.2190000000000001</v>
      </c>
      <c r="AG250" s="7">
        <v>1.127</v>
      </c>
      <c r="AH250" s="7">
        <v>0.85399999999999998</v>
      </c>
      <c r="AI250" s="7">
        <v>0.85499999999999998</v>
      </c>
      <c r="AJ250" s="7">
        <v>0.92900000000000005</v>
      </c>
      <c r="AK250" s="7">
        <v>0.82199999999999995</v>
      </c>
      <c r="AL250" s="7">
        <v>0.97199999999999998</v>
      </c>
      <c r="AM250" s="7">
        <v>0.76500000000000001</v>
      </c>
      <c r="AN250" s="7">
        <v>0.64200000000000002</v>
      </c>
      <c r="AO250" s="7">
        <v>1.0429999999999999</v>
      </c>
      <c r="AP250" s="7">
        <v>1.5009999999999999</v>
      </c>
      <c r="AQ250" s="7">
        <v>1.7230000000000001</v>
      </c>
      <c r="AR250" s="7">
        <v>1.7150000000000001</v>
      </c>
      <c r="AS250" s="7">
        <v>1.5009999999999999</v>
      </c>
      <c r="AT250" s="7">
        <v>0.27600000000000002</v>
      </c>
    </row>
    <row r="251" spans="1:46" x14ac:dyDescent="0.25">
      <c r="A251" s="4" t="s">
        <v>267</v>
      </c>
      <c r="B251" s="4" t="s">
        <v>207</v>
      </c>
      <c r="C251" s="4" t="s">
        <v>246</v>
      </c>
      <c r="D251" s="4" t="s">
        <v>254</v>
      </c>
      <c r="E251" s="4" t="s">
        <v>258</v>
      </c>
      <c r="F251" s="4" t="s">
        <v>203</v>
      </c>
      <c r="G251" s="4" t="s">
        <v>93</v>
      </c>
      <c r="H251" s="4" t="s">
        <v>250</v>
      </c>
      <c r="I251" s="7">
        <v>0.28999999999999998</v>
      </c>
      <c r="J251" s="7">
        <v>0.45500000000000002</v>
      </c>
      <c r="K251" s="7">
        <v>0.43099999999999999</v>
      </c>
      <c r="L251" s="7">
        <v>0.495</v>
      </c>
      <c r="M251" s="7">
        <v>0.46500000000000002</v>
      </c>
      <c r="N251" s="7">
        <v>0.317</v>
      </c>
      <c r="O251" s="7">
        <v>1.84</v>
      </c>
      <c r="P251" s="7">
        <v>1.6559999999999999</v>
      </c>
      <c r="Q251" s="7">
        <v>2.9</v>
      </c>
      <c r="R251" s="7">
        <v>4.5229999999999997</v>
      </c>
      <c r="S251" s="7">
        <v>5.1630000000000003</v>
      </c>
      <c r="T251" s="7">
        <v>3.8530000000000002</v>
      </c>
      <c r="U251" s="7">
        <v>2.1840000000000002</v>
      </c>
      <c r="V251" s="7">
        <v>1.2849999999999999</v>
      </c>
      <c r="W251" s="7">
        <v>12.112</v>
      </c>
      <c r="X251" s="7">
        <v>15.827</v>
      </c>
      <c r="Y251" s="7">
        <v>54.741999999999997</v>
      </c>
      <c r="Z251" s="7">
        <v>59.302</v>
      </c>
      <c r="AA251" s="7">
        <v>60.225999999999999</v>
      </c>
      <c r="AB251" s="7">
        <v>56.984999999999999</v>
      </c>
      <c r="AC251" s="7">
        <v>53.084000000000003</v>
      </c>
      <c r="AD251" s="7">
        <v>51.006999999999998</v>
      </c>
      <c r="AE251" s="7">
        <v>43.908999999999999</v>
      </c>
      <c r="AF251" s="7">
        <v>48.390999999999998</v>
      </c>
      <c r="AG251" s="7">
        <v>50.076999999999998</v>
      </c>
      <c r="AH251" s="7">
        <v>60.009</v>
      </c>
      <c r="AI251" s="7">
        <v>63.524000000000001</v>
      </c>
      <c r="AJ251" s="7">
        <v>68.882999999999996</v>
      </c>
      <c r="AK251" s="7">
        <v>68.632999999999996</v>
      </c>
      <c r="AL251" s="7">
        <v>64.488</v>
      </c>
      <c r="AM251" s="7">
        <v>66.775000000000006</v>
      </c>
      <c r="AN251" s="7">
        <v>70.405000000000001</v>
      </c>
      <c r="AO251" s="7">
        <v>61.448999999999998</v>
      </c>
      <c r="AP251" s="7">
        <v>49.26</v>
      </c>
      <c r="AQ251" s="7">
        <v>48.491</v>
      </c>
      <c r="AR251" s="7">
        <v>49.415999999999997</v>
      </c>
      <c r="AS251" s="7">
        <v>64.524000000000001</v>
      </c>
      <c r="AT251" s="8">
        <v>0</v>
      </c>
    </row>
    <row r="252" spans="1:46" x14ac:dyDescent="0.25">
      <c r="A252" s="4" t="s">
        <v>267</v>
      </c>
      <c r="B252" s="4" t="s">
        <v>207</v>
      </c>
      <c r="C252" s="4" t="s">
        <v>246</v>
      </c>
      <c r="D252" s="4" t="s">
        <v>254</v>
      </c>
      <c r="E252" s="4" t="s">
        <v>258</v>
      </c>
      <c r="F252" s="4" t="s">
        <v>203</v>
      </c>
      <c r="G252" s="4" t="s">
        <v>93</v>
      </c>
      <c r="H252" s="4" t="s">
        <v>251</v>
      </c>
      <c r="I252" s="7">
        <v>1.2461370000000001</v>
      </c>
      <c r="J252" s="7">
        <v>1.2427648</v>
      </c>
      <c r="K252" s="7">
        <v>1.2421396</v>
      </c>
      <c r="L252" s="7">
        <v>1.2533920000000001</v>
      </c>
      <c r="M252" s="7">
        <v>1.2339243</v>
      </c>
      <c r="N252" s="7">
        <v>1.2307389</v>
      </c>
      <c r="O252" s="7">
        <v>4.1520959</v>
      </c>
      <c r="P252" s="7">
        <v>2.9320263999999998</v>
      </c>
      <c r="Q252" s="7">
        <v>3.0671930000000001</v>
      </c>
      <c r="R252" s="7">
        <v>3.0769419999999998</v>
      </c>
      <c r="S252" s="7">
        <v>3.0769419999999998</v>
      </c>
      <c r="T252" s="7">
        <v>3.0790831999999999</v>
      </c>
      <c r="U252" s="7">
        <v>3.0769419999999998</v>
      </c>
      <c r="V252" s="7">
        <v>3.0684165000000001</v>
      </c>
      <c r="W252" s="7">
        <v>8.2645134000000002</v>
      </c>
      <c r="X252" s="7">
        <v>12.711510199999999</v>
      </c>
      <c r="Y252" s="7">
        <v>37.986187899999997</v>
      </c>
      <c r="Z252" s="7">
        <v>42.063434200000003</v>
      </c>
      <c r="AA252" s="7">
        <v>42.164384900000002</v>
      </c>
      <c r="AB252" s="7">
        <v>39.554739400000003</v>
      </c>
      <c r="AC252" s="7">
        <v>40.920998699999998</v>
      </c>
      <c r="AD252" s="7">
        <v>39.436467700000001</v>
      </c>
      <c r="AE252" s="7">
        <v>37.682987900000001</v>
      </c>
      <c r="AF252" s="7">
        <v>39.189402700000002</v>
      </c>
      <c r="AG252" s="7">
        <v>39.586992600000002</v>
      </c>
      <c r="AH252" s="7">
        <v>43.357815600000002</v>
      </c>
      <c r="AI252" s="7">
        <v>45.559480499999999</v>
      </c>
      <c r="AJ252" s="7">
        <v>46.638622699999999</v>
      </c>
      <c r="AK252" s="7">
        <v>47.6659583</v>
      </c>
      <c r="AL252" s="7">
        <v>46.5212571</v>
      </c>
      <c r="AM252" s="7">
        <v>45.513489800000002</v>
      </c>
      <c r="AN252" s="7">
        <v>48.233610800000001</v>
      </c>
      <c r="AO252" s="7">
        <v>48.421548399999999</v>
      </c>
      <c r="AP252" s="7">
        <v>44.828200899999999</v>
      </c>
      <c r="AQ252" s="7">
        <v>43.001930399999999</v>
      </c>
      <c r="AR252" s="7">
        <v>42.045842499999999</v>
      </c>
      <c r="AS252" s="7">
        <v>47.160668200000003</v>
      </c>
      <c r="AT252" s="7">
        <v>64.524000000000001</v>
      </c>
    </row>
    <row r="253" spans="1:46" x14ac:dyDescent="0.25">
      <c r="A253" s="4" t="s">
        <v>267</v>
      </c>
      <c r="B253" s="4" t="s">
        <v>207</v>
      </c>
      <c r="C253" s="4" t="s">
        <v>246</v>
      </c>
      <c r="D253" s="4" t="s">
        <v>254</v>
      </c>
      <c r="E253" s="4" t="s">
        <v>258</v>
      </c>
      <c r="F253" s="4" t="s">
        <v>203</v>
      </c>
      <c r="G253" s="4" t="s">
        <v>93</v>
      </c>
      <c r="H253" s="4" t="s">
        <v>252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7">
        <v>47.160668200000003</v>
      </c>
    </row>
    <row r="254" spans="1:46" x14ac:dyDescent="0.25">
      <c r="A254" s="4" t="s">
        <v>267</v>
      </c>
      <c r="B254" s="4" t="s">
        <v>207</v>
      </c>
      <c r="C254" s="4" t="s">
        <v>246</v>
      </c>
      <c r="D254" s="4" t="s">
        <v>254</v>
      </c>
      <c r="E254" s="4" t="s">
        <v>258</v>
      </c>
      <c r="F254" s="4" t="s">
        <v>195</v>
      </c>
      <c r="G254" s="4" t="s">
        <v>93</v>
      </c>
      <c r="H254" s="4" t="s">
        <v>151</v>
      </c>
      <c r="I254" s="5">
        <v>225.91200000000001</v>
      </c>
      <c r="J254" s="5">
        <v>206.60599999999999</v>
      </c>
      <c r="K254" s="5">
        <v>199.06899999999999</v>
      </c>
      <c r="L254" s="5">
        <v>248.56899999999999</v>
      </c>
      <c r="M254" s="5">
        <v>231.155</v>
      </c>
      <c r="N254" s="5">
        <v>231.155</v>
      </c>
      <c r="O254" s="5">
        <v>1049.655</v>
      </c>
      <c r="P254" s="5">
        <v>1368.318</v>
      </c>
      <c r="Q254" s="5">
        <v>1147.8140000000001</v>
      </c>
      <c r="R254" s="5">
        <v>837.54600000000005</v>
      </c>
      <c r="S254" s="5">
        <v>658.05899999999997</v>
      </c>
      <c r="T254" s="5">
        <v>708.73699999999997</v>
      </c>
      <c r="U254" s="5">
        <v>1030.1880000000001</v>
      </c>
      <c r="V254" s="5">
        <v>1766.6179999999999</v>
      </c>
      <c r="W254" s="5">
        <v>3012.47</v>
      </c>
      <c r="X254" s="5">
        <v>4854.5320000000002</v>
      </c>
      <c r="Y254" s="5">
        <v>5978.3329999999996</v>
      </c>
      <c r="Z254" s="5">
        <v>5180.5410000000002</v>
      </c>
      <c r="AA254" s="5">
        <v>5409.78</v>
      </c>
      <c r="AB254" s="5">
        <v>4068.0120000000002</v>
      </c>
      <c r="AC254" s="5">
        <v>3025.1660000000002</v>
      </c>
      <c r="AD254" s="5">
        <v>1451.4690000000001</v>
      </c>
      <c r="AE254" s="5">
        <v>1051.904</v>
      </c>
      <c r="AF254" s="5">
        <v>993.82100000000003</v>
      </c>
      <c r="AG254" s="5">
        <v>1073.69</v>
      </c>
      <c r="AH254" s="5">
        <v>2895.0949999999998</v>
      </c>
      <c r="AI254" s="5">
        <v>4835.8019999999997</v>
      </c>
      <c r="AJ254" s="5">
        <v>9260.5210000000006</v>
      </c>
      <c r="AK254" s="5">
        <v>11459.174000000001</v>
      </c>
      <c r="AL254" s="5">
        <v>9855.5830000000005</v>
      </c>
      <c r="AM254" s="5">
        <v>8653.8209999999999</v>
      </c>
      <c r="AN254" s="5">
        <v>6764.0619999999999</v>
      </c>
      <c r="AO254" s="5">
        <v>4077.7950000000001</v>
      </c>
      <c r="AP254" s="5">
        <v>2586.3919999999998</v>
      </c>
      <c r="AQ254" s="5">
        <v>1909.779</v>
      </c>
      <c r="AR254" s="5">
        <v>1677.94</v>
      </c>
      <c r="AS254" s="5">
        <v>1830.8710000000001</v>
      </c>
      <c r="AT254" s="5">
        <v>1830.8710000000001</v>
      </c>
    </row>
    <row r="255" spans="1:46" x14ac:dyDescent="0.25">
      <c r="A255" s="4" t="s">
        <v>267</v>
      </c>
      <c r="B255" s="4" t="s">
        <v>207</v>
      </c>
      <c r="C255" s="4" t="s">
        <v>246</v>
      </c>
      <c r="D255" s="4" t="s">
        <v>254</v>
      </c>
      <c r="E255" s="4" t="s">
        <v>258</v>
      </c>
      <c r="F255" s="4" t="s">
        <v>195</v>
      </c>
      <c r="G255" s="4" t="s">
        <v>93</v>
      </c>
      <c r="H255" s="4" t="s">
        <v>205</v>
      </c>
      <c r="I255" s="6">
        <v>40184.51</v>
      </c>
      <c r="J255" s="6">
        <v>36197.805</v>
      </c>
      <c r="K255" s="6">
        <v>34887.016000000003</v>
      </c>
      <c r="L255" s="6">
        <v>44831.517</v>
      </c>
      <c r="M255" s="6">
        <v>41392.190999999999</v>
      </c>
      <c r="N255" s="6">
        <v>41392.190999999999</v>
      </c>
      <c r="O255" s="6">
        <v>249411.99100000001</v>
      </c>
      <c r="P255" s="6">
        <v>335216.11499999999</v>
      </c>
      <c r="Q255" s="6">
        <v>270094.36900000001</v>
      </c>
      <c r="R255" s="6">
        <v>194643.609</v>
      </c>
      <c r="S255" s="6">
        <v>149514.73499999999</v>
      </c>
      <c r="T255" s="6">
        <v>162387.31899999999</v>
      </c>
      <c r="U255" s="6">
        <v>231888.64499999999</v>
      </c>
      <c r="V255" s="6">
        <v>407175.81599999999</v>
      </c>
      <c r="W255" s="6">
        <v>688367.42</v>
      </c>
      <c r="X255" s="6">
        <v>1139312.476</v>
      </c>
      <c r="Y255" s="6">
        <v>1416076.4850000001</v>
      </c>
      <c r="Z255" s="6">
        <v>1195020.4779999999</v>
      </c>
      <c r="AA255" s="6">
        <v>1215943.2350000001</v>
      </c>
      <c r="AB255" s="6">
        <v>931969.53799999994</v>
      </c>
      <c r="AC255" s="6">
        <v>630678.26199999999</v>
      </c>
      <c r="AD255" s="6">
        <v>325380.82</v>
      </c>
      <c r="AE255" s="6">
        <v>242893.98800000001</v>
      </c>
      <c r="AF255" s="6">
        <v>238663.82800000001</v>
      </c>
      <c r="AG255" s="6">
        <v>272611.41100000002</v>
      </c>
      <c r="AH255" s="6">
        <v>784913.47</v>
      </c>
      <c r="AI255" s="6">
        <v>1316075.2450000001</v>
      </c>
      <c r="AJ255" s="6">
        <v>2552798.29</v>
      </c>
      <c r="AK255" s="6">
        <v>3207690.1170000001</v>
      </c>
      <c r="AL255" s="6">
        <v>2751369.9010000001</v>
      </c>
      <c r="AM255" s="6">
        <v>2392877.702</v>
      </c>
      <c r="AN255" s="6">
        <v>1887938.7790000001</v>
      </c>
      <c r="AO255" s="6">
        <v>1118497.4550000001</v>
      </c>
      <c r="AP255" s="6">
        <v>725929.16399999999</v>
      </c>
      <c r="AQ255" s="6">
        <v>542078.47699999996</v>
      </c>
      <c r="AR255" s="6">
        <v>473327.83100000001</v>
      </c>
      <c r="AS255" s="6">
        <v>555819.95900000003</v>
      </c>
      <c r="AT255" s="6">
        <v>555819.95900000003</v>
      </c>
    </row>
    <row r="256" spans="1:46" x14ac:dyDescent="0.25">
      <c r="A256" s="4" t="s">
        <v>267</v>
      </c>
      <c r="B256" s="4" t="s">
        <v>207</v>
      </c>
      <c r="C256" s="4" t="s">
        <v>246</v>
      </c>
      <c r="D256" s="4" t="s">
        <v>254</v>
      </c>
      <c r="E256" s="4" t="s">
        <v>258</v>
      </c>
      <c r="F256" s="4" t="s">
        <v>195</v>
      </c>
      <c r="G256" s="4" t="s">
        <v>93</v>
      </c>
      <c r="H256" s="4" t="s">
        <v>249</v>
      </c>
      <c r="I256" s="7">
        <v>0.5</v>
      </c>
      <c r="J256" s="7">
        <v>0.23400000000000001</v>
      </c>
      <c r="K256" s="7">
        <v>0.13500000000000001</v>
      </c>
      <c r="L256" s="7">
        <v>0.13100000000000001</v>
      </c>
      <c r="M256" s="7">
        <v>7.8E-2</v>
      </c>
      <c r="N256" s="7">
        <v>8.6999999999999994E-2</v>
      </c>
      <c r="O256" s="7">
        <v>0.47499999999999998</v>
      </c>
      <c r="P256" s="7">
        <v>0.99299999999999999</v>
      </c>
      <c r="Q256" s="7">
        <v>1.605</v>
      </c>
      <c r="R256" s="7">
        <v>2.782</v>
      </c>
      <c r="S256" s="7">
        <v>2.81</v>
      </c>
      <c r="T256" s="7">
        <v>2.7570000000000001</v>
      </c>
      <c r="U256" s="7">
        <v>2.5659999999999998</v>
      </c>
      <c r="V256" s="7">
        <v>2.448</v>
      </c>
      <c r="W256" s="7">
        <v>2.2989999999999999</v>
      </c>
      <c r="X256" s="7">
        <v>2.3679999999999999</v>
      </c>
      <c r="Y256" s="7">
        <v>2.5979999999999999</v>
      </c>
      <c r="Z256" s="7">
        <v>2.3879999999999999</v>
      </c>
      <c r="AA256" s="7">
        <v>2.4420000000000002</v>
      </c>
      <c r="AB256" s="7">
        <v>2.649</v>
      </c>
      <c r="AC256" s="7">
        <v>3.194</v>
      </c>
      <c r="AD256" s="7">
        <v>2.7330000000000001</v>
      </c>
      <c r="AE256" s="7">
        <v>3.2749999999999999</v>
      </c>
      <c r="AF256" s="7">
        <v>3.3319999999999999</v>
      </c>
      <c r="AG256" s="7">
        <v>3.3479999999999999</v>
      </c>
      <c r="AH256" s="7">
        <v>4.5510000000000002</v>
      </c>
      <c r="AI256" s="7">
        <v>4.8639999999999999</v>
      </c>
      <c r="AJ256" s="7">
        <v>5.27</v>
      </c>
      <c r="AK256" s="7">
        <v>4.6310000000000002</v>
      </c>
      <c r="AL256" s="7">
        <v>4.5439999999999996</v>
      </c>
      <c r="AM256" s="7">
        <v>3.59</v>
      </c>
      <c r="AN256" s="7">
        <v>2.7650000000000001</v>
      </c>
      <c r="AO256" s="7">
        <v>4</v>
      </c>
      <c r="AP256" s="7">
        <v>5.2560000000000002</v>
      </c>
      <c r="AQ256" s="7">
        <v>6.82</v>
      </c>
      <c r="AR256" s="7">
        <v>7.7880000000000003</v>
      </c>
      <c r="AS256" s="7">
        <v>6.3159999999999998</v>
      </c>
      <c r="AT256" s="7">
        <v>0.94</v>
      </c>
    </row>
    <row r="257" spans="1:46" x14ac:dyDescent="0.25">
      <c r="A257" s="4" t="s">
        <v>267</v>
      </c>
      <c r="B257" s="4" t="s">
        <v>207</v>
      </c>
      <c r="C257" s="4" t="s">
        <v>246</v>
      </c>
      <c r="D257" s="4" t="s">
        <v>254</v>
      </c>
      <c r="E257" s="4" t="s">
        <v>258</v>
      </c>
      <c r="F257" s="4" t="s">
        <v>195</v>
      </c>
      <c r="G257" s="4" t="s">
        <v>93</v>
      </c>
      <c r="H257" s="4" t="s">
        <v>250</v>
      </c>
      <c r="I257" s="7">
        <v>9.84</v>
      </c>
      <c r="J257" s="7">
        <v>5.3230000000000004</v>
      </c>
      <c r="K257" s="7">
        <v>2.9249999999999998</v>
      </c>
      <c r="L257" s="7">
        <v>2.9870000000000001</v>
      </c>
      <c r="M257" s="7">
        <v>2.319</v>
      </c>
      <c r="N257" s="7">
        <v>2.97</v>
      </c>
      <c r="O257" s="7">
        <v>41.430999999999997</v>
      </c>
      <c r="P257" s="7">
        <v>52.665999999999997</v>
      </c>
      <c r="Q257" s="7">
        <v>61.564</v>
      </c>
      <c r="R257" s="7">
        <v>60.395000000000003</v>
      </c>
      <c r="S257" s="7">
        <v>59.917000000000002</v>
      </c>
      <c r="T257" s="7">
        <v>65.072999999999993</v>
      </c>
      <c r="U257" s="7">
        <v>70.474000000000004</v>
      </c>
      <c r="V257" s="7">
        <v>80.043000000000006</v>
      </c>
      <c r="W257" s="7">
        <v>84.513000000000005</v>
      </c>
      <c r="X257" s="7">
        <v>87.341999999999999</v>
      </c>
      <c r="Y257" s="7">
        <v>89.498999999999995</v>
      </c>
      <c r="Z257" s="7">
        <v>87.62</v>
      </c>
      <c r="AA257" s="7">
        <v>87.366</v>
      </c>
      <c r="AB257" s="7">
        <v>91.875</v>
      </c>
      <c r="AC257" s="7">
        <v>89.908000000000001</v>
      </c>
      <c r="AD257" s="7">
        <v>76.341999999999999</v>
      </c>
      <c r="AE257" s="7">
        <v>70.980999999999995</v>
      </c>
      <c r="AF257" s="7">
        <v>68.552999999999997</v>
      </c>
      <c r="AG257" s="7">
        <v>68.668000000000006</v>
      </c>
      <c r="AH257" s="7">
        <v>93.475999999999999</v>
      </c>
      <c r="AI257" s="7">
        <v>95.92</v>
      </c>
      <c r="AJ257" s="7">
        <v>97.491</v>
      </c>
      <c r="AK257" s="7">
        <v>98.474999999999994</v>
      </c>
      <c r="AL257" s="7">
        <v>97.509</v>
      </c>
      <c r="AM257" s="7">
        <v>97.662000000000006</v>
      </c>
      <c r="AN257" s="7">
        <v>98.578999999999994</v>
      </c>
      <c r="AO257" s="7">
        <v>96.102000000000004</v>
      </c>
      <c r="AP257" s="7">
        <v>92.909000000000006</v>
      </c>
      <c r="AQ257" s="7">
        <v>90.936999999999998</v>
      </c>
      <c r="AR257" s="7">
        <v>92.611000000000004</v>
      </c>
      <c r="AS257" s="7">
        <v>96.171000000000006</v>
      </c>
      <c r="AT257" s="8">
        <v>0</v>
      </c>
    </row>
    <row r="258" spans="1:46" x14ac:dyDescent="0.25">
      <c r="A258" s="4" t="s">
        <v>267</v>
      </c>
      <c r="B258" s="4" t="s">
        <v>207</v>
      </c>
      <c r="C258" s="4" t="s">
        <v>246</v>
      </c>
      <c r="D258" s="4" t="s">
        <v>254</v>
      </c>
      <c r="E258" s="4" t="s">
        <v>258</v>
      </c>
      <c r="F258" s="4" t="s">
        <v>195</v>
      </c>
      <c r="G258" s="4" t="s">
        <v>93</v>
      </c>
      <c r="H258" s="4" t="s">
        <v>251</v>
      </c>
      <c r="I258" s="7">
        <v>4.5172464999999997</v>
      </c>
      <c r="J258" s="7">
        <v>4.5050223000000003</v>
      </c>
      <c r="K258" s="7">
        <v>4.5027559999999998</v>
      </c>
      <c r="L258" s="7">
        <v>4.1258530999999996</v>
      </c>
      <c r="M258" s="7">
        <v>3.7532892000000002</v>
      </c>
      <c r="N258" s="7">
        <v>3.7436001999999999</v>
      </c>
      <c r="O258" s="7">
        <v>25.0153012</v>
      </c>
      <c r="P258" s="7">
        <v>35.065183599999997</v>
      </c>
      <c r="Q258" s="7">
        <v>43.788167399999999</v>
      </c>
      <c r="R258" s="7">
        <v>43.623960799999999</v>
      </c>
      <c r="S258" s="7">
        <v>43.008572399999998</v>
      </c>
      <c r="T258" s="7">
        <v>44.200546799999998</v>
      </c>
      <c r="U258" s="7">
        <v>51.316315799999998</v>
      </c>
      <c r="V258" s="7">
        <v>62.629448799999999</v>
      </c>
      <c r="W258" s="7">
        <v>68.0304134</v>
      </c>
      <c r="X258" s="7">
        <v>70.996154000000004</v>
      </c>
      <c r="Y258" s="7">
        <v>75.457120900000007</v>
      </c>
      <c r="Z258" s="7">
        <v>74.036227299999993</v>
      </c>
      <c r="AA258" s="7">
        <v>73.757248700000005</v>
      </c>
      <c r="AB258" s="7">
        <v>78.849831300000005</v>
      </c>
      <c r="AC258" s="7">
        <v>78.217781200000005</v>
      </c>
      <c r="AD258" s="7">
        <v>67.100833699999995</v>
      </c>
      <c r="AE258" s="7">
        <v>61.3467676</v>
      </c>
      <c r="AF258" s="7">
        <v>54.6952073</v>
      </c>
      <c r="AG258" s="7">
        <v>56.576537600000002</v>
      </c>
      <c r="AH258" s="7">
        <v>85.072218800000002</v>
      </c>
      <c r="AI258" s="7">
        <v>87.616475899999998</v>
      </c>
      <c r="AJ258" s="7">
        <v>87.865778899999995</v>
      </c>
      <c r="AK258" s="7">
        <v>88.882482499999995</v>
      </c>
      <c r="AL258" s="7">
        <v>87.791261500000005</v>
      </c>
      <c r="AM258" s="7">
        <v>89.133187500000005</v>
      </c>
      <c r="AN258" s="7">
        <v>92.338952599999999</v>
      </c>
      <c r="AO258" s="7">
        <v>90.672545499999998</v>
      </c>
      <c r="AP258" s="7">
        <v>87.5764286</v>
      </c>
      <c r="AQ258" s="7">
        <v>85.9664267</v>
      </c>
      <c r="AR258" s="7">
        <v>81.572140300000001</v>
      </c>
      <c r="AS258" s="7">
        <v>85.940111700000003</v>
      </c>
      <c r="AT258" s="7">
        <v>96.171000000000006</v>
      </c>
    </row>
    <row r="259" spans="1:46" x14ac:dyDescent="0.25">
      <c r="A259" s="4" t="s">
        <v>267</v>
      </c>
      <c r="B259" s="4" t="s">
        <v>207</v>
      </c>
      <c r="C259" s="4" t="s">
        <v>246</v>
      </c>
      <c r="D259" s="4" t="s">
        <v>254</v>
      </c>
      <c r="E259" s="4" t="s">
        <v>258</v>
      </c>
      <c r="F259" s="4" t="s">
        <v>195</v>
      </c>
      <c r="G259" s="4" t="s">
        <v>93</v>
      </c>
      <c r="H259" s="4" t="s">
        <v>252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7">
        <v>85.940111700000003</v>
      </c>
    </row>
    <row r="260" spans="1:46" x14ac:dyDescent="0.25">
      <c r="A260" s="4" t="s">
        <v>267</v>
      </c>
      <c r="B260" s="4" t="s">
        <v>207</v>
      </c>
      <c r="C260" s="4" t="s">
        <v>246</v>
      </c>
      <c r="D260" s="4" t="s">
        <v>259</v>
      </c>
      <c r="E260" s="4" t="s">
        <v>248</v>
      </c>
      <c r="F260" s="4" t="s">
        <v>203</v>
      </c>
      <c r="G260" s="4" t="s">
        <v>93</v>
      </c>
      <c r="H260" s="4" t="s">
        <v>151</v>
      </c>
      <c r="I260" s="5">
        <v>2364.9789999999998</v>
      </c>
      <c r="J260" s="5">
        <v>5732.1760000000004</v>
      </c>
      <c r="K260" s="5">
        <v>9383.9519999999993</v>
      </c>
      <c r="L260" s="5">
        <v>12377.828</v>
      </c>
      <c r="M260" s="5">
        <v>22286.084999999999</v>
      </c>
      <c r="N260" s="5">
        <v>24561.606</v>
      </c>
      <c r="O260" s="5">
        <v>18732.598000000002</v>
      </c>
      <c r="P260" s="5">
        <v>14018.85</v>
      </c>
      <c r="Q260" s="5">
        <v>6270.3149999999996</v>
      </c>
      <c r="R260" s="5">
        <v>1825.47</v>
      </c>
      <c r="S260" s="5">
        <v>1299.346</v>
      </c>
      <c r="T260" s="5">
        <v>1397.883</v>
      </c>
      <c r="U260" s="5">
        <v>2693.1120000000001</v>
      </c>
      <c r="V260" s="5">
        <v>12075.460999999999</v>
      </c>
      <c r="W260" s="5">
        <v>15793.223</v>
      </c>
      <c r="X260" s="5">
        <v>16834.647000000001</v>
      </c>
      <c r="Y260" s="5">
        <v>23099.035</v>
      </c>
      <c r="Z260" s="5">
        <v>18046.923999999999</v>
      </c>
      <c r="AA260" s="5">
        <v>14286.555</v>
      </c>
      <c r="AB260" s="5">
        <v>9127.1020000000008</v>
      </c>
      <c r="AC260" s="5">
        <v>5163.2089999999998</v>
      </c>
      <c r="AD260" s="5">
        <v>2664.0610000000001</v>
      </c>
      <c r="AE260" s="5">
        <v>1423.2729999999999</v>
      </c>
      <c r="AF260" s="5">
        <v>1473.09</v>
      </c>
      <c r="AG260" s="5">
        <v>1521.914</v>
      </c>
      <c r="AH260" s="5">
        <v>3630.2779999999998</v>
      </c>
      <c r="AI260" s="5">
        <v>7645.0110000000004</v>
      </c>
      <c r="AJ260" s="5">
        <v>11686.252</v>
      </c>
      <c r="AK260" s="5">
        <v>21366.263999999999</v>
      </c>
      <c r="AL260" s="5">
        <v>20717.134999999998</v>
      </c>
      <c r="AM260" s="5">
        <v>19037.218000000001</v>
      </c>
      <c r="AN260" s="5">
        <v>20608.050999999999</v>
      </c>
      <c r="AO260" s="5">
        <v>7293.942</v>
      </c>
      <c r="AP260" s="5">
        <v>3047.2130000000002</v>
      </c>
      <c r="AQ260" s="5">
        <v>1332.694</v>
      </c>
      <c r="AR260" s="5">
        <v>1240.001</v>
      </c>
      <c r="AS260" s="5">
        <v>2222.6610000000001</v>
      </c>
      <c r="AT260" s="5">
        <v>2222.6610000000001</v>
      </c>
    </row>
    <row r="261" spans="1:46" x14ac:dyDescent="0.25">
      <c r="A261" s="4" t="s">
        <v>267</v>
      </c>
      <c r="B261" s="4" t="s">
        <v>207</v>
      </c>
      <c r="C261" s="4" t="s">
        <v>246</v>
      </c>
      <c r="D261" s="4" t="s">
        <v>259</v>
      </c>
      <c r="E261" s="4" t="s">
        <v>248</v>
      </c>
      <c r="F261" s="4" t="s">
        <v>203</v>
      </c>
      <c r="G261" s="4" t="s">
        <v>93</v>
      </c>
      <c r="H261" s="4" t="s">
        <v>205</v>
      </c>
      <c r="I261" s="6">
        <v>188793.24299999999</v>
      </c>
      <c r="J261" s="6">
        <v>465700.70400000003</v>
      </c>
      <c r="K261" s="6">
        <v>825804.44499999995</v>
      </c>
      <c r="L261" s="6">
        <v>1099474.595</v>
      </c>
      <c r="M261" s="6">
        <v>1923115.321</v>
      </c>
      <c r="N261" s="6">
        <v>1986261.8130000001</v>
      </c>
      <c r="O261" s="6">
        <v>1620428.389</v>
      </c>
      <c r="P261" s="6">
        <v>1164952.1529999999</v>
      </c>
      <c r="Q261" s="6">
        <v>532605.87600000005</v>
      </c>
      <c r="R261" s="6">
        <v>156155.45000000001</v>
      </c>
      <c r="S261" s="6">
        <v>110390.705</v>
      </c>
      <c r="T261" s="6">
        <v>120193.06</v>
      </c>
      <c r="U261" s="6">
        <v>245781.734</v>
      </c>
      <c r="V261" s="6">
        <v>1040738.209</v>
      </c>
      <c r="W261" s="6">
        <v>1413813.7849999999</v>
      </c>
      <c r="X261" s="6">
        <v>1516547.5930000001</v>
      </c>
      <c r="Y261" s="6">
        <v>2114302.4410000001</v>
      </c>
      <c r="Z261" s="6">
        <v>1709854.7150000001</v>
      </c>
      <c r="AA261" s="6">
        <v>1415312.4669999999</v>
      </c>
      <c r="AB261" s="6">
        <v>979704.87899999996</v>
      </c>
      <c r="AC261" s="6">
        <v>506184.21500000003</v>
      </c>
      <c r="AD261" s="6">
        <v>263499.79300000001</v>
      </c>
      <c r="AE261" s="6">
        <v>142686.443</v>
      </c>
      <c r="AF261" s="6">
        <v>151835.16200000001</v>
      </c>
      <c r="AG261" s="6">
        <v>159169.56299999999</v>
      </c>
      <c r="AH261" s="6">
        <v>370142.01500000001</v>
      </c>
      <c r="AI261" s="6">
        <v>769016.68799999997</v>
      </c>
      <c r="AJ261" s="6">
        <v>1209264.595</v>
      </c>
      <c r="AK261" s="6">
        <v>2158134.7719999999</v>
      </c>
      <c r="AL261" s="6">
        <v>2090462.7180000001</v>
      </c>
      <c r="AM261" s="6">
        <v>1959326.746</v>
      </c>
      <c r="AN261" s="6">
        <v>2073067.284</v>
      </c>
      <c r="AO261" s="6">
        <v>734118.33400000003</v>
      </c>
      <c r="AP261" s="6">
        <v>315736.29100000003</v>
      </c>
      <c r="AQ261" s="6">
        <v>136895.34099999999</v>
      </c>
      <c r="AR261" s="6">
        <v>129668.53599999999</v>
      </c>
      <c r="AS261" s="6">
        <v>230687.18799999999</v>
      </c>
      <c r="AT261" s="6">
        <v>230687.18799999999</v>
      </c>
    </row>
    <row r="262" spans="1:46" x14ac:dyDescent="0.25">
      <c r="A262" s="4" t="s">
        <v>267</v>
      </c>
      <c r="B262" s="4" t="s">
        <v>207</v>
      </c>
      <c r="C262" s="4" t="s">
        <v>246</v>
      </c>
      <c r="D262" s="4" t="s">
        <v>259</v>
      </c>
      <c r="E262" s="4" t="s">
        <v>248</v>
      </c>
      <c r="F262" s="4" t="s">
        <v>203</v>
      </c>
      <c r="G262" s="4" t="s">
        <v>93</v>
      </c>
      <c r="H262" s="4" t="s">
        <v>249</v>
      </c>
      <c r="I262" s="7">
        <v>4.3680000000000003</v>
      </c>
      <c r="J262" s="7">
        <v>5.4109999999999996</v>
      </c>
      <c r="K262" s="7">
        <v>5.3070000000000004</v>
      </c>
      <c r="L262" s="7">
        <v>5.4560000000000004</v>
      </c>
      <c r="M262" s="7">
        <v>6.2960000000000003</v>
      </c>
      <c r="N262" s="7">
        <v>7.75</v>
      </c>
      <c r="O262" s="7">
        <v>7.077</v>
      </c>
      <c r="P262" s="7">
        <v>8.4860000000000007</v>
      </c>
      <c r="Q262" s="7">
        <v>7.32</v>
      </c>
      <c r="R262" s="7">
        <v>5.0670000000000002</v>
      </c>
      <c r="S262" s="7">
        <v>4.6260000000000003</v>
      </c>
      <c r="T262" s="7">
        <v>4.5339999999999998</v>
      </c>
      <c r="U262" s="7">
        <v>5.59</v>
      </c>
      <c r="V262" s="7">
        <v>13.946</v>
      </c>
      <c r="W262" s="7">
        <v>10.045999999999999</v>
      </c>
      <c r="X262" s="7">
        <v>6.8449999999999998</v>
      </c>
      <c r="Y262" s="7">
        <v>8.3659999999999997</v>
      </c>
      <c r="Z262" s="7">
        <v>6.9340000000000002</v>
      </c>
      <c r="AA262" s="7">
        <v>5.3769999999999998</v>
      </c>
      <c r="AB262" s="7">
        <v>4.9560000000000004</v>
      </c>
      <c r="AC262" s="7">
        <v>4.5549999999999997</v>
      </c>
      <c r="AD262" s="7">
        <v>4.1920000000000002</v>
      </c>
      <c r="AE262" s="7">
        <v>3.7</v>
      </c>
      <c r="AF262" s="7">
        <v>4.1210000000000004</v>
      </c>
      <c r="AG262" s="7">
        <v>3.9340000000000002</v>
      </c>
      <c r="AH262" s="7">
        <v>4.6500000000000004</v>
      </c>
      <c r="AI262" s="7">
        <v>6.24</v>
      </c>
      <c r="AJ262" s="7">
        <v>5.4039999999999999</v>
      </c>
      <c r="AK262" s="7">
        <v>7.0090000000000003</v>
      </c>
      <c r="AL262" s="7">
        <v>7.7850000000000001</v>
      </c>
      <c r="AM262" s="7">
        <v>6.4269999999999996</v>
      </c>
      <c r="AN262" s="7">
        <v>6.8760000000000003</v>
      </c>
      <c r="AO262" s="7">
        <v>5.8419999999999996</v>
      </c>
      <c r="AP262" s="7">
        <v>5.0449999999999999</v>
      </c>
      <c r="AQ262" s="7">
        <v>3.863</v>
      </c>
      <c r="AR262" s="7">
        <v>4.66</v>
      </c>
      <c r="AS262" s="7">
        <v>6.2060000000000004</v>
      </c>
      <c r="AT262" s="7">
        <v>1.141</v>
      </c>
    </row>
    <row r="263" spans="1:46" x14ac:dyDescent="0.25">
      <c r="A263" s="4" t="s">
        <v>267</v>
      </c>
      <c r="B263" s="4" t="s">
        <v>207</v>
      </c>
      <c r="C263" s="4" t="s">
        <v>246</v>
      </c>
      <c r="D263" s="4" t="s">
        <v>259</v>
      </c>
      <c r="E263" s="4" t="s">
        <v>248</v>
      </c>
      <c r="F263" s="4" t="s">
        <v>203</v>
      </c>
      <c r="G263" s="4" t="s">
        <v>93</v>
      </c>
      <c r="H263" s="4" t="s">
        <v>250</v>
      </c>
      <c r="I263" s="7">
        <v>71.731999999999999</v>
      </c>
      <c r="J263" s="7">
        <v>92.754000000000005</v>
      </c>
      <c r="K263" s="7">
        <v>96.111000000000004</v>
      </c>
      <c r="L263" s="7">
        <v>96.471000000000004</v>
      </c>
      <c r="M263" s="7">
        <v>96.644000000000005</v>
      </c>
      <c r="N263" s="7">
        <v>96.674999999999997</v>
      </c>
      <c r="O263" s="7">
        <v>97.406999999999996</v>
      </c>
      <c r="P263" s="7">
        <v>97.332999999999998</v>
      </c>
      <c r="Q263" s="7">
        <v>94.033000000000001</v>
      </c>
      <c r="R263" s="7">
        <v>87.844999999999999</v>
      </c>
      <c r="S263" s="7">
        <v>84.6</v>
      </c>
      <c r="T263" s="7">
        <v>82.234999999999999</v>
      </c>
      <c r="U263" s="7">
        <v>93.537999999999997</v>
      </c>
      <c r="V263" s="7">
        <v>96.546000000000006</v>
      </c>
      <c r="W263" s="7">
        <v>97.759</v>
      </c>
      <c r="X263" s="7">
        <v>98.885000000000005</v>
      </c>
      <c r="Y263" s="7">
        <v>98.51</v>
      </c>
      <c r="Z263" s="7">
        <v>98.6</v>
      </c>
      <c r="AA263" s="7">
        <v>93.349000000000004</v>
      </c>
      <c r="AB263" s="7">
        <v>80.397999999999996</v>
      </c>
      <c r="AC263" s="7">
        <v>77.403000000000006</v>
      </c>
      <c r="AD263" s="7">
        <v>71.619</v>
      </c>
      <c r="AE263" s="7">
        <v>70.326999999999998</v>
      </c>
      <c r="AF263" s="7">
        <v>74.721000000000004</v>
      </c>
      <c r="AG263" s="7">
        <v>70.459000000000003</v>
      </c>
      <c r="AH263" s="7">
        <v>75.600999999999999</v>
      </c>
      <c r="AI263" s="7">
        <v>74.165000000000006</v>
      </c>
      <c r="AJ263" s="7">
        <v>77.891999999999996</v>
      </c>
      <c r="AK263" s="7">
        <v>78.14</v>
      </c>
      <c r="AL263" s="7">
        <v>74.287000000000006</v>
      </c>
      <c r="AM263" s="7">
        <v>75.564999999999998</v>
      </c>
      <c r="AN263" s="7">
        <v>76.686000000000007</v>
      </c>
      <c r="AO263" s="7">
        <v>74.986000000000004</v>
      </c>
      <c r="AP263" s="7">
        <v>75.36</v>
      </c>
      <c r="AQ263" s="7">
        <v>73.819000000000003</v>
      </c>
      <c r="AR263" s="7">
        <v>72.843000000000004</v>
      </c>
      <c r="AS263" s="7">
        <v>73.138999999999996</v>
      </c>
      <c r="AT263" s="8">
        <v>0</v>
      </c>
    </row>
    <row r="264" spans="1:46" x14ac:dyDescent="0.25">
      <c r="A264" s="4" t="s">
        <v>267</v>
      </c>
      <c r="B264" s="4" t="s">
        <v>207</v>
      </c>
      <c r="C264" s="4" t="s">
        <v>246</v>
      </c>
      <c r="D264" s="4" t="s">
        <v>259</v>
      </c>
      <c r="E264" s="4" t="s">
        <v>248</v>
      </c>
      <c r="F264" s="4" t="s">
        <v>203</v>
      </c>
      <c r="G264" s="4" t="s">
        <v>93</v>
      </c>
      <c r="H264" s="4" t="s">
        <v>251</v>
      </c>
      <c r="I264" s="7">
        <v>58.283072500000003</v>
      </c>
      <c r="J264" s="7">
        <v>83.177936000000003</v>
      </c>
      <c r="K264" s="7">
        <v>85.680925400000007</v>
      </c>
      <c r="L264" s="7">
        <v>87.169966200000005</v>
      </c>
      <c r="M264" s="7">
        <v>86.752280400000004</v>
      </c>
      <c r="N264" s="7">
        <v>85.4018978</v>
      </c>
      <c r="O264" s="7">
        <v>88.637097600000004</v>
      </c>
      <c r="P264" s="7">
        <v>88.288869399999996</v>
      </c>
      <c r="Q264" s="7">
        <v>82.993948399999994</v>
      </c>
      <c r="R264" s="7">
        <v>73.606606799999994</v>
      </c>
      <c r="S264" s="7">
        <v>69.606582200000005</v>
      </c>
      <c r="T264" s="7">
        <v>67.327540600000006</v>
      </c>
      <c r="U264" s="7">
        <v>81.982658400000005</v>
      </c>
      <c r="V264" s="7">
        <v>87.995740999999995</v>
      </c>
      <c r="W264" s="7">
        <v>88.596195899999998</v>
      </c>
      <c r="X264" s="7">
        <v>89.626190399999999</v>
      </c>
      <c r="Y264" s="7">
        <v>89.351204800000005</v>
      </c>
      <c r="Z264" s="7">
        <v>90.638219699999993</v>
      </c>
      <c r="AA264" s="7">
        <v>84.7916369</v>
      </c>
      <c r="AB264" s="7">
        <v>70.370348699999994</v>
      </c>
      <c r="AC264" s="7">
        <v>65.975502500000005</v>
      </c>
      <c r="AD264" s="7">
        <v>59.3543795</v>
      </c>
      <c r="AE264" s="7">
        <v>54.225468300000003</v>
      </c>
      <c r="AF264" s="7">
        <v>59.506045899999997</v>
      </c>
      <c r="AG264" s="7">
        <v>58.5737977</v>
      </c>
      <c r="AH264" s="7">
        <v>60.994157399999999</v>
      </c>
      <c r="AI264" s="7">
        <v>60.982416800000003</v>
      </c>
      <c r="AJ264" s="7">
        <v>63.171941199999999</v>
      </c>
      <c r="AK264" s="7">
        <v>63.898544299999998</v>
      </c>
      <c r="AL264" s="7">
        <v>61.5172138</v>
      </c>
      <c r="AM264" s="7">
        <v>61.174762000000001</v>
      </c>
      <c r="AN264" s="7">
        <v>61.026753800000002</v>
      </c>
      <c r="AO264" s="7">
        <v>59.179600899999997</v>
      </c>
      <c r="AP264" s="7">
        <v>58.551790400000002</v>
      </c>
      <c r="AQ264" s="7">
        <v>55.703522399999997</v>
      </c>
      <c r="AR264" s="7">
        <v>53.204694199999999</v>
      </c>
      <c r="AS264" s="7">
        <v>55.900897399999998</v>
      </c>
      <c r="AT264" s="7">
        <v>73.138999999999996</v>
      </c>
    </row>
    <row r="265" spans="1:46" x14ac:dyDescent="0.25">
      <c r="A265" s="4" t="s">
        <v>267</v>
      </c>
      <c r="B265" s="4" t="s">
        <v>207</v>
      </c>
      <c r="C265" s="4" t="s">
        <v>246</v>
      </c>
      <c r="D265" s="4" t="s">
        <v>259</v>
      </c>
      <c r="E265" s="4" t="s">
        <v>248</v>
      </c>
      <c r="F265" s="4" t="s">
        <v>203</v>
      </c>
      <c r="G265" s="4" t="s">
        <v>93</v>
      </c>
      <c r="H265" s="4" t="s">
        <v>252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0</v>
      </c>
      <c r="AT265" s="7">
        <v>55.900897399999998</v>
      </c>
    </row>
    <row r="266" spans="1:46" x14ac:dyDescent="0.25">
      <c r="A266" s="4" t="s">
        <v>267</v>
      </c>
      <c r="B266" s="4" t="s">
        <v>207</v>
      </c>
      <c r="C266" s="4" t="s">
        <v>246</v>
      </c>
      <c r="D266" s="4" t="s">
        <v>259</v>
      </c>
      <c r="E266" s="4" t="s">
        <v>248</v>
      </c>
      <c r="F266" s="4" t="s">
        <v>201</v>
      </c>
      <c r="G266" s="4" t="s">
        <v>93</v>
      </c>
      <c r="H266" s="4" t="s">
        <v>151</v>
      </c>
      <c r="I266" s="5">
        <v>3747.7469999999998</v>
      </c>
      <c r="J266" s="5">
        <v>8174.9030000000002</v>
      </c>
      <c r="K266" s="5">
        <v>19478.319</v>
      </c>
      <c r="L266" s="5">
        <v>17848.936000000002</v>
      </c>
      <c r="M266" s="5">
        <v>32918.798999999999</v>
      </c>
      <c r="N266" s="5">
        <v>24653.081999999999</v>
      </c>
      <c r="O266" s="5">
        <v>22452.505000000001</v>
      </c>
      <c r="P266" s="5">
        <v>14343.555</v>
      </c>
      <c r="Q266" s="5">
        <v>7061.5029999999997</v>
      </c>
      <c r="R266" s="5">
        <v>2327.777</v>
      </c>
      <c r="S266" s="5">
        <v>1747.961</v>
      </c>
      <c r="T266" s="5">
        <v>1873.1020000000001</v>
      </c>
      <c r="U266" s="5">
        <v>3190.2939999999999</v>
      </c>
      <c r="V266" s="5">
        <v>6569.1390000000001</v>
      </c>
      <c r="W266" s="5">
        <v>12528.732</v>
      </c>
      <c r="X266" s="5">
        <v>16931.306</v>
      </c>
      <c r="Y266" s="5">
        <v>18941.004000000001</v>
      </c>
      <c r="Z266" s="5">
        <v>16963.108</v>
      </c>
      <c r="AA266" s="5">
        <v>17018.678</v>
      </c>
      <c r="AB266" s="5">
        <v>13263.371999999999</v>
      </c>
      <c r="AC266" s="5">
        <v>8938.7620000000006</v>
      </c>
      <c r="AD266" s="5">
        <v>4446.9780000000001</v>
      </c>
      <c r="AE266" s="5">
        <v>2362.145</v>
      </c>
      <c r="AF266" s="5">
        <v>2359.558</v>
      </c>
      <c r="AG266" s="5">
        <v>2580.0520000000001</v>
      </c>
      <c r="AH266" s="5">
        <v>7536.39</v>
      </c>
      <c r="AI266" s="5">
        <v>10518.385</v>
      </c>
      <c r="AJ266" s="5">
        <v>16698.056</v>
      </c>
      <c r="AK266" s="5">
        <v>23362.850999999999</v>
      </c>
      <c r="AL266" s="5">
        <v>20213.208999999999</v>
      </c>
      <c r="AM266" s="5">
        <v>22292.280999999999</v>
      </c>
      <c r="AN266" s="5">
        <v>23287.146000000001</v>
      </c>
      <c r="AO266" s="5">
        <v>11085.704</v>
      </c>
      <c r="AP266" s="5">
        <v>5164.1499999999996</v>
      </c>
      <c r="AQ266" s="5">
        <v>2235.739</v>
      </c>
      <c r="AR266" s="5">
        <v>1819.7560000000001</v>
      </c>
      <c r="AS266" s="5">
        <v>2644.6419999999998</v>
      </c>
      <c r="AT266" s="5">
        <v>3310.03</v>
      </c>
    </row>
    <row r="267" spans="1:46" x14ac:dyDescent="0.25">
      <c r="A267" s="4" t="s">
        <v>267</v>
      </c>
      <c r="B267" s="4" t="s">
        <v>207</v>
      </c>
      <c r="C267" s="4" t="s">
        <v>246</v>
      </c>
      <c r="D267" s="4" t="s">
        <v>259</v>
      </c>
      <c r="E267" s="4" t="s">
        <v>248</v>
      </c>
      <c r="F267" s="4" t="s">
        <v>201</v>
      </c>
      <c r="G267" s="4" t="s">
        <v>93</v>
      </c>
      <c r="H267" s="4" t="s">
        <v>205</v>
      </c>
      <c r="I267" s="6">
        <v>434629.99800000002</v>
      </c>
      <c r="J267" s="6">
        <v>973626.71200000006</v>
      </c>
      <c r="K267" s="6">
        <v>2189236.6910000001</v>
      </c>
      <c r="L267" s="6">
        <v>2135614.5350000001</v>
      </c>
      <c r="M267" s="6">
        <v>3791395.216</v>
      </c>
      <c r="N267" s="6">
        <v>2904370.5010000002</v>
      </c>
      <c r="O267" s="6">
        <v>2800306.622</v>
      </c>
      <c r="P267" s="6">
        <v>1754904.416</v>
      </c>
      <c r="Q267" s="6">
        <v>868450.03200000001</v>
      </c>
      <c r="R267" s="6">
        <v>297380.62199999997</v>
      </c>
      <c r="S267" s="6">
        <v>221692.72099999999</v>
      </c>
      <c r="T267" s="6">
        <v>246403.80300000001</v>
      </c>
      <c r="U267" s="6">
        <v>431155.11</v>
      </c>
      <c r="V267" s="6">
        <v>968330.245</v>
      </c>
      <c r="W267" s="6">
        <v>2015842.2890000001</v>
      </c>
      <c r="X267" s="6">
        <v>2869459.2239999999</v>
      </c>
      <c r="Y267" s="6">
        <v>3373113.4160000002</v>
      </c>
      <c r="Z267" s="6">
        <v>2981089.1910000001</v>
      </c>
      <c r="AA267" s="6">
        <v>3002762.8309999998</v>
      </c>
      <c r="AB267" s="6">
        <v>2248578.2179999999</v>
      </c>
      <c r="AC267" s="6">
        <v>1459802.7209999999</v>
      </c>
      <c r="AD267" s="6">
        <v>747096.09499999997</v>
      </c>
      <c r="AE267" s="6">
        <v>394235.44</v>
      </c>
      <c r="AF267" s="6">
        <v>403167.76699999999</v>
      </c>
      <c r="AG267" s="6">
        <v>462020.75300000003</v>
      </c>
      <c r="AH267" s="6">
        <v>1439670.3740000001</v>
      </c>
      <c r="AI267" s="6">
        <v>2146140.3659999999</v>
      </c>
      <c r="AJ267" s="6">
        <v>3414616.7859999998</v>
      </c>
      <c r="AK267" s="6">
        <v>4774160.9850000003</v>
      </c>
      <c r="AL267" s="6">
        <v>4127000.7940000002</v>
      </c>
      <c r="AM267" s="6">
        <v>4452338.2180000003</v>
      </c>
      <c r="AN267" s="6">
        <v>4633727.7560000001</v>
      </c>
      <c r="AO267" s="6">
        <v>2124000.7439999999</v>
      </c>
      <c r="AP267" s="6">
        <v>914025.42</v>
      </c>
      <c r="AQ267" s="6">
        <v>395483.06400000001</v>
      </c>
      <c r="AR267" s="6">
        <v>331914.69400000002</v>
      </c>
      <c r="AS267" s="6">
        <v>547336.34400000004</v>
      </c>
      <c r="AT267" s="6">
        <v>547336.34400000004</v>
      </c>
    </row>
    <row r="268" spans="1:46" x14ac:dyDescent="0.25">
      <c r="A268" s="4" t="s">
        <v>267</v>
      </c>
      <c r="B268" s="4" t="s">
        <v>207</v>
      </c>
      <c r="C268" s="4" t="s">
        <v>246</v>
      </c>
      <c r="D268" s="4" t="s">
        <v>259</v>
      </c>
      <c r="E268" s="4" t="s">
        <v>248</v>
      </c>
      <c r="F268" s="4" t="s">
        <v>201</v>
      </c>
      <c r="G268" s="4" t="s">
        <v>93</v>
      </c>
      <c r="H268" s="4" t="s">
        <v>249</v>
      </c>
      <c r="I268" s="7">
        <v>8.2799999999999994</v>
      </c>
      <c r="J268" s="7">
        <v>9.2490000000000006</v>
      </c>
      <c r="K268" s="7">
        <v>13.211</v>
      </c>
      <c r="L268" s="7">
        <v>9.4350000000000005</v>
      </c>
      <c r="M268" s="7">
        <v>11.154999999999999</v>
      </c>
      <c r="N268" s="7">
        <v>9.3350000000000009</v>
      </c>
      <c r="O268" s="7">
        <v>10.173</v>
      </c>
      <c r="P268" s="7">
        <v>10.42</v>
      </c>
      <c r="Q268" s="7">
        <v>9.8819999999999997</v>
      </c>
      <c r="R268" s="7">
        <v>7.7329999999999997</v>
      </c>
      <c r="S268" s="7">
        <v>7.4649999999999999</v>
      </c>
      <c r="T268" s="7">
        <v>7.2889999999999997</v>
      </c>
      <c r="U268" s="7">
        <v>7.9530000000000003</v>
      </c>
      <c r="V268" s="7">
        <v>9.1069999999999993</v>
      </c>
      <c r="W268" s="7">
        <v>9.5609999999999999</v>
      </c>
      <c r="X268" s="7">
        <v>8.2569999999999997</v>
      </c>
      <c r="Y268" s="7">
        <v>8.23</v>
      </c>
      <c r="Z268" s="7">
        <v>7.8170000000000002</v>
      </c>
      <c r="AA268" s="7">
        <v>7.6829999999999998</v>
      </c>
      <c r="AB268" s="7">
        <v>8.6359999999999992</v>
      </c>
      <c r="AC268" s="7">
        <v>9.4380000000000006</v>
      </c>
      <c r="AD268" s="7">
        <v>8.3719999999999999</v>
      </c>
      <c r="AE268" s="7">
        <v>7.3540000000000001</v>
      </c>
      <c r="AF268" s="7">
        <v>7.9109999999999996</v>
      </c>
      <c r="AG268" s="7">
        <v>7.9989999999999997</v>
      </c>
      <c r="AH268" s="7">
        <v>11.582000000000001</v>
      </c>
      <c r="AI268" s="7">
        <v>10.298</v>
      </c>
      <c r="AJ268" s="7">
        <v>9.2650000000000006</v>
      </c>
      <c r="AK268" s="7">
        <v>9.1959999999999997</v>
      </c>
      <c r="AL268" s="7">
        <v>9.1150000000000002</v>
      </c>
      <c r="AM268" s="7">
        <v>9.0310000000000006</v>
      </c>
      <c r="AN268" s="7">
        <v>9.3230000000000004</v>
      </c>
      <c r="AO268" s="7">
        <v>10.654999999999999</v>
      </c>
      <c r="AP268" s="7">
        <v>10.259</v>
      </c>
      <c r="AQ268" s="7">
        <v>7.7759999999999998</v>
      </c>
      <c r="AR268" s="7">
        <v>8.2059999999999995</v>
      </c>
      <c r="AS268" s="7">
        <v>8.8610000000000007</v>
      </c>
      <c r="AT268" s="7">
        <v>1.6990000000000001</v>
      </c>
    </row>
    <row r="269" spans="1:46" x14ac:dyDescent="0.25">
      <c r="A269" s="4" t="s">
        <v>267</v>
      </c>
      <c r="B269" s="4" t="s">
        <v>207</v>
      </c>
      <c r="C269" s="4" t="s">
        <v>246</v>
      </c>
      <c r="D269" s="4" t="s">
        <v>259</v>
      </c>
      <c r="E269" s="4" t="s">
        <v>248</v>
      </c>
      <c r="F269" s="4" t="s">
        <v>201</v>
      </c>
      <c r="G269" s="4" t="s">
        <v>93</v>
      </c>
      <c r="H269" s="4" t="s">
        <v>250</v>
      </c>
      <c r="I269" s="7">
        <v>95.673000000000002</v>
      </c>
      <c r="J269" s="7">
        <v>99.308999999999997</v>
      </c>
      <c r="K269" s="7">
        <v>99.781000000000006</v>
      </c>
      <c r="L269" s="7">
        <v>99.856999999999999</v>
      </c>
      <c r="M269" s="7">
        <v>99.882999999999996</v>
      </c>
      <c r="N269" s="7">
        <v>99.497</v>
      </c>
      <c r="O269" s="7">
        <v>99.870999999999995</v>
      </c>
      <c r="P269" s="7">
        <v>99.751999999999995</v>
      </c>
      <c r="Q269" s="7">
        <v>96.994</v>
      </c>
      <c r="R269" s="7">
        <v>92.616</v>
      </c>
      <c r="S269" s="7">
        <v>90.825999999999993</v>
      </c>
      <c r="T269" s="7">
        <v>92.956999999999994</v>
      </c>
      <c r="U269" s="7">
        <v>96.129000000000005</v>
      </c>
      <c r="V269" s="7">
        <v>98.804000000000002</v>
      </c>
      <c r="W269" s="7">
        <v>99.054000000000002</v>
      </c>
      <c r="X269" s="7">
        <v>99.206000000000003</v>
      </c>
      <c r="Y269" s="7">
        <v>99.05</v>
      </c>
      <c r="Z269" s="7">
        <v>99.676000000000002</v>
      </c>
      <c r="AA269" s="7">
        <v>99.596000000000004</v>
      </c>
      <c r="AB269" s="7">
        <v>99.162000000000006</v>
      </c>
      <c r="AC269" s="7">
        <v>99.373000000000005</v>
      </c>
      <c r="AD269" s="7">
        <v>94.340999999999994</v>
      </c>
      <c r="AE269" s="7">
        <v>95.358999999999995</v>
      </c>
      <c r="AF269" s="7">
        <v>97.116</v>
      </c>
      <c r="AG269" s="7">
        <v>97.31</v>
      </c>
      <c r="AH269" s="7">
        <v>99.757000000000005</v>
      </c>
      <c r="AI269" s="7">
        <v>99.903000000000006</v>
      </c>
      <c r="AJ269" s="7">
        <v>100</v>
      </c>
      <c r="AK269" s="7">
        <v>99.652000000000001</v>
      </c>
      <c r="AL269" s="7">
        <v>99.542000000000002</v>
      </c>
      <c r="AM269" s="7">
        <v>99.55</v>
      </c>
      <c r="AN269" s="7">
        <v>99.558999999999997</v>
      </c>
      <c r="AO269" s="7">
        <v>96.98</v>
      </c>
      <c r="AP269" s="7">
        <v>94.677000000000007</v>
      </c>
      <c r="AQ269" s="7">
        <v>92.305000000000007</v>
      </c>
      <c r="AR269" s="7">
        <v>90.944000000000003</v>
      </c>
      <c r="AS269" s="7">
        <v>92.518000000000001</v>
      </c>
      <c r="AT269" s="8">
        <v>0</v>
      </c>
    </row>
    <row r="270" spans="1:46" x14ac:dyDescent="0.25">
      <c r="A270" s="4" t="s">
        <v>267</v>
      </c>
      <c r="B270" s="4" t="s">
        <v>207</v>
      </c>
      <c r="C270" s="4" t="s">
        <v>246</v>
      </c>
      <c r="D270" s="4" t="s">
        <v>259</v>
      </c>
      <c r="E270" s="4" t="s">
        <v>248</v>
      </c>
      <c r="F270" s="4" t="s">
        <v>201</v>
      </c>
      <c r="G270" s="4" t="s">
        <v>93</v>
      </c>
      <c r="H270" s="4" t="s">
        <v>251</v>
      </c>
      <c r="I270" s="7">
        <v>91.017533099999994</v>
      </c>
      <c r="J270" s="7">
        <v>95.961014500000005</v>
      </c>
      <c r="K270" s="7">
        <v>96.584116100000003</v>
      </c>
      <c r="L270" s="7">
        <v>97.2842129</v>
      </c>
      <c r="M270" s="7">
        <v>97.3263946</v>
      </c>
      <c r="N270" s="7">
        <v>96.717926899999995</v>
      </c>
      <c r="O270" s="7">
        <v>97.334354399999995</v>
      </c>
      <c r="P270" s="7">
        <v>96.707797299999996</v>
      </c>
      <c r="Q270" s="7">
        <v>93.013547799999998</v>
      </c>
      <c r="R270" s="7">
        <v>83.555591100000001</v>
      </c>
      <c r="S270" s="7">
        <v>78.666637899999998</v>
      </c>
      <c r="T270" s="7">
        <v>85.288756399999997</v>
      </c>
      <c r="U270" s="7">
        <v>89.299011100000001</v>
      </c>
      <c r="V270" s="7">
        <v>91.949395699999997</v>
      </c>
      <c r="W270" s="7">
        <v>92.245437699999997</v>
      </c>
      <c r="X270" s="7">
        <v>92.666644599999998</v>
      </c>
      <c r="Y270" s="7">
        <v>92.301228600000002</v>
      </c>
      <c r="Z270" s="7">
        <v>94.460657499999996</v>
      </c>
      <c r="AA270" s="7">
        <v>94.454934699999995</v>
      </c>
      <c r="AB270" s="7">
        <v>93.567289099999996</v>
      </c>
      <c r="AC270" s="7">
        <v>95.235890499999996</v>
      </c>
      <c r="AD270" s="7">
        <v>88.532447300000001</v>
      </c>
      <c r="AE270" s="7">
        <v>86.107244899999998</v>
      </c>
      <c r="AF270" s="7">
        <v>89.0875609</v>
      </c>
      <c r="AG270" s="7">
        <v>90.777417299999996</v>
      </c>
      <c r="AH270" s="7">
        <v>96.490150900000003</v>
      </c>
      <c r="AI270" s="7">
        <v>96.320324299999996</v>
      </c>
      <c r="AJ270" s="7">
        <v>96.989358100000004</v>
      </c>
      <c r="AK270" s="7">
        <v>94.375895799999995</v>
      </c>
      <c r="AL270" s="7">
        <v>94.349422099999998</v>
      </c>
      <c r="AM270" s="7">
        <v>94.532716500000006</v>
      </c>
      <c r="AN270" s="7">
        <v>94.3284764</v>
      </c>
      <c r="AO270" s="7">
        <v>92.660555599999995</v>
      </c>
      <c r="AP270" s="7">
        <v>90.714633899999995</v>
      </c>
      <c r="AQ270" s="7">
        <v>87.903219000000007</v>
      </c>
      <c r="AR270" s="7">
        <v>83.947884700000003</v>
      </c>
      <c r="AS270" s="7">
        <v>88.517384800000002</v>
      </c>
      <c r="AT270" s="7">
        <v>92.518000000000001</v>
      </c>
    </row>
    <row r="271" spans="1:46" x14ac:dyDescent="0.25">
      <c r="A271" s="4" t="s">
        <v>267</v>
      </c>
      <c r="B271" s="4" t="s">
        <v>207</v>
      </c>
      <c r="C271" s="4" t="s">
        <v>246</v>
      </c>
      <c r="D271" s="4" t="s">
        <v>259</v>
      </c>
      <c r="E271" s="4" t="s">
        <v>248</v>
      </c>
      <c r="F271" s="4" t="s">
        <v>201</v>
      </c>
      <c r="G271" s="4" t="s">
        <v>93</v>
      </c>
      <c r="H271" s="4" t="s">
        <v>252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0</v>
      </c>
      <c r="AT271" s="7">
        <v>88.517384800000002</v>
      </c>
    </row>
    <row r="272" spans="1:46" x14ac:dyDescent="0.25">
      <c r="A272" s="4" t="s">
        <v>267</v>
      </c>
      <c r="B272" s="4" t="s">
        <v>207</v>
      </c>
      <c r="C272" s="4" t="s">
        <v>246</v>
      </c>
      <c r="D272" s="4" t="s">
        <v>259</v>
      </c>
      <c r="E272" s="4" t="s">
        <v>248</v>
      </c>
      <c r="F272" s="4" t="s">
        <v>195</v>
      </c>
      <c r="G272" s="4" t="s">
        <v>93</v>
      </c>
      <c r="H272" s="4" t="s">
        <v>151</v>
      </c>
      <c r="I272" s="5">
        <v>9518.6080000000002</v>
      </c>
      <c r="J272" s="5">
        <v>21157.633999999998</v>
      </c>
      <c r="K272" s="5">
        <v>37035.250999999997</v>
      </c>
      <c r="L272" s="5">
        <v>47224.785000000003</v>
      </c>
      <c r="M272" s="5">
        <v>72986.008000000002</v>
      </c>
      <c r="N272" s="5">
        <v>64635.843000000001</v>
      </c>
      <c r="O272" s="5">
        <v>57287.023999999998</v>
      </c>
      <c r="P272" s="5">
        <v>34620.196000000004</v>
      </c>
      <c r="Q272" s="5">
        <v>17380.132000000001</v>
      </c>
      <c r="R272" s="5">
        <v>6508.5709999999999</v>
      </c>
      <c r="S272" s="5">
        <v>4573.3469999999998</v>
      </c>
      <c r="T272" s="5">
        <v>5014.2129999999997</v>
      </c>
      <c r="U272" s="5">
        <v>8409.83</v>
      </c>
      <c r="V272" s="5">
        <v>15803.986000000001</v>
      </c>
      <c r="W272" s="5">
        <v>32612.654999999999</v>
      </c>
      <c r="X272" s="5">
        <v>50136.802000000003</v>
      </c>
      <c r="Y272" s="5">
        <v>57560.394</v>
      </c>
      <c r="Z272" s="5">
        <v>51015.775999999998</v>
      </c>
      <c r="AA272" s="5">
        <v>54160.275999999998</v>
      </c>
      <c r="AB272" s="5">
        <v>38644.137000000002</v>
      </c>
      <c r="AC272" s="5">
        <v>26061.413</v>
      </c>
      <c r="AD272" s="5">
        <v>13280.328</v>
      </c>
      <c r="AE272" s="5">
        <v>6691.51</v>
      </c>
      <c r="AF272" s="5">
        <v>6594.5410000000002</v>
      </c>
      <c r="AG272" s="5">
        <v>7037.1319999999996</v>
      </c>
      <c r="AH272" s="5">
        <v>16328.504000000001</v>
      </c>
      <c r="AI272" s="5">
        <v>27224.414000000001</v>
      </c>
      <c r="AJ272" s="5">
        <v>49840.728999999999</v>
      </c>
      <c r="AK272" s="5">
        <v>62114.957999999999</v>
      </c>
      <c r="AL272" s="5">
        <v>52488.828000000001</v>
      </c>
      <c r="AM272" s="5">
        <v>57107.029000000002</v>
      </c>
      <c r="AN272" s="5">
        <v>56399.858</v>
      </c>
      <c r="AO272" s="5">
        <v>26962.832999999999</v>
      </c>
      <c r="AP272" s="5">
        <v>10732.714</v>
      </c>
      <c r="AQ272" s="5">
        <v>5852.56</v>
      </c>
      <c r="AR272" s="5">
        <v>4529.6899999999996</v>
      </c>
      <c r="AS272" s="5">
        <v>6156.2489999999998</v>
      </c>
      <c r="AT272" s="5">
        <v>6932.97</v>
      </c>
    </row>
    <row r="273" spans="1:46" x14ac:dyDescent="0.25">
      <c r="A273" s="4" t="s">
        <v>267</v>
      </c>
      <c r="B273" s="4" t="s">
        <v>207</v>
      </c>
      <c r="C273" s="4" t="s">
        <v>246</v>
      </c>
      <c r="D273" s="4" t="s">
        <v>259</v>
      </c>
      <c r="E273" s="4" t="s">
        <v>248</v>
      </c>
      <c r="F273" s="4" t="s">
        <v>195</v>
      </c>
      <c r="G273" s="4" t="s">
        <v>93</v>
      </c>
      <c r="H273" s="4" t="s">
        <v>205</v>
      </c>
      <c r="I273" s="6">
        <v>2044997.1540000001</v>
      </c>
      <c r="J273" s="6">
        <v>4724709.0460000001</v>
      </c>
      <c r="K273" s="6">
        <v>8446770.6689999998</v>
      </c>
      <c r="L273" s="6">
        <v>10651909.791999999</v>
      </c>
      <c r="M273" s="6">
        <v>16373041.234999999</v>
      </c>
      <c r="N273" s="6">
        <v>14190550.817</v>
      </c>
      <c r="O273" s="6">
        <v>12724196.204</v>
      </c>
      <c r="P273" s="6">
        <v>7681898.5449999999</v>
      </c>
      <c r="Q273" s="6">
        <v>3906681.0660000001</v>
      </c>
      <c r="R273" s="6">
        <v>1456349.926</v>
      </c>
      <c r="S273" s="6">
        <v>1014422.92</v>
      </c>
      <c r="T273" s="6">
        <v>1171384.8689999999</v>
      </c>
      <c r="U273" s="6">
        <v>2004256.862</v>
      </c>
      <c r="V273" s="6">
        <v>3768524.8089999999</v>
      </c>
      <c r="W273" s="6">
        <v>7942689.4519999996</v>
      </c>
      <c r="X273" s="6">
        <v>12051633.25</v>
      </c>
      <c r="Y273" s="6">
        <v>14300943.244000001</v>
      </c>
      <c r="Z273" s="6">
        <v>12649481.437999999</v>
      </c>
      <c r="AA273" s="6">
        <v>13339095.342</v>
      </c>
      <c r="AB273" s="6">
        <v>9784107.1659999993</v>
      </c>
      <c r="AC273" s="6">
        <v>6530428.682</v>
      </c>
      <c r="AD273" s="6">
        <v>3397547.1310000001</v>
      </c>
      <c r="AE273" s="6">
        <v>1674089.6740000001</v>
      </c>
      <c r="AF273" s="6">
        <v>1690933.8259999999</v>
      </c>
      <c r="AG273" s="6">
        <v>1900476.882</v>
      </c>
      <c r="AH273" s="6">
        <v>4435453.9649999999</v>
      </c>
      <c r="AI273" s="6">
        <v>7469028.9979999997</v>
      </c>
      <c r="AJ273" s="6">
        <v>14073244.937999999</v>
      </c>
      <c r="AK273" s="6">
        <v>17993563.688000001</v>
      </c>
      <c r="AL273" s="6">
        <v>15231653.908</v>
      </c>
      <c r="AM273" s="6">
        <v>16077604.970000001</v>
      </c>
      <c r="AN273" s="6">
        <v>16162129.608999999</v>
      </c>
      <c r="AO273" s="6">
        <v>7828409.3660000004</v>
      </c>
      <c r="AP273" s="6">
        <v>2924622.2949999999</v>
      </c>
      <c r="AQ273" s="6">
        <v>1562027.361</v>
      </c>
      <c r="AR273" s="6">
        <v>1230001.912</v>
      </c>
      <c r="AS273" s="6">
        <v>1853740.787</v>
      </c>
      <c r="AT273" s="6">
        <v>1853740.787</v>
      </c>
    </row>
    <row r="274" spans="1:46" x14ac:dyDescent="0.25">
      <c r="A274" s="4" t="s">
        <v>267</v>
      </c>
      <c r="B274" s="4" t="s">
        <v>207</v>
      </c>
      <c r="C274" s="4" t="s">
        <v>246</v>
      </c>
      <c r="D274" s="4" t="s">
        <v>259</v>
      </c>
      <c r="E274" s="4" t="s">
        <v>248</v>
      </c>
      <c r="F274" s="4" t="s">
        <v>195</v>
      </c>
      <c r="G274" s="4" t="s">
        <v>93</v>
      </c>
      <c r="H274" s="4" t="s">
        <v>249</v>
      </c>
      <c r="I274" s="7">
        <v>22.875</v>
      </c>
      <c r="J274" s="7">
        <v>26.17</v>
      </c>
      <c r="K274" s="7">
        <v>27.263999999999999</v>
      </c>
      <c r="L274" s="7">
        <v>27.282</v>
      </c>
      <c r="M274" s="7">
        <v>27.042000000000002</v>
      </c>
      <c r="N274" s="7">
        <v>26.812000000000001</v>
      </c>
      <c r="O274" s="7">
        <v>28.324000000000002</v>
      </c>
      <c r="P274" s="7">
        <v>27.456</v>
      </c>
      <c r="Q274" s="7">
        <v>26.268999999999998</v>
      </c>
      <c r="R274" s="7">
        <v>23.082000000000001</v>
      </c>
      <c r="S274" s="7">
        <v>20.689</v>
      </c>
      <c r="T274" s="7">
        <v>20.803999999999998</v>
      </c>
      <c r="U274" s="7">
        <v>22.678000000000001</v>
      </c>
      <c r="V274" s="7">
        <v>23.734000000000002</v>
      </c>
      <c r="W274" s="7">
        <v>26.991</v>
      </c>
      <c r="X274" s="7">
        <v>26.652999999999999</v>
      </c>
      <c r="Y274" s="7">
        <v>27.306000000000001</v>
      </c>
      <c r="Z274" s="7">
        <v>25.582000000000001</v>
      </c>
      <c r="AA274" s="7">
        <v>26.454999999999998</v>
      </c>
      <c r="AB274" s="7">
        <v>27.298999999999999</v>
      </c>
      <c r="AC274" s="7">
        <v>29.600999999999999</v>
      </c>
      <c r="AD274" s="7">
        <v>26.867999999999999</v>
      </c>
      <c r="AE274" s="7">
        <v>22.152000000000001</v>
      </c>
      <c r="AF274" s="7">
        <v>23.780999999999999</v>
      </c>
      <c r="AG274" s="7">
        <v>23.486999999999998</v>
      </c>
      <c r="AH274" s="7">
        <v>27.140999999999998</v>
      </c>
      <c r="AI274" s="7">
        <v>28.919</v>
      </c>
      <c r="AJ274" s="7">
        <v>30.125</v>
      </c>
      <c r="AK274" s="7">
        <v>26.690999999999999</v>
      </c>
      <c r="AL274" s="7">
        <v>25.623000000000001</v>
      </c>
      <c r="AM274" s="7">
        <v>25.152000000000001</v>
      </c>
      <c r="AN274" s="7">
        <v>24.600999999999999</v>
      </c>
      <c r="AO274" s="7">
        <v>28.143000000000001</v>
      </c>
      <c r="AP274" s="7">
        <v>22.866</v>
      </c>
      <c r="AQ274" s="7">
        <v>21.751999999999999</v>
      </c>
      <c r="AR274" s="7">
        <v>21.960999999999999</v>
      </c>
      <c r="AS274" s="7">
        <v>22.372</v>
      </c>
      <c r="AT274" s="7">
        <v>3.5590000000000002</v>
      </c>
    </row>
    <row r="275" spans="1:46" x14ac:dyDescent="0.25">
      <c r="A275" s="4" t="s">
        <v>267</v>
      </c>
      <c r="B275" s="4" t="s">
        <v>207</v>
      </c>
      <c r="C275" s="4" t="s">
        <v>246</v>
      </c>
      <c r="D275" s="4" t="s">
        <v>259</v>
      </c>
      <c r="E275" s="4" t="s">
        <v>248</v>
      </c>
      <c r="F275" s="4" t="s">
        <v>195</v>
      </c>
      <c r="G275" s="4" t="s">
        <v>93</v>
      </c>
      <c r="H275" s="4" t="s">
        <v>250</v>
      </c>
      <c r="I275" s="7">
        <v>99.468999999999994</v>
      </c>
      <c r="J275" s="7">
        <v>99.731999999999999</v>
      </c>
      <c r="K275" s="7">
        <v>99.85</v>
      </c>
      <c r="L275" s="7">
        <v>99.897000000000006</v>
      </c>
      <c r="M275" s="7">
        <v>99.915999999999997</v>
      </c>
      <c r="N275" s="7">
        <v>99.840999999999994</v>
      </c>
      <c r="O275" s="7">
        <v>99.801000000000002</v>
      </c>
      <c r="P275" s="7">
        <v>99.725999999999999</v>
      </c>
      <c r="Q275" s="7">
        <v>99.429000000000002</v>
      </c>
      <c r="R275" s="7">
        <v>98.885000000000005</v>
      </c>
      <c r="S275" s="7">
        <v>98.013999999999996</v>
      </c>
      <c r="T275" s="7">
        <v>99.86</v>
      </c>
      <c r="U275" s="7">
        <v>97.816000000000003</v>
      </c>
      <c r="V275" s="7">
        <v>98.712999999999994</v>
      </c>
      <c r="W275" s="7">
        <v>99.260999999999996</v>
      </c>
      <c r="X275" s="7">
        <v>99.998000000000005</v>
      </c>
      <c r="Y275" s="7">
        <v>100</v>
      </c>
      <c r="Z275" s="7">
        <v>99.924999999999997</v>
      </c>
      <c r="AA275" s="7">
        <v>99.923000000000002</v>
      </c>
      <c r="AB275" s="7">
        <v>99.838999999999999</v>
      </c>
      <c r="AC275" s="7">
        <v>99.861999999999995</v>
      </c>
      <c r="AD275" s="7">
        <v>99.599000000000004</v>
      </c>
      <c r="AE275" s="7">
        <v>99.34</v>
      </c>
      <c r="AF275" s="7">
        <v>99.769000000000005</v>
      </c>
      <c r="AG275" s="7">
        <v>99.787000000000006</v>
      </c>
      <c r="AH275" s="7">
        <v>100</v>
      </c>
      <c r="AI275" s="7">
        <v>100</v>
      </c>
      <c r="AJ275" s="7">
        <v>99.988</v>
      </c>
      <c r="AK275" s="7">
        <v>100</v>
      </c>
      <c r="AL275" s="7">
        <v>100</v>
      </c>
      <c r="AM275" s="7">
        <v>100</v>
      </c>
      <c r="AN275" s="7">
        <v>99.998000000000005</v>
      </c>
      <c r="AO275" s="7">
        <v>99.602000000000004</v>
      </c>
      <c r="AP275" s="7">
        <v>99.888999999999996</v>
      </c>
      <c r="AQ275" s="7">
        <v>99.667000000000002</v>
      </c>
      <c r="AR275" s="7">
        <v>97.856999999999999</v>
      </c>
      <c r="AS275" s="7">
        <v>99.430999999999997</v>
      </c>
      <c r="AT275" s="8">
        <v>0</v>
      </c>
    </row>
    <row r="276" spans="1:46" x14ac:dyDescent="0.25">
      <c r="A276" s="4" t="s">
        <v>267</v>
      </c>
      <c r="B276" s="4" t="s">
        <v>207</v>
      </c>
      <c r="C276" s="4" t="s">
        <v>246</v>
      </c>
      <c r="D276" s="4" t="s">
        <v>259</v>
      </c>
      <c r="E276" s="4" t="s">
        <v>248</v>
      </c>
      <c r="F276" s="4" t="s">
        <v>195</v>
      </c>
      <c r="G276" s="4" t="s">
        <v>93</v>
      </c>
      <c r="H276" s="4" t="s">
        <v>251</v>
      </c>
      <c r="I276" s="7">
        <v>96.884657599999997</v>
      </c>
      <c r="J276" s="7">
        <v>97.2037792</v>
      </c>
      <c r="K276" s="7">
        <v>97.205185900000004</v>
      </c>
      <c r="L276" s="7">
        <v>97.597560900000005</v>
      </c>
      <c r="M276" s="7">
        <v>95.886713400000005</v>
      </c>
      <c r="N276" s="7">
        <v>95.897331800000003</v>
      </c>
      <c r="O276" s="7">
        <v>95.898959500000004</v>
      </c>
      <c r="P276" s="7">
        <v>95.884669500000001</v>
      </c>
      <c r="Q276" s="7">
        <v>95.296766300000002</v>
      </c>
      <c r="R276" s="7">
        <v>97.333214400000003</v>
      </c>
      <c r="S276" s="7">
        <v>95.794743400000002</v>
      </c>
      <c r="T276" s="7">
        <v>98.460458399999993</v>
      </c>
      <c r="U276" s="7">
        <v>96.307669599999997</v>
      </c>
      <c r="V276" s="7">
        <v>96.110168400000006</v>
      </c>
      <c r="W276" s="7">
        <v>95.714696799999999</v>
      </c>
      <c r="X276" s="7">
        <v>98.680795900000007</v>
      </c>
      <c r="Y276" s="7">
        <v>98.832944800000007</v>
      </c>
      <c r="Z276" s="7">
        <v>96.501467899999994</v>
      </c>
      <c r="AA276" s="7">
        <v>96.789698999999999</v>
      </c>
      <c r="AB276" s="7">
        <v>96.491248600000006</v>
      </c>
      <c r="AC276" s="7">
        <v>97.069682900000004</v>
      </c>
      <c r="AD276" s="7">
        <v>96.207723400000006</v>
      </c>
      <c r="AE276" s="7">
        <v>95.883478100000005</v>
      </c>
      <c r="AF276" s="7">
        <v>96.265322900000001</v>
      </c>
      <c r="AG276" s="7">
        <v>98.115797799999996</v>
      </c>
      <c r="AH276" s="7">
        <v>99.345776200000003</v>
      </c>
      <c r="AI276" s="7">
        <v>98.867792100000003</v>
      </c>
      <c r="AJ276" s="7">
        <v>98.759750400000001</v>
      </c>
      <c r="AK276" s="7">
        <v>98.9725933</v>
      </c>
      <c r="AL276" s="7">
        <v>97.035767000000007</v>
      </c>
      <c r="AM276" s="7">
        <v>97.037964700000003</v>
      </c>
      <c r="AN276" s="7">
        <v>97.024779100000003</v>
      </c>
      <c r="AO276" s="7">
        <v>96.190924800000005</v>
      </c>
      <c r="AP276" s="7">
        <v>96.471538600000002</v>
      </c>
      <c r="AQ276" s="7">
        <v>95.632230100000001</v>
      </c>
      <c r="AR276" s="7">
        <v>93.475166200000004</v>
      </c>
      <c r="AS276" s="7">
        <v>95.620147299999999</v>
      </c>
      <c r="AT276" s="7">
        <v>99.430999999999997</v>
      </c>
    </row>
    <row r="277" spans="1:46" x14ac:dyDescent="0.25">
      <c r="A277" s="4" t="s">
        <v>267</v>
      </c>
      <c r="B277" s="4" t="s">
        <v>207</v>
      </c>
      <c r="C277" s="4" t="s">
        <v>246</v>
      </c>
      <c r="D277" s="4" t="s">
        <v>259</v>
      </c>
      <c r="E277" s="4" t="s">
        <v>248</v>
      </c>
      <c r="F277" s="4" t="s">
        <v>195</v>
      </c>
      <c r="G277" s="4" t="s">
        <v>93</v>
      </c>
      <c r="H277" s="4" t="s">
        <v>252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R277" s="17">
        <v>0</v>
      </c>
      <c r="AS277" s="17">
        <v>0</v>
      </c>
      <c r="AT277" s="7">
        <v>95.620147299999999</v>
      </c>
    </row>
    <row r="278" spans="1:46" x14ac:dyDescent="0.25">
      <c r="A278" s="4" t="s">
        <v>267</v>
      </c>
      <c r="B278" s="4" t="s">
        <v>207</v>
      </c>
      <c r="C278" s="4" t="s">
        <v>246</v>
      </c>
      <c r="D278" s="4" t="s">
        <v>259</v>
      </c>
      <c r="E278" s="4" t="s">
        <v>248</v>
      </c>
      <c r="F278" s="4" t="s">
        <v>195</v>
      </c>
      <c r="G278" s="4" t="s">
        <v>260</v>
      </c>
      <c r="H278" s="4" t="s">
        <v>151</v>
      </c>
      <c r="I278" s="5">
        <v>12</v>
      </c>
      <c r="J278" s="5">
        <v>15.372</v>
      </c>
      <c r="K278" s="5">
        <v>37.573</v>
      </c>
      <c r="L278" s="5">
        <v>89.57</v>
      </c>
      <c r="M278" s="5">
        <v>56.515000000000001</v>
      </c>
      <c r="N278" s="5">
        <v>28</v>
      </c>
      <c r="O278" s="5">
        <v>289.86799999999999</v>
      </c>
      <c r="P278" s="5">
        <v>220.24299999999999</v>
      </c>
      <c r="Q278" s="5">
        <v>126.96899999999999</v>
      </c>
      <c r="R278" s="5">
        <v>110.41500000000001</v>
      </c>
      <c r="S278" s="5">
        <v>99.373000000000005</v>
      </c>
      <c r="T278" s="5">
        <v>89.436000000000007</v>
      </c>
      <c r="U278" s="8">
        <v>0</v>
      </c>
      <c r="V278" s="5">
        <v>1</v>
      </c>
      <c r="W278" s="5">
        <v>5</v>
      </c>
      <c r="X278" s="5">
        <v>3</v>
      </c>
      <c r="Y278" s="5">
        <v>11.143000000000001</v>
      </c>
      <c r="Z278" s="5">
        <v>4.1429999999999998</v>
      </c>
      <c r="AA278" s="5">
        <v>5.2859999999999996</v>
      </c>
      <c r="AB278" s="5">
        <v>0.42899999999999999</v>
      </c>
      <c r="AC278" s="8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</row>
    <row r="279" spans="1:46" x14ac:dyDescent="0.25">
      <c r="A279" s="4" t="s">
        <v>267</v>
      </c>
      <c r="B279" s="4" t="s">
        <v>207</v>
      </c>
      <c r="C279" s="4" t="s">
        <v>246</v>
      </c>
      <c r="D279" s="4" t="s">
        <v>259</v>
      </c>
      <c r="E279" s="4" t="s">
        <v>248</v>
      </c>
      <c r="F279" s="4" t="s">
        <v>195</v>
      </c>
      <c r="G279" s="4" t="s">
        <v>260</v>
      </c>
      <c r="H279" s="4" t="s">
        <v>205</v>
      </c>
      <c r="I279" s="6">
        <v>634.14700000000005</v>
      </c>
      <c r="J279" s="6">
        <v>1091.078</v>
      </c>
      <c r="K279" s="6">
        <v>2546.8020000000001</v>
      </c>
      <c r="L279" s="6">
        <v>4897.451</v>
      </c>
      <c r="M279" s="6">
        <v>3666.442</v>
      </c>
      <c r="N279" s="6">
        <v>1996</v>
      </c>
      <c r="O279" s="6">
        <v>33368.694000000003</v>
      </c>
      <c r="P279" s="6">
        <v>25471.203000000001</v>
      </c>
      <c r="Q279" s="6">
        <v>14537.981</v>
      </c>
      <c r="R279" s="6">
        <v>12808.105</v>
      </c>
      <c r="S279" s="6">
        <v>11527.295</v>
      </c>
      <c r="T279" s="6">
        <v>10374.565000000001</v>
      </c>
      <c r="U279" s="10">
        <v>0</v>
      </c>
      <c r="V279" s="6">
        <v>74</v>
      </c>
      <c r="W279" s="6">
        <v>360.8</v>
      </c>
      <c r="X279" s="6">
        <v>201.6</v>
      </c>
      <c r="Y279" s="6">
        <v>824.57500000000005</v>
      </c>
      <c r="Z279" s="6">
        <v>304.57499999999999</v>
      </c>
      <c r="AA279" s="6">
        <v>349.37200000000001</v>
      </c>
      <c r="AB279" s="6">
        <v>30.169</v>
      </c>
      <c r="AC279" s="10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</row>
    <row r="280" spans="1:46" x14ac:dyDescent="0.25">
      <c r="A280" s="4" t="s">
        <v>267</v>
      </c>
      <c r="B280" s="4" t="s">
        <v>207</v>
      </c>
      <c r="C280" s="4" t="s">
        <v>246</v>
      </c>
      <c r="D280" s="4" t="s">
        <v>259</v>
      </c>
      <c r="E280" s="4" t="s">
        <v>248</v>
      </c>
      <c r="F280" s="4" t="s">
        <v>195</v>
      </c>
      <c r="G280" s="4" t="s">
        <v>260</v>
      </c>
      <c r="H280" s="4" t="s">
        <v>249</v>
      </c>
      <c r="I280" s="7">
        <v>1E-3</v>
      </c>
      <c r="J280" s="7">
        <v>1E-3</v>
      </c>
      <c r="K280" s="7">
        <v>1E-3</v>
      </c>
      <c r="L280" s="7">
        <v>2E-3</v>
      </c>
      <c r="M280" s="7">
        <v>1E-3</v>
      </c>
      <c r="N280" s="7">
        <v>0</v>
      </c>
      <c r="O280" s="7">
        <v>4.0000000000000001E-3</v>
      </c>
      <c r="P280" s="7">
        <v>5.0000000000000001E-3</v>
      </c>
      <c r="Q280" s="7">
        <v>6.0000000000000001E-3</v>
      </c>
      <c r="R280" s="7">
        <v>1.2E-2</v>
      </c>
      <c r="S280" s="7">
        <v>1.4E-2</v>
      </c>
      <c r="T280" s="7">
        <v>1.2E-2</v>
      </c>
      <c r="U280" s="11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11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</row>
    <row r="281" spans="1:46" x14ac:dyDescent="0.25">
      <c r="A281" s="4" t="s">
        <v>267</v>
      </c>
      <c r="B281" s="4" t="s">
        <v>207</v>
      </c>
      <c r="C281" s="4" t="s">
        <v>246</v>
      </c>
      <c r="D281" s="4" t="s">
        <v>259</v>
      </c>
      <c r="E281" s="4" t="s">
        <v>248</v>
      </c>
      <c r="F281" s="4" t="s">
        <v>195</v>
      </c>
      <c r="G281" s="4" t="s">
        <v>260</v>
      </c>
      <c r="H281" s="4" t="s">
        <v>250</v>
      </c>
      <c r="I281" s="7">
        <v>5.375</v>
      </c>
      <c r="J281" s="7">
        <v>6.6710000000000003</v>
      </c>
      <c r="K281" s="7">
        <v>6.03</v>
      </c>
      <c r="L281" s="7">
        <v>4.6769999999999996</v>
      </c>
      <c r="M281" s="7">
        <v>5.835</v>
      </c>
      <c r="N281" s="7">
        <v>3.1179999999999999</v>
      </c>
      <c r="O281" s="7">
        <v>2.97</v>
      </c>
      <c r="P281" s="7">
        <v>2.1040000000000001</v>
      </c>
      <c r="Q281" s="7">
        <v>4.45</v>
      </c>
      <c r="R281" s="7">
        <v>4.5229999999999997</v>
      </c>
      <c r="S281" s="7">
        <v>5.1630000000000003</v>
      </c>
      <c r="T281" s="7">
        <v>3.8530000000000002</v>
      </c>
      <c r="U281" s="11">
        <v>0</v>
      </c>
      <c r="V281" s="7">
        <v>1.4350000000000001</v>
      </c>
      <c r="W281" s="7">
        <v>2.19</v>
      </c>
      <c r="X281" s="7">
        <v>0.61599999999999999</v>
      </c>
      <c r="Y281" s="7">
        <v>1.6160000000000001</v>
      </c>
      <c r="Z281" s="7">
        <v>1.4970000000000001</v>
      </c>
      <c r="AA281" s="7">
        <v>1.266</v>
      </c>
      <c r="AB281" s="7">
        <v>1.258</v>
      </c>
      <c r="AC281" s="11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</row>
    <row r="282" spans="1:46" x14ac:dyDescent="0.25">
      <c r="A282" s="4" t="s">
        <v>267</v>
      </c>
      <c r="B282" s="4" t="s">
        <v>207</v>
      </c>
      <c r="C282" s="4" t="s">
        <v>246</v>
      </c>
      <c r="D282" s="4" t="s">
        <v>259</v>
      </c>
      <c r="E282" s="4" t="s">
        <v>248</v>
      </c>
      <c r="F282" s="4" t="s">
        <v>195</v>
      </c>
      <c r="G282" s="4" t="s">
        <v>260</v>
      </c>
      <c r="H282" s="4" t="s">
        <v>251</v>
      </c>
      <c r="I282" s="7">
        <v>2.1807397000000002</v>
      </c>
      <c r="J282" s="7">
        <v>3.4520898999999998</v>
      </c>
      <c r="K282" s="7">
        <v>2.8050617</v>
      </c>
      <c r="L282" s="7">
        <v>2.5067840000000001</v>
      </c>
      <c r="M282" s="7">
        <v>3.1190521000000002</v>
      </c>
      <c r="N282" s="7">
        <v>1.2307389</v>
      </c>
      <c r="O282" s="7">
        <v>3.8445331999999999</v>
      </c>
      <c r="P282" s="7">
        <v>3.2406606999999998</v>
      </c>
      <c r="Q282" s="7">
        <v>3.6806315999999999</v>
      </c>
      <c r="R282" s="7">
        <v>3.0769419999999998</v>
      </c>
      <c r="S282" s="7">
        <v>3.0769419999999998</v>
      </c>
      <c r="T282" s="7">
        <v>3.0790831999999999</v>
      </c>
      <c r="U282" s="7">
        <v>0</v>
      </c>
      <c r="V282" s="7">
        <v>0.30684159999999999</v>
      </c>
      <c r="W282" s="7">
        <v>0.61218620000000001</v>
      </c>
      <c r="X282" s="7">
        <v>0.60141509999999998</v>
      </c>
      <c r="Y282" s="7">
        <v>0.29176380000000002</v>
      </c>
      <c r="Z282" s="7">
        <v>0.58308870000000002</v>
      </c>
      <c r="AA282" s="7">
        <v>0.29184549999999998</v>
      </c>
      <c r="AB282" s="7">
        <v>0.29239599999999999</v>
      </c>
      <c r="AC282" s="7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  <c r="AT282" s="9">
        <v>0</v>
      </c>
    </row>
    <row r="283" spans="1:46" x14ac:dyDescent="0.25">
      <c r="A283" s="4" t="s">
        <v>267</v>
      </c>
      <c r="B283" s="4" t="s">
        <v>207</v>
      </c>
      <c r="C283" s="4" t="s">
        <v>246</v>
      </c>
      <c r="D283" s="4" t="s">
        <v>259</v>
      </c>
      <c r="E283" s="4" t="s">
        <v>248</v>
      </c>
      <c r="F283" s="4" t="s">
        <v>195</v>
      </c>
      <c r="G283" s="4" t="s">
        <v>260</v>
      </c>
      <c r="H283" s="4" t="s">
        <v>252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</row>
    <row r="284" spans="1:46" x14ac:dyDescent="0.25">
      <c r="A284" s="4" t="s">
        <v>267</v>
      </c>
      <c r="B284" s="4" t="s">
        <v>207</v>
      </c>
      <c r="C284" s="4" t="s">
        <v>246</v>
      </c>
      <c r="D284" s="4" t="s">
        <v>259</v>
      </c>
      <c r="E284" s="4" t="s">
        <v>261</v>
      </c>
      <c r="F284" s="4" t="s">
        <v>195</v>
      </c>
      <c r="G284" s="4" t="s">
        <v>93</v>
      </c>
      <c r="H284" s="4" t="s">
        <v>151</v>
      </c>
      <c r="I284" s="5">
        <v>2302.8110000000001</v>
      </c>
      <c r="J284" s="5">
        <v>4067.3150000000001</v>
      </c>
      <c r="K284" s="5">
        <v>5222.692</v>
      </c>
      <c r="L284" s="5">
        <v>3856.799</v>
      </c>
      <c r="M284" s="5">
        <v>3201.5360000000001</v>
      </c>
      <c r="N284" s="5">
        <v>3158.4279999999999</v>
      </c>
      <c r="O284" s="5">
        <v>3669.056</v>
      </c>
      <c r="P284" s="5">
        <v>2560.6750000000002</v>
      </c>
      <c r="Q284" s="5">
        <v>1707.1790000000001</v>
      </c>
      <c r="R284" s="5">
        <v>1175.9190000000001</v>
      </c>
      <c r="S284" s="5">
        <v>1077.6400000000001</v>
      </c>
      <c r="T284" s="5">
        <v>1045.452</v>
      </c>
      <c r="U284" s="5">
        <v>1505.0050000000001</v>
      </c>
      <c r="V284" s="5">
        <v>2248.12</v>
      </c>
      <c r="W284" s="5">
        <v>3791.09</v>
      </c>
      <c r="X284" s="5">
        <v>3526.5639999999999</v>
      </c>
      <c r="Y284" s="5">
        <v>2601.1799999999998</v>
      </c>
      <c r="Z284" s="5">
        <v>2650.694</v>
      </c>
      <c r="AA284" s="5">
        <v>2962.2640000000001</v>
      </c>
      <c r="AB284" s="5">
        <v>2647.4740000000002</v>
      </c>
      <c r="AC284" s="5">
        <v>1757.9559999999999</v>
      </c>
      <c r="AD284" s="5">
        <v>1173.471</v>
      </c>
      <c r="AE284" s="5">
        <v>1195.903</v>
      </c>
      <c r="AF284" s="5">
        <v>1019.582</v>
      </c>
      <c r="AG284" s="5">
        <v>1220.742</v>
      </c>
      <c r="AH284" s="5">
        <v>1886.829</v>
      </c>
      <c r="AI284" s="5">
        <v>2972.7</v>
      </c>
      <c r="AJ284" s="5">
        <v>3360.7150000000001</v>
      </c>
      <c r="AK284" s="5">
        <v>2678.328</v>
      </c>
      <c r="AL284" s="5">
        <v>2682.6170000000002</v>
      </c>
      <c r="AM284" s="5">
        <v>3216.9090000000001</v>
      </c>
      <c r="AN284" s="5">
        <v>2547.3580000000002</v>
      </c>
      <c r="AO284" s="5">
        <v>1635.3789999999999</v>
      </c>
      <c r="AP284" s="5">
        <v>1224.2280000000001</v>
      </c>
      <c r="AQ284" s="5">
        <v>1086.373</v>
      </c>
      <c r="AR284" s="5">
        <v>787.17399999999998</v>
      </c>
      <c r="AS284" s="5">
        <v>1070.789</v>
      </c>
      <c r="AT284" s="5">
        <v>1070.789</v>
      </c>
    </row>
    <row r="285" spans="1:46" x14ac:dyDescent="0.25">
      <c r="A285" s="4" t="s">
        <v>267</v>
      </c>
      <c r="B285" s="4" t="s">
        <v>207</v>
      </c>
      <c r="C285" s="4" t="s">
        <v>246</v>
      </c>
      <c r="D285" s="4" t="s">
        <v>259</v>
      </c>
      <c r="E285" s="4" t="s">
        <v>261</v>
      </c>
      <c r="F285" s="4" t="s">
        <v>195</v>
      </c>
      <c r="G285" s="4" t="s">
        <v>93</v>
      </c>
      <c r="H285" s="4" t="s">
        <v>205</v>
      </c>
      <c r="I285" s="6">
        <v>535543.77899999998</v>
      </c>
      <c r="J285" s="6">
        <v>951138.19900000002</v>
      </c>
      <c r="K285" s="6">
        <v>1311047.4450000001</v>
      </c>
      <c r="L285" s="6">
        <v>960662.03099999996</v>
      </c>
      <c r="M285" s="6">
        <v>794883.94</v>
      </c>
      <c r="N285" s="6">
        <v>777210.93200000003</v>
      </c>
      <c r="O285" s="6">
        <v>882795.34499999997</v>
      </c>
      <c r="P285" s="6">
        <v>620068.74699999997</v>
      </c>
      <c r="Q285" s="6">
        <v>404431.33100000001</v>
      </c>
      <c r="R285" s="6">
        <v>270364.44900000002</v>
      </c>
      <c r="S285" s="6">
        <v>242143.71799999999</v>
      </c>
      <c r="T285" s="6">
        <v>242748.86300000001</v>
      </c>
      <c r="U285" s="6">
        <v>387229.022</v>
      </c>
      <c r="V285" s="6">
        <v>595012.53099999996</v>
      </c>
      <c r="W285" s="6">
        <v>1035458.247</v>
      </c>
      <c r="X285" s="6">
        <v>956253.47600000002</v>
      </c>
      <c r="Y285" s="6">
        <v>731594.76800000004</v>
      </c>
      <c r="Z285" s="6">
        <v>777087.04399999999</v>
      </c>
      <c r="AA285" s="6">
        <v>879190.70400000003</v>
      </c>
      <c r="AB285" s="6">
        <v>786706.86499999999</v>
      </c>
      <c r="AC285" s="6">
        <v>520932.2</v>
      </c>
      <c r="AD285" s="6">
        <v>342701.44699999999</v>
      </c>
      <c r="AE285" s="6">
        <v>343120.05800000002</v>
      </c>
      <c r="AF285" s="6">
        <v>303559.81099999999</v>
      </c>
      <c r="AG285" s="6">
        <v>377698.12099999998</v>
      </c>
      <c r="AH285" s="6">
        <v>600531.34100000001</v>
      </c>
      <c r="AI285" s="6">
        <v>960721.58100000001</v>
      </c>
      <c r="AJ285" s="6">
        <v>1088221.4410000001</v>
      </c>
      <c r="AK285" s="6">
        <v>841064.11800000002</v>
      </c>
      <c r="AL285" s="6">
        <v>864588.90300000005</v>
      </c>
      <c r="AM285" s="6">
        <v>1031806.94</v>
      </c>
      <c r="AN285" s="6">
        <v>821738.53099999996</v>
      </c>
      <c r="AO285" s="6">
        <v>514975.17499999999</v>
      </c>
      <c r="AP285" s="6">
        <v>381708.03600000002</v>
      </c>
      <c r="AQ285" s="6">
        <v>335293.30800000002</v>
      </c>
      <c r="AR285" s="6">
        <v>250537.99</v>
      </c>
      <c r="AS285" s="6">
        <v>355217.47899999999</v>
      </c>
      <c r="AT285" s="6">
        <v>355217.47899999999</v>
      </c>
    </row>
    <row r="286" spans="1:46" x14ac:dyDescent="0.25">
      <c r="A286" s="4" t="s">
        <v>267</v>
      </c>
      <c r="B286" s="4" t="s">
        <v>207</v>
      </c>
      <c r="C286" s="4" t="s">
        <v>246</v>
      </c>
      <c r="D286" s="4" t="s">
        <v>259</v>
      </c>
      <c r="E286" s="4" t="s">
        <v>261</v>
      </c>
      <c r="F286" s="4" t="s">
        <v>195</v>
      </c>
      <c r="G286" s="4" t="s">
        <v>93</v>
      </c>
      <c r="H286" s="4" t="s">
        <v>249</v>
      </c>
      <c r="I286" s="7">
        <v>5.4720000000000004</v>
      </c>
      <c r="J286" s="7">
        <v>4.9610000000000003</v>
      </c>
      <c r="K286" s="7">
        <v>3.823</v>
      </c>
      <c r="L286" s="7">
        <v>2.1989999999999998</v>
      </c>
      <c r="M286" s="7">
        <v>1.1679999999999999</v>
      </c>
      <c r="N286" s="7">
        <v>1.288</v>
      </c>
      <c r="O286" s="7">
        <v>1.792</v>
      </c>
      <c r="P286" s="7">
        <v>1.9990000000000001</v>
      </c>
      <c r="Q286" s="7">
        <v>2.556</v>
      </c>
      <c r="R286" s="7">
        <v>4.165</v>
      </c>
      <c r="S286" s="7">
        <v>4.9000000000000004</v>
      </c>
      <c r="T286" s="7">
        <v>4.3099999999999996</v>
      </c>
      <c r="U286" s="7">
        <v>3.8450000000000002</v>
      </c>
      <c r="V286" s="7">
        <v>3.1760000000000002</v>
      </c>
      <c r="W286" s="7">
        <v>2.927</v>
      </c>
      <c r="X286" s="7">
        <v>1.736</v>
      </c>
      <c r="Y286" s="7">
        <v>1.139</v>
      </c>
      <c r="Z286" s="7">
        <v>1.228</v>
      </c>
      <c r="AA286" s="7">
        <v>1.341</v>
      </c>
      <c r="AB286" s="7">
        <v>1.7270000000000001</v>
      </c>
      <c r="AC286" s="7">
        <v>1.8620000000000001</v>
      </c>
      <c r="AD286" s="7">
        <v>2.2160000000000002</v>
      </c>
      <c r="AE286" s="7">
        <v>3.74</v>
      </c>
      <c r="AF286" s="7">
        <v>3.4249999999999998</v>
      </c>
      <c r="AG286" s="7">
        <v>3.8050000000000002</v>
      </c>
      <c r="AH286" s="7">
        <v>2.9140000000000001</v>
      </c>
      <c r="AI286" s="7">
        <v>2.9249999999999998</v>
      </c>
      <c r="AJ286" s="7">
        <v>1.8759999999999999</v>
      </c>
      <c r="AK286" s="7">
        <v>1.0609999999999999</v>
      </c>
      <c r="AL286" s="7">
        <v>1.2110000000000001</v>
      </c>
      <c r="AM286" s="7">
        <v>1.3069999999999999</v>
      </c>
      <c r="AN286" s="7">
        <v>1.022</v>
      </c>
      <c r="AO286" s="7">
        <v>1.575</v>
      </c>
      <c r="AP286" s="7">
        <v>2.4319999999999999</v>
      </c>
      <c r="AQ286" s="7">
        <v>3.778</v>
      </c>
      <c r="AR286" s="7">
        <v>3.5550000000000002</v>
      </c>
      <c r="AS286" s="7">
        <v>3.5910000000000002</v>
      </c>
      <c r="AT286" s="7">
        <v>0.55000000000000004</v>
      </c>
    </row>
    <row r="287" spans="1:46" x14ac:dyDescent="0.25">
      <c r="A287" s="4" t="s">
        <v>267</v>
      </c>
      <c r="B287" s="4" t="s">
        <v>207</v>
      </c>
      <c r="C287" s="4" t="s">
        <v>246</v>
      </c>
      <c r="D287" s="4" t="s">
        <v>259</v>
      </c>
      <c r="E287" s="4" t="s">
        <v>261</v>
      </c>
      <c r="F287" s="4" t="s">
        <v>195</v>
      </c>
      <c r="G287" s="4" t="s">
        <v>93</v>
      </c>
      <c r="H287" s="4" t="s">
        <v>250</v>
      </c>
      <c r="I287" s="7">
        <v>94.959000000000003</v>
      </c>
      <c r="J287" s="7">
        <v>96.581999999999994</v>
      </c>
      <c r="K287" s="7">
        <v>98.947000000000003</v>
      </c>
      <c r="L287" s="7">
        <v>98.593999999999994</v>
      </c>
      <c r="M287" s="7">
        <v>96.837000000000003</v>
      </c>
      <c r="N287" s="7">
        <v>97.003</v>
      </c>
      <c r="O287" s="7">
        <v>97.578000000000003</v>
      </c>
      <c r="P287" s="7">
        <v>93.456999999999994</v>
      </c>
      <c r="Q287" s="7">
        <v>86.914000000000001</v>
      </c>
      <c r="R287" s="7">
        <v>80.847999999999999</v>
      </c>
      <c r="S287" s="7">
        <v>82.945999999999998</v>
      </c>
      <c r="T287" s="7">
        <v>83.091999999999999</v>
      </c>
      <c r="U287" s="7">
        <v>89.337000000000003</v>
      </c>
      <c r="V287" s="7">
        <v>87.492000000000004</v>
      </c>
      <c r="W287" s="7">
        <v>93.724999999999994</v>
      </c>
      <c r="X287" s="7">
        <v>95.013000000000005</v>
      </c>
      <c r="Y287" s="7">
        <v>97.064999999999998</v>
      </c>
      <c r="Z287" s="7">
        <v>96.052999999999997</v>
      </c>
      <c r="AA287" s="7">
        <v>95.927999999999997</v>
      </c>
      <c r="AB287" s="7">
        <v>95.725999999999999</v>
      </c>
      <c r="AC287" s="7">
        <v>92.213999999999999</v>
      </c>
      <c r="AD287" s="7">
        <v>82.831999999999994</v>
      </c>
      <c r="AE287" s="7">
        <v>82.436000000000007</v>
      </c>
      <c r="AF287" s="7">
        <v>81.228999999999999</v>
      </c>
      <c r="AG287" s="7">
        <v>84.650999999999996</v>
      </c>
      <c r="AH287" s="7">
        <v>90.552000000000007</v>
      </c>
      <c r="AI287" s="7">
        <v>95.459000000000003</v>
      </c>
      <c r="AJ287" s="7">
        <v>95.292000000000002</v>
      </c>
      <c r="AK287" s="7">
        <v>95.661000000000001</v>
      </c>
      <c r="AL287" s="7">
        <v>95.009</v>
      </c>
      <c r="AM287" s="7">
        <v>95.447999999999993</v>
      </c>
      <c r="AN287" s="7">
        <v>96.105000000000004</v>
      </c>
      <c r="AO287" s="7">
        <v>86.453999999999994</v>
      </c>
      <c r="AP287" s="7">
        <v>84.524000000000001</v>
      </c>
      <c r="AQ287" s="7">
        <v>85.921999999999997</v>
      </c>
      <c r="AR287" s="7">
        <v>80.349000000000004</v>
      </c>
      <c r="AS287" s="7">
        <v>84.87</v>
      </c>
      <c r="AT287" s="8">
        <v>0</v>
      </c>
    </row>
    <row r="288" spans="1:46" x14ac:dyDescent="0.25">
      <c r="A288" s="4" t="s">
        <v>267</v>
      </c>
      <c r="B288" s="4" t="s">
        <v>207</v>
      </c>
      <c r="C288" s="4" t="s">
        <v>246</v>
      </c>
      <c r="D288" s="4" t="s">
        <v>259</v>
      </c>
      <c r="E288" s="4" t="s">
        <v>261</v>
      </c>
      <c r="F288" s="4" t="s">
        <v>195</v>
      </c>
      <c r="G288" s="4" t="s">
        <v>93</v>
      </c>
      <c r="H288" s="4" t="s">
        <v>251</v>
      </c>
      <c r="I288" s="7">
        <v>83.938852100000005</v>
      </c>
      <c r="J288" s="7">
        <v>88.090274399999998</v>
      </c>
      <c r="K288" s="7">
        <v>94.375902499999995</v>
      </c>
      <c r="L288" s="7">
        <v>93.266778200000005</v>
      </c>
      <c r="M288" s="7">
        <v>90.471328200000002</v>
      </c>
      <c r="N288" s="7">
        <v>90.803611000000004</v>
      </c>
      <c r="O288" s="7">
        <v>92.891919400000006</v>
      </c>
      <c r="P288" s="7">
        <v>84.791116299999999</v>
      </c>
      <c r="Q288" s="7">
        <v>77.987982700000003</v>
      </c>
      <c r="R288" s="7">
        <v>69.470273700000007</v>
      </c>
      <c r="S288" s="7">
        <v>70.461664400000004</v>
      </c>
      <c r="T288" s="7">
        <v>69.004101300000002</v>
      </c>
      <c r="U288" s="7">
        <v>76.8887809</v>
      </c>
      <c r="V288" s="7">
        <v>75.209649600000006</v>
      </c>
      <c r="W288" s="7">
        <v>81.4642269</v>
      </c>
      <c r="X288" s="7">
        <v>80.908678100000003</v>
      </c>
      <c r="Y288" s="7">
        <v>84.7147863</v>
      </c>
      <c r="Z288" s="7">
        <v>83.560106200000007</v>
      </c>
      <c r="AA288" s="7">
        <v>84.798933000000005</v>
      </c>
      <c r="AB288" s="7">
        <v>85.477570299999996</v>
      </c>
      <c r="AC288" s="7">
        <v>80.274863699999997</v>
      </c>
      <c r="AD288" s="7">
        <v>69.668205</v>
      </c>
      <c r="AE288" s="7">
        <v>70.781548900000004</v>
      </c>
      <c r="AF288" s="7">
        <v>64.804690800000003</v>
      </c>
      <c r="AG288" s="7">
        <v>69.917658099999997</v>
      </c>
      <c r="AH288" s="7">
        <v>78.929768800000005</v>
      </c>
      <c r="AI288" s="7">
        <v>84.660280999999998</v>
      </c>
      <c r="AJ288" s="7">
        <v>84.945119199999993</v>
      </c>
      <c r="AK288" s="7">
        <v>87.113212399999995</v>
      </c>
      <c r="AL288" s="7">
        <v>85.151324000000002</v>
      </c>
      <c r="AM288" s="7">
        <v>86.557963400000006</v>
      </c>
      <c r="AN288" s="7">
        <v>86.565344999999994</v>
      </c>
      <c r="AO288" s="7">
        <v>74.236415199999996</v>
      </c>
      <c r="AP288" s="7">
        <v>68.904023699999996</v>
      </c>
      <c r="AQ288" s="7">
        <v>68.590608500000002</v>
      </c>
      <c r="AR288" s="7">
        <v>62.132469999999998</v>
      </c>
      <c r="AS288" s="7">
        <v>68.808483499999994</v>
      </c>
      <c r="AT288" s="7">
        <v>84.87</v>
      </c>
    </row>
    <row r="289" spans="1:46" x14ac:dyDescent="0.25">
      <c r="A289" s="4" t="s">
        <v>267</v>
      </c>
      <c r="B289" s="4" t="s">
        <v>207</v>
      </c>
      <c r="C289" s="4" t="s">
        <v>246</v>
      </c>
      <c r="D289" s="4" t="s">
        <v>259</v>
      </c>
      <c r="E289" s="4" t="s">
        <v>261</v>
      </c>
      <c r="F289" s="4" t="s">
        <v>195</v>
      </c>
      <c r="G289" s="4" t="s">
        <v>93</v>
      </c>
      <c r="H289" s="4" t="s">
        <v>252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7">
        <v>68.808483499999994</v>
      </c>
    </row>
    <row r="290" spans="1:46" x14ac:dyDescent="0.25">
      <c r="A290" s="4" t="s">
        <v>267</v>
      </c>
      <c r="B290" s="4" t="s">
        <v>207</v>
      </c>
      <c r="C290" s="4" t="s">
        <v>246</v>
      </c>
      <c r="D290" s="4" t="s">
        <v>259</v>
      </c>
      <c r="E290" s="4" t="s">
        <v>261</v>
      </c>
      <c r="F290" s="4" t="s">
        <v>195</v>
      </c>
      <c r="G290" s="4" t="s">
        <v>262</v>
      </c>
      <c r="H290" s="4" t="s">
        <v>151</v>
      </c>
      <c r="I290" s="5">
        <v>799.12400000000002</v>
      </c>
      <c r="J290" s="5">
        <v>1313.9010000000001</v>
      </c>
      <c r="K290" s="5">
        <v>1898.8869999999999</v>
      </c>
      <c r="L290" s="5">
        <v>1359.7449999999999</v>
      </c>
      <c r="M290" s="5">
        <v>1128.8820000000001</v>
      </c>
      <c r="N290" s="5">
        <v>937.70100000000002</v>
      </c>
      <c r="O290" s="5">
        <v>1104.595</v>
      </c>
      <c r="P290" s="5">
        <v>924.41200000000003</v>
      </c>
      <c r="Q290" s="5">
        <v>634.21100000000001</v>
      </c>
      <c r="R290" s="5">
        <v>511.52800000000002</v>
      </c>
      <c r="S290" s="5">
        <v>345.27499999999998</v>
      </c>
      <c r="T290" s="5">
        <v>394.11</v>
      </c>
      <c r="U290" s="5">
        <v>457.17500000000001</v>
      </c>
      <c r="V290" s="5">
        <v>939.23699999999997</v>
      </c>
      <c r="W290" s="5">
        <v>1371.598</v>
      </c>
      <c r="X290" s="5">
        <v>1337.4480000000001</v>
      </c>
      <c r="Y290" s="5">
        <v>786.04499999999996</v>
      </c>
      <c r="Z290" s="5">
        <v>752.851</v>
      </c>
      <c r="AA290" s="5">
        <v>875.07600000000002</v>
      </c>
      <c r="AB290" s="5">
        <v>805.35799999999995</v>
      </c>
      <c r="AC290" s="5">
        <v>652.274</v>
      </c>
      <c r="AD290" s="5">
        <v>530.08000000000004</v>
      </c>
      <c r="AE290" s="5">
        <v>430.78300000000002</v>
      </c>
      <c r="AF290" s="5">
        <v>433.38900000000001</v>
      </c>
      <c r="AG290" s="5">
        <v>409.221</v>
      </c>
      <c r="AH290" s="5">
        <v>604.86</v>
      </c>
      <c r="AI290" s="5">
        <v>753.86099999999999</v>
      </c>
      <c r="AJ290" s="5">
        <v>482.072</v>
      </c>
      <c r="AK290" s="5">
        <v>190.02799999999999</v>
      </c>
      <c r="AL290" s="5">
        <v>100.26</v>
      </c>
      <c r="AM290" s="5">
        <v>78.972999999999999</v>
      </c>
      <c r="AN290" s="5">
        <v>80.694000000000003</v>
      </c>
      <c r="AO290" s="5">
        <v>47.17</v>
      </c>
      <c r="AP290" s="5">
        <v>27.811</v>
      </c>
      <c r="AQ290" s="5">
        <v>14.414999999999999</v>
      </c>
      <c r="AR290" s="5">
        <v>8.1430000000000007</v>
      </c>
      <c r="AS290" s="5">
        <v>6.5709999999999997</v>
      </c>
      <c r="AT290" s="5">
        <v>13.143000000000001</v>
      </c>
    </row>
    <row r="291" spans="1:46" x14ac:dyDescent="0.25">
      <c r="A291" s="4" t="s">
        <v>267</v>
      </c>
      <c r="B291" s="4" t="s">
        <v>207</v>
      </c>
      <c r="C291" s="4" t="s">
        <v>246</v>
      </c>
      <c r="D291" s="4" t="s">
        <v>259</v>
      </c>
      <c r="E291" s="4" t="s">
        <v>261</v>
      </c>
      <c r="F291" s="4" t="s">
        <v>195</v>
      </c>
      <c r="G291" s="4" t="s">
        <v>262</v>
      </c>
      <c r="H291" s="4" t="s">
        <v>205</v>
      </c>
      <c r="I291" s="6">
        <v>153085.06200000001</v>
      </c>
      <c r="J291" s="6">
        <v>243069.87</v>
      </c>
      <c r="K291" s="6">
        <v>377940.23700000002</v>
      </c>
      <c r="L291" s="6">
        <v>264068.54800000001</v>
      </c>
      <c r="M291" s="6">
        <v>227898.359</v>
      </c>
      <c r="N291" s="6">
        <v>189348.80799999999</v>
      </c>
      <c r="O291" s="6">
        <v>229458.516</v>
      </c>
      <c r="P291" s="6">
        <v>194239.43299999999</v>
      </c>
      <c r="Q291" s="6">
        <v>131800.26199999999</v>
      </c>
      <c r="R291" s="6">
        <v>107737.07</v>
      </c>
      <c r="S291" s="6">
        <v>71861.183000000005</v>
      </c>
      <c r="T291" s="6">
        <v>89234.337</v>
      </c>
      <c r="U291" s="6">
        <v>106785.749</v>
      </c>
      <c r="V291" s="6">
        <v>213010.49400000001</v>
      </c>
      <c r="W291" s="6">
        <v>310956.43300000002</v>
      </c>
      <c r="X291" s="6">
        <v>310725.09700000001</v>
      </c>
      <c r="Y291" s="6">
        <v>189417.80900000001</v>
      </c>
      <c r="Z291" s="6">
        <v>190498.856</v>
      </c>
      <c r="AA291" s="6">
        <v>224049.83199999999</v>
      </c>
      <c r="AB291" s="6">
        <v>202287.57</v>
      </c>
      <c r="AC291" s="6">
        <v>163274.06099999999</v>
      </c>
      <c r="AD291" s="6">
        <v>133098.03</v>
      </c>
      <c r="AE291" s="6">
        <v>104970.88800000001</v>
      </c>
      <c r="AF291" s="6">
        <v>111841.18799999999</v>
      </c>
      <c r="AG291" s="6">
        <v>109748.023</v>
      </c>
      <c r="AH291" s="6">
        <v>162607.15</v>
      </c>
      <c r="AI291" s="6">
        <v>199948.77799999999</v>
      </c>
      <c r="AJ291" s="6">
        <v>126650.838</v>
      </c>
      <c r="AK291" s="6">
        <v>50397.286999999997</v>
      </c>
      <c r="AL291" s="6">
        <v>26352.534</v>
      </c>
      <c r="AM291" s="6">
        <v>19052.075000000001</v>
      </c>
      <c r="AN291" s="6">
        <v>19056.309000000001</v>
      </c>
      <c r="AO291" s="6">
        <v>11391.655000000001</v>
      </c>
      <c r="AP291" s="6">
        <v>6713.2860000000001</v>
      </c>
      <c r="AQ291" s="6">
        <v>3553.8519999999999</v>
      </c>
      <c r="AR291" s="6">
        <v>1963.5530000000001</v>
      </c>
      <c r="AS291" s="6">
        <v>1651.6949999999999</v>
      </c>
      <c r="AT291" s="6">
        <v>1651.6949999999999</v>
      </c>
    </row>
    <row r="292" spans="1:46" x14ac:dyDescent="0.25">
      <c r="A292" s="4" t="s">
        <v>267</v>
      </c>
      <c r="B292" s="4" t="s">
        <v>207</v>
      </c>
      <c r="C292" s="4" t="s">
        <v>246</v>
      </c>
      <c r="D292" s="4" t="s">
        <v>259</v>
      </c>
      <c r="E292" s="4" t="s">
        <v>261</v>
      </c>
      <c r="F292" s="4" t="s">
        <v>195</v>
      </c>
      <c r="G292" s="4" t="s">
        <v>262</v>
      </c>
      <c r="H292" s="4" t="s">
        <v>249</v>
      </c>
      <c r="I292" s="7">
        <v>0.01</v>
      </c>
      <c r="J292" s="7">
        <v>8.0000000000000002E-3</v>
      </c>
      <c r="K292" s="7">
        <v>7.0000000000000001E-3</v>
      </c>
      <c r="L292" s="7">
        <v>4.0000000000000001E-3</v>
      </c>
      <c r="M292" s="7">
        <v>2E-3</v>
      </c>
      <c r="N292" s="7">
        <v>2E-3</v>
      </c>
      <c r="O292" s="7">
        <v>3.0000000000000001E-3</v>
      </c>
      <c r="P292" s="7">
        <v>4.0000000000000001E-3</v>
      </c>
      <c r="Q292" s="7">
        <v>5.0000000000000001E-3</v>
      </c>
      <c r="R292" s="7">
        <v>8.9999999999999993E-3</v>
      </c>
      <c r="S292" s="7">
        <v>8.0000000000000002E-3</v>
      </c>
      <c r="T292" s="7">
        <v>8.9999999999999993E-3</v>
      </c>
      <c r="U292" s="7">
        <v>6.0000000000000001E-3</v>
      </c>
      <c r="V292" s="7">
        <v>7.0000000000000001E-3</v>
      </c>
      <c r="W292" s="7">
        <v>6.0000000000000001E-3</v>
      </c>
      <c r="X292" s="7">
        <v>4.0000000000000001E-3</v>
      </c>
      <c r="Y292" s="7">
        <v>2E-3</v>
      </c>
      <c r="Z292" s="7">
        <v>2E-3</v>
      </c>
      <c r="AA292" s="7">
        <v>2E-3</v>
      </c>
      <c r="AB292" s="7">
        <v>3.0000000000000001E-3</v>
      </c>
      <c r="AC292" s="7">
        <v>4.0000000000000001E-3</v>
      </c>
      <c r="AD292" s="7">
        <v>6.0000000000000001E-3</v>
      </c>
      <c r="AE292" s="7">
        <v>7.0000000000000001E-3</v>
      </c>
      <c r="AF292" s="7">
        <v>8.0000000000000002E-3</v>
      </c>
      <c r="AG292" s="7">
        <v>7.0000000000000001E-3</v>
      </c>
      <c r="AH292" s="7">
        <v>5.0000000000000001E-3</v>
      </c>
      <c r="AI292" s="7">
        <v>4.0000000000000001E-3</v>
      </c>
      <c r="AJ292" s="7">
        <v>1E-3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7.0000000000000001E-3</v>
      </c>
    </row>
    <row r="293" spans="1:46" x14ac:dyDescent="0.25">
      <c r="A293" s="4" t="s">
        <v>267</v>
      </c>
      <c r="B293" s="4" t="s">
        <v>207</v>
      </c>
      <c r="C293" s="4" t="s">
        <v>246</v>
      </c>
      <c r="D293" s="4" t="s">
        <v>259</v>
      </c>
      <c r="E293" s="4" t="s">
        <v>261</v>
      </c>
      <c r="F293" s="4" t="s">
        <v>195</v>
      </c>
      <c r="G293" s="4" t="s">
        <v>262</v>
      </c>
      <c r="H293" s="4" t="s">
        <v>250</v>
      </c>
      <c r="I293" s="7">
        <v>38.944000000000003</v>
      </c>
      <c r="J293" s="7">
        <v>47.710999999999999</v>
      </c>
      <c r="K293" s="7">
        <v>48.694000000000003</v>
      </c>
      <c r="L293" s="7">
        <v>43.668999999999997</v>
      </c>
      <c r="M293" s="7">
        <v>48.600999999999999</v>
      </c>
      <c r="N293" s="7">
        <v>44.32</v>
      </c>
      <c r="O293" s="7">
        <v>43.8</v>
      </c>
      <c r="P293" s="7">
        <v>43.795999999999999</v>
      </c>
      <c r="Q293" s="7">
        <v>41.405000000000001</v>
      </c>
      <c r="R293" s="7">
        <v>32.298000000000002</v>
      </c>
      <c r="S293" s="7">
        <v>30.513999999999999</v>
      </c>
      <c r="T293" s="7">
        <v>34.762999999999998</v>
      </c>
      <c r="U293" s="7">
        <v>36.749000000000002</v>
      </c>
      <c r="V293" s="7">
        <v>42.728000000000002</v>
      </c>
      <c r="W293" s="7">
        <v>47.779000000000003</v>
      </c>
      <c r="X293" s="7">
        <v>46.265000000000001</v>
      </c>
      <c r="Y293" s="7">
        <v>44.152999999999999</v>
      </c>
      <c r="Z293" s="7">
        <v>40.401000000000003</v>
      </c>
      <c r="AA293" s="7">
        <v>41.405999999999999</v>
      </c>
      <c r="AB293" s="7">
        <v>40.854999999999997</v>
      </c>
      <c r="AC293" s="7">
        <v>40.148000000000003</v>
      </c>
      <c r="AD293" s="7">
        <v>34.072000000000003</v>
      </c>
      <c r="AE293" s="7">
        <v>32.673000000000002</v>
      </c>
      <c r="AF293" s="7">
        <v>32.838000000000001</v>
      </c>
      <c r="AG293" s="7">
        <v>34.088999999999999</v>
      </c>
      <c r="AH293" s="7">
        <v>39.750999999999998</v>
      </c>
      <c r="AI293" s="7">
        <v>36.179000000000002</v>
      </c>
      <c r="AJ293" s="7">
        <v>31.481999999999999</v>
      </c>
      <c r="AK293" s="7">
        <v>25.393999999999998</v>
      </c>
      <c r="AL293" s="7">
        <v>16.398</v>
      </c>
      <c r="AM293" s="7">
        <v>9.76</v>
      </c>
      <c r="AN293" s="7">
        <v>12.733000000000001</v>
      </c>
      <c r="AO293" s="7">
        <v>5.5549999999999997</v>
      </c>
      <c r="AP293" s="7">
        <v>2.7959999999999998</v>
      </c>
      <c r="AQ293" s="7">
        <v>1.758</v>
      </c>
      <c r="AR293" s="7">
        <v>0.79300000000000004</v>
      </c>
      <c r="AS293" s="7">
        <v>1.1339999999999999</v>
      </c>
      <c r="AT293" s="8">
        <v>0</v>
      </c>
    </row>
    <row r="294" spans="1:46" x14ac:dyDescent="0.25">
      <c r="A294" s="4" t="s">
        <v>267</v>
      </c>
      <c r="B294" s="4" t="s">
        <v>207</v>
      </c>
      <c r="C294" s="4" t="s">
        <v>246</v>
      </c>
      <c r="D294" s="4" t="s">
        <v>259</v>
      </c>
      <c r="E294" s="4" t="s">
        <v>261</v>
      </c>
      <c r="F294" s="4" t="s">
        <v>195</v>
      </c>
      <c r="G294" s="4" t="s">
        <v>262</v>
      </c>
      <c r="H294" s="4" t="s">
        <v>251</v>
      </c>
      <c r="I294" s="7">
        <v>24.454503500000001</v>
      </c>
      <c r="J294" s="7">
        <v>28.2371692</v>
      </c>
      <c r="K294" s="7">
        <v>27.998757900000001</v>
      </c>
      <c r="L294" s="7">
        <v>25.055932599999998</v>
      </c>
      <c r="M294" s="7">
        <v>26.5497318</v>
      </c>
      <c r="N294" s="7">
        <v>24.1369443</v>
      </c>
      <c r="O294" s="7">
        <v>25.084195300000001</v>
      </c>
      <c r="P294" s="7">
        <v>25.154317200000001</v>
      </c>
      <c r="Q294" s="7">
        <v>23.169882600000001</v>
      </c>
      <c r="R294" s="7">
        <v>21.777672500000001</v>
      </c>
      <c r="S294" s="7">
        <v>20.820435799999998</v>
      </c>
      <c r="T294" s="7">
        <v>20.081164600000001</v>
      </c>
      <c r="U294" s="7">
        <v>19.8631992</v>
      </c>
      <c r="V294" s="7">
        <v>24.785747799999999</v>
      </c>
      <c r="W294" s="7">
        <v>27.208002499999999</v>
      </c>
      <c r="X294" s="7">
        <v>25.639830499999999</v>
      </c>
      <c r="Y294" s="7">
        <v>25.6725885</v>
      </c>
      <c r="Z294" s="7">
        <v>21.590607599999998</v>
      </c>
      <c r="AA294" s="7">
        <v>22.861428799999999</v>
      </c>
      <c r="AB294" s="7">
        <v>22.7419723</v>
      </c>
      <c r="AC294" s="7">
        <v>24.745062399999998</v>
      </c>
      <c r="AD294" s="7">
        <v>20.646903999999999</v>
      </c>
      <c r="AE294" s="7">
        <v>20.5128725</v>
      </c>
      <c r="AF294" s="7">
        <v>18.8963167</v>
      </c>
      <c r="AG294" s="7">
        <v>20.252361400000002</v>
      </c>
      <c r="AH294" s="7">
        <v>23.764513699999998</v>
      </c>
      <c r="AI294" s="7">
        <v>21.0364231</v>
      </c>
      <c r="AJ294" s="7">
        <v>17.643191399999999</v>
      </c>
      <c r="AK294" s="7">
        <v>12.446391999999999</v>
      </c>
      <c r="AL294" s="7">
        <v>10.575311900000001</v>
      </c>
      <c r="AM294" s="7">
        <v>8.5154002999999996</v>
      </c>
      <c r="AN294" s="7">
        <v>9.3900615999999992</v>
      </c>
      <c r="AO294" s="7">
        <v>5.3882235999999999</v>
      </c>
      <c r="AP294" s="7">
        <v>3.6212203999999999</v>
      </c>
      <c r="AQ294" s="7">
        <v>3.9110187000000001</v>
      </c>
      <c r="AR294" s="7">
        <v>1.7360207000000001</v>
      </c>
      <c r="AS294" s="7">
        <v>1.4534587999999999</v>
      </c>
      <c r="AT294" s="7">
        <v>1.1339999999999999</v>
      </c>
    </row>
    <row r="295" spans="1:46" x14ac:dyDescent="0.25">
      <c r="A295" s="4" t="s">
        <v>267</v>
      </c>
      <c r="B295" s="4" t="s">
        <v>207</v>
      </c>
      <c r="C295" s="4" t="s">
        <v>246</v>
      </c>
      <c r="D295" s="4" t="s">
        <v>259</v>
      </c>
      <c r="E295" s="4" t="s">
        <v>261</v>
      </c>
      <c r="F295" s="4" t="s">
        <v>195</v>
      </c>
      <c r="G295" s="4" t="s">
        <v>262</v>
      </c>
      <c r="H295" s="4" t="s">
        <v>252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7">
        <v>1.4534587999999999</v>
      </c>
    </row>
    <row r="296" spans="1:46" x14ac:dyDescent="0.25">
      <c r="A296" s="4" t="s">
        <v>267</v>
      </c>
      <c r="B296" s="4" t="s">
        <v>207</v>
      </c>
      <c r="C296" s="4" t="s">
        <v>246</v>
      </c>
      <c r="D296" s="4" t="s">
        <v>263</v>
      </c>
      <c r="E296" s="4" t="s">
        <v>248</v>
      </c>
      <c r="F296" s="4" t="s">
        <v>201</v>
      </c>
      <c r="G296" s="4" t="s">
        <v>76</v>
      </c>
      <c r="H296" s="4" t="s">
        <v>151</v>
      </c>
      <c r="I296" s="5">
        <v>233.69399999999999</v>
      </c>
      <c r="J296" s="5">
        <v>870.62199999999996</v>
      </c>
      <c r="K296" s="5">
        <v>1472.0650000000001</v>
      </c>
      <c r="L296" s="5">
        <v>1776.7729999999999</v>
      </c>
      <c r="M296" s="5">
        <v>2687.2130000000002</v>
      </c>
      <c r="N296" s="5">
        <v>1713.039</v>
      </c>
      <c r="O296" s="5">
        <v>1450.7090000000001</v>
      </c>
      <c r="P296" s="5">
        <v>892.89</v>
      </c>
      <c r="Q296" s="5">
        <v>391.142</v>
      </c>
      <c r="R296" s="5">
        <v>126.661</v>
      </c>
      <c r="S296" s="5">
        <v>86.334999999999994</v>
      </c>
      <c r="T296" s="5">
        <v>125.295</v>
      </c>
      <c r="U296" s="5">
        <v>199.8</v>
      </c>
      <c r="V296" s="5">
        <v>587.13400000000001</v>
      </c>
      <c r="W296" s="5">
        <v>1573.636</v>
      </c>
      <c r="X296" s="5">
        <v>2393.1410000000001</v>
      </c>
      <c r="Y296" s="5">
        <v>2910.6770000000001</v>
      </c>
      <c r="Z296" s="5">
        <v>2334.252</v>
      </c>
      <c r="AA296" s="5">
        <v>1962.749</v>
      </c>
      <c r="AB296" s="5">
        <v>1152.0509999999999</v>
      </c>
      <c r="AC296" s="5">
        <v>751.12400000000002</v>
      </c>
      <c r="AD296" s="5">
        <v>391.72800000000001</v>
      </c>
      <c r="AE296" s="5">
        <v>261.15499999999997</v>
      </c>
      <c r="AF296" s="5">
        <v>208.37899999999999</v>
      </c>
      <c r="AG296" s="5">
        <v>194.27600000000001</v>
      </c>
      <c r="AH296" s="5">
        <v>663.97900000000004</v>
      </c>
      <c r="AI296" s="5">
        <v>1462.395</v>
      </c>
      <c r="AJ296" s="5">
        <v>2934.1860000000001</v>
      </c>
      <c r="AK296" s="5">
        <v>3770.2249999999999</v>
      </c>
      <c r="AL296" s="5">
        <v>2569.77</v>
      </c>
      <c r="AM296" s="5">
        <v>2926.0880000000002</v>
      </c>
      <c r="AN296" s="5">
        <v>3197.5079999999998</v>
      </c>
      <c r="AO296" s="5">
        <v>1104.498</v>
      </c>
      <c r="AP296" s="5">
        <v>489.52</v>
      </c>
      <c r="AQ296" s="5">
        <v>222.721</v>
      </c>
      <c r="AR296" s="5">
        <v>167.68799999999999</v>
      </c>
      <c r="AS296" s="5">
        <v>358.25900000000001</v>
      </c>
      <c r="AT296" s="5">
        <v>358.25900000000001</v>
      </c>
    </row>
    <row r="297" spans="1:46" x14ac:dyDescent="0.25">
      <c r="A297" s="4" t="s">
        <v>267</v>
      </c>
      <c r="B297" s="4" t="s">
        <v>207</v>
      </c>
      <c r="C297" s="4" t="s">
        <v>246</v>
      </c>
      <c r="D297" s="4" t="s">
        <v>263</v>
      </c>
      <c r="E297" s="4" t="s">
        <v>248</v>
      </c>
      <c r="F297" s="4" t="s">
        <v>201</v>
      </c>
      <c r="G297" s="4" t="s">
        <v>76</v>
      </c>
      <c r="H297" s="4" t="s">
        <v>205</v>
      </c>
      <c r="I297" s="6">
        <v>59610.409</v>
      </c>
      <c r="J297" s="6">
        <v>211052.261</v>
      </c>
      <c r="K297" s="6">
        <v>401976.99699999997</v>
      </c>
      <c r="L297" s="6">
        <v>513537.29300000001</v>
      </c>
      <c r="M297" s="6">
        <v>750393.67099999997</v>
      </c>
      <c r="N297" s="6">
        <v>436180.61900000001</v>
      </c>
      <c r="O297" s="6">
        <v>370769.87</v>
      </c>
      <c r="P297" s="6">
        <v>211813.42600000001</v>
      </c>
      <c r="Q297" s="6">
        <v>91598.737999999998</v>
      </c>
      <c r="R297" s="6">
        <v>30643.151000000002</v>
      </c>
      <c r="S297" s="6">
        <v>21113.557000000001</v>
      </c>
      <c r="T297" s="6">
        <v>29555.983</v>
      </c>
      <c r="U297" s="6">
        <v>51947.449000000001</v>
      </c>
      <c r="V297" s="6">
        <v>147312.08900000001</v>
      </c>
      <c r="W297" s="6">
        <v>413010.36900000001</v>
      </c>
      <c r="X297" s="6">
        <v>633944.27099999995</v>
      </c>
      <c r="Y297" s="6">
        <v>805476.29799999995</v>
      </c>
      <c r="Z297" s="6">
        <v>650910.25100000005</v>
      </c>
      <c r="AA297" s="6">
        <v>542215.98100000003</v>
      </c>
      <c r="AB297" s="6">
        <v>318513.28399999999</v>
      </c>
      <c r="AC297" s="6">
        <v>208557.85699999999</v>
      </c>
      <c r="AD297" s="6">
        <v>110366.97199999999</v>
      </c>
      <c r="AE297" s="6">
        <v>70131.346000000005</v>
      </c>
      <c r="AF297" s="6">
        <v>63394.872000000003</v>
      </c>
      <c r="AG297" s="6">
        <v>59764.197</v>
      </c>
      <c r="AH297" s="6">
        <v>191401.296</v>
      </c>
      <c r="AI297" s="6">
        <v>439620.76400000002</v>
      </c>
      <c r="AJ297" s="6">
        <v>933158.005</v>
      </c>
      <c r="AK297" s="6">
        <v>1226408.7150000001</v>
      </c>
      <c r="AL297" s="6">
        <v>797019.96</v>
      </c>
      <c r="AM297" s="6">
        <v>898486.45</v>
      </c>
      <c r="AN297" s="6">
        <v>1041703.902</v>
      </c>
      <c r="AO297" s="6">
        <v>336064.24200000003</v>
      </c>
      <c r="AP297" s="6">
        <v>136540.17800000001</v>
      </c>
      <c r="AQ297" s="6">
        <v>59661.775000000001</v>
      </c>
      <c r="AR297" s="6">
        <v>51682.076000000001</v>
      </c>
      <c r="AS297" s="6">
        <v>115758.851</v>
      </c>
      <c r="AT297" s="6">
        <v>115758.851</v>
      </c>
    </row>
    <row r="298" spans="1:46" x14ac:dyDescent="0.25">
      <c r="A298" s="4" t="s">
        <v>267</v>
      </c>
      <c r="B298" s="4" t="s">
        <v>207</v>
      </c>
      <c r="C298" s="4" t="s">
        <v>246</v>
      </c>
      <c r="D298" s="4" t="s">
        <v>263</v>
      </c>
      <c r="E298" s="4" t="s">
        <v>248</v>
      </c>
      <c r="F298" s="4" t="s">
        <v>201</v>
      </c>
      <c r="G298" s="4" t="s">
        <v>76</v>
      </c>
      <c r="H298" s="4" t="s">
        <v>249</v>
      </c>
      <c r="I298" s="7">
        <v>6.5000000000000002E-2</v>
      </c>
      <c r="J298" s="7">
        <v>0.123</v>
      </c>
      <c r="K298" s="7">
        <v>0.125</v>
      </c>
      <c r="L298" s="7">
        <v>0.11700000000000001</v>
      </c>
      <c r="M298" s="7">
        <v>0.114</v>
      </c>
      <c r="N298" s="7">
        <v>8.1000000000000003E-2</v>
      </c>
      <c r="O298" s="7">
        <v>8.2000000000000003E-2</v>
      </c>
      <c r="P298" s="7">
        <v>8.1000000000000003E-2</v>
      </c>
      <c r="Q298" s="7">
        <v>6.8000000000000005E-2</v>
      </c>
      <c r="R298" s="7">
        <v>5.2999999999999999E-2</v>
      </c>
      <c r="S298" s="7">
        <v>4.5999999999999999E-2</v>
      </c>
      <c r="T298" s="7">
        <v>6.0999999999999999E-2</v>
      </c>
      <c r="U298" s="7">
        <v>6.2E-2</v>
      </c>
      <c r="V298" s="7">
        <v>0.10199999999999999</v>
      </c>
      <c r="W298" s="7">
        <v>0.15</v>
      </c>
      <c r="X298" s="7">
        <v>0.14599999999999999</v>
      </c>
      <c r="Y298" s="7">
        <v>0.158</v>
      </c>
      <c r="Z298" s="7">
        <v>0.13400000000000001</v>
      </c>
      <c r="AA298" s="7">
        <v>0.111</v>
      </c>
      <c r="AB298" s="7">
        <v>9.4E-2</v>
      </c>
      <c r="AC298" s="7">
        <v>9.9000000000000005E-2</v>
      </c>
      <c r="AD298" s="7">
        <v>9.1999999999999998E-2</v>
      </c>
      <c r="AE298" s="7">
        <v>0.10199999999999999</v>
      </c>
      <c r="AF298" s="7">
        <v>8.6999999999999994E-2</v>
      </c>
      <c r="AG298" s="7">
        <v>7.4999999999999997E-2</v>
      </c>
      <c r="AH298" s="7">
        <v>0.128</v>
      </c>
      <c r="AI298" s="7">
        <v>0.17899999999999999</v>
      </c>
      <c r="AJ298" s="7">
        <v>0.20399999999999999</v>
      </c>
      <c r="AK298" s="7">
        <v>0.186</v>
      </c>
      <c r="AL298" s="7">
        <v>0.14499999999999999</v>
      </c>
      <c r="AM298" s="7">
        <v>0.14799999999999999</v>
      </c>
      <c r="AN298" s="7">
        <v>0.16</v>
      </c>
      <c r="AO298" s="7">
        <v>0.13300000000000001</v>
      </c>
      <c r="AP298" s="7">
        <v>0.122</v>
      </c>
      <c r="AQ298" s="7">
        <v>9.7000000000000003E-2</v>
      </c>
      <c r="AR298" s="7">
        <v>9.5000000000000001E-2</v>
      </c>
      <c r="AS298" s="7">
        <v>0.15</v>
      </c>
      <c r="AT298" s="7">
        <v>0.184</v>
      </c>
    </row>
    <row r="299" spans="1:46" x14ac:dyDescent="0.25">
      <c r="A299" s="4" t="s">
        <v>267</v>
      </c>
      <c r="B299" s="4" t="s">
        <v>207</v>
      </c>
      <c r="C299" s="4" t="s">
        <v>246</v>
      </c>
      <c r="D299" s="4" t="s">
        <v>263</v>
      </c>
      <c r="E299" s="4" t="s">
        <v>248</v>
      </c>
      <c r="F299" s="4" t="s">
        <v>201</v>
      </c>
      <c r="G299" s="4" t="s">
        <v>76</v>
      </c>
      <c r="H299" s="4" t="s">
        <v>250</v>
      </c>
      <c r="I299" s="7">
        <v>38.997999999999998</v>
      </c>
      <c r="J299" s="7">
        <v>51.19</v>
      </c>
      <c r="K299" s="7">
        <v>62.695</v>
      </c>
      <c r="L299" s="7">
        <v>65.075999999999993</v>
      </c>
      <c r="M299" s="7">
        <v>65.884</v>
      </c>
      <c r="N299" s="7">
        <v>60.012</v>
      </c>
      <c r="O299" s="7">
        <v>58.747</v>
      </c>
      <c r="P299" s="7">
        <v>52.878999999999998</v>
      </c>
      <c r="Q299" s="7">
        <v>46.411999999999999</v>
      </c>
      <c r="R299" s="7">
        <v>33.244</v>
      </c>
      <c r="S299" s="7">
        <v>28.225999999999999</v>
      </c>
      <c r="T299" s="7">
        <v>33.030999999999999</v>
      </c>
      <c r="U299" s="7">
        <v>36.433999999999997</v>
      </c>
      <c r="V299" s="7">
        <v>48.421999999999997</v>
      </c>
      <c r="W299" s="7">
        <v>67.777000000000001</v>
      </c>
      <c r="X299" s="7">
        <v>66.501999999999995</v>
      </c>
      <c r="Y299" s="7">
        <v>68.418999999999997</v>
      </c>
      <c r="Z299" s="7">
        <v>67.427999999999997</v>
      </c>
      <c r="AA299" s="7">
        <v>66.587000000000003</v>
      </c>
      <c r="AB299" s="7">
        <v>65.087999999999994</v>
      </c>
      <c r="AC299" s="7">
        <v>62.484000000000002</v>
      </c>
      <c r="AD299" s="7">
        <v>48.603999999999999</v>
      </c>
      <c r="AE299" s="7">
        <v>36.911000000000001</v>
      </c>
      <c r="AF299" s="7">
        <v>42.469000000000001</v>
      </c>
      <c r="AG299" s="7">
        <v>39.896000000000001</v>
      </c>
      <c r="AH299" s="7">
        <v>67.731999999999999</v>
      </c>
      <c r="AI299" s="7">
        <v>76.566999999999993</v>
      </c>
      <c r="AJ299" s="7">
        <v>79.697999999999993</v>
      </c>
      <c r="AK299" s="7">
        <v>80.900999999999996</v>
      </c>
      <c r="AL299" s="7">
        <v>80.094999999999999</v>
      </c>
      <c r="AM299" s="7">
        <v>80.328999999999994</v>
      </c>
      <c r="AN299" s="7">
        <v>84.68</v>
      </c>
      <c r="AO299" s="7">
        <v>71.082999999999998</v>
      </c>
      <c r="AP299" s="7">
        <v>58.514000000000003</v>
      </c>
      <c r="AQ299" s="7">
        <v>41.393999999999998</v>
      </c>
      <c r="AR299" s="7">
        <v>38.585000000000001</v>
      </c>
      <c r="AS299" s="7">
        <v>51.067</v>
      </c>
      <c r="AT299" s="8">
        <v>0</v>
      </c>
    </row>
    <row r="300" spans="1:46" x14ac:dyDescent="0.25">
      <c r="A300" s="4" t="s">
        <v>267</v>
      </c>
      <c r="B300" s="4" t="s">
        <v>207</v>
      </c>
      <c r="C300" s="4" t="s">
        <v>246</v>
      </c>
      <c r="D300" s="4" t="s">
        <v>263</v>
      </c>
      <c r="E300" s="4" t="s">
        <v>248</v>
      </c>
      <c r="F300" s="4" t="s">
        <v>201</v>
      </c>
      <c r="G300" s="4" t="s">
        <v>76</v>
      </c>
      <c r="H300" s="4" t="s">
        <v>251</v>
      </c>
      <c r="I300" s="7">
        <v>23.769751299999999</v>
      </c>
      <c r="J300" s="7">
        <v>33.082709100000002</v>
      </c>
      <c r="K300" s="7">
        <v>41.231581400000003</v>
      </c>
      <c r="L300" s="7">
        <v>43.7910094</v>
      </c>
      <c r="M300" s="7">
        <v>46.351748600000001</v>
      </c>
      <c r="N300" s="7">
        <v>40.580231900000001</v>
      </c>
      <c r="O300" s="7">
        <v>42.870851399999999</v>
      </c>
      <c r="P300" s="7">
        <v>36.453112300000001</v>
      </c>
      <c r="Q300" s="7">
        <v>28.693897199999999</v>
      </c>
      <c r="R300" s="7">
        <v>18.871808399999999</v>
      </c>
      <c r="S300" s="7">
        <v>13.299158800000001</v>
      </c>
      <c r="T300" s="7">
        <v>20.046986799999999</v>
      </c>
      <c r="U300" s="7">
        <v>21.093976000000001</v>
      </c>
      <c r="V300" s="7">
        <v>29.627095300000001</v>
      </c>
      <c r="W300" s="7">
        <v>45.029354300000001</v>
      </c>
      <c r="X300" s="7">
        <v>45.909023900000001</v>
      </c>
      <c r="Y300" s="7">
        <v>49.930414300000002</v>
      </c>
      <c r="Z300" s="7">
        <v>48.623181899999999</v>
      </c>
      <c r="AA300" s="7">
        <v>47.700694900000002</v>
      </c>
      <c r="AB300" s="7">
        <v>46.994754399999998</v>
      </c>
      <c r="AC300" s="7">
        <v>43.167672699999997</v>
      </c>
      <c r="AD300" s="7">
        <v>29.715987699999999</v>
      </c>
      <c r="AE300" s="7">
        <v>24.0495047</v>
      </c>
      <c r="AF300" s="7">
        <v>27.227519399999998</v>
      </c>
      <c r="AG300" s="7">
        <v>26.091282700000001</v>
      </c>
      <c r="AH300" s="7">
        <v>51.416390100000001</v>
      </c>
      <c r="AI300" s="7">
        <v>61.876294999999999</v>
      </c>
      <c r="AJ300" s="7">
        <v>65.704813900000005</v>
      </c>
      <c r="AK300" s="7">
        <v>65.907780500000001</v>
      </c>
      <c r="AL300" s="7">
        <v>64.263304599999998</v>
      </c>
      <c r="AM300" s="7">
        <v>63.427041799999998</v>
      </c>
      <c r="AN300" s="7">
        <v>65.004964700000002</v>
      </c>
      <c r="AO300" s="7">
        <v>54.736748200000001</v>
      </c>
      <c r="AP300" s="7">
        <v>39.628407099999997</v>
      </c>
      <c r="AQ300" s="7">
        <v>26.2407009</v>
      </c>
      <c r="AR300" s="7">
        <v>23.463766400000001</v>
      </c>
      <c r="AS300" s="7">
        <v>34.370230800000002</v>
      </c>
      <c r="AT300" s="7">
        <v>51.067</v>
      </c>
    </row>
    <row r="301" spans="1:46" x14ac:dyDescent="0.25">
      <c r="A301" s="4" t="s">
        <v>267</v>
      </c>
      <c r="B301" s="4" t="s">
        <v>207</v>
      </c>
      <c r="C301" s="4" t="s">
        <v>246</v>
      </c>
      <c r="D301" s="4" t="s">
        <v>263</v>
      </c>
      <c r="E301" s="4" t="s">
        <v>248</v>
      </c>
      <c r="F301" s="4" t="s">
        <v>201</v>
      </c>
      <c r="G301" s="4" t="s">
        <v>76</v>
      </c>
      <c r="H301" s="4" t="s">
        <v>252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7">
        <v>34.370230800000002</v>
      </c>
    </row>
    <row r="302" spans="1:46" x14ac:dyDescent="0.25">
      <c r="A302" s="4" t="s">
        <v>267</v>
      </c>
      <c r="B302" s="4" t="s">
        <v>207</v>
      </c>
      <c r="C302" s="4" t="s">
        <v>246</v>
      </c>
      <c r="D302" s="4" t="s">
        <v>263</v>
      </c>
      <c r="E302" s="4" t="s">
        <v>248</v>
      </c>
      <c r="F302" s="4" t="s">
        <v>201</v>
      </c>
      <c r="G302" s="4" t="s">
        <v>85</v>
      </c>
      <c r="H302" s="4" t="s">
        <v>151</v>
      </c>
      <c r="I302" s="5">
        <v>1998.356</v>
      </c>
      <c r="J302" s="5">
        <v>7530.4840000000004</v>
      </c>
      <c r="K302" s="5">
        <v>13056.644</v>
      </c>
      <c r="L302" s="5">
        <v>19564.544999999998</v>
      </c>
      <c r="M302" s="5">
        <v>34636.065000000002</v>
      </c>
      <c r="N302" s="5">
        <v>26238.199000000001</v>
      </c>
      <c r="O302" s="5">
        <v>29731.871999999999</v>
      </c>
      <c r="P302" s="5">
        <v>16449.544000000002</v>
      </c>
      <c r="Q302" s="5">
        <v>7339.9629999999997</v>
      </c>
      <c r="R302" s="5">
        <v>1904.0360000000001</v>
      </c>
      <c r="S302" s="5">
        <v>1087.3710000000001</v>
      </c>
      <c r="T302" s="5">
        <v>1334.4090000000001</v>
      </c>
      <c r="U302" s="5">
        <v>2817.511</v>
      </c>
      <c r="V302" s="5">
        <v>7248.2489999999998</v>
      </c>
      <c r="W302" s="5">
        <v>15411.732</v>
      </c>
      <c r="X302" s="5">
        <v>23083.815999999999</v>
      </c>
      <c r="Y302" s="5">
        <v>26771.213</v>
      </c>
      <c r="Z302" s="5">
        <v>23218.027999999998</v>
      </c>
      <c r="AA302" s="5">
        <v>20607.862000000001</v>
      </c>
      <c r="AB302" s="5">
        <v>12042.752</v>
      </c>
      <c r="AC302" s="5">
        <v>8085.6880000000001</v>
      </c>
      <c r="AD302" s="5">
        <v>4089.8159999999998</v>
      </c>
      <c r="AE302" s="5">
        <v>1865.8789999999999</v>
      </c>
      <c r="AF302" s="5">
        <v>1956.4059999999999</v>
      </c>
      <c r="AG302" s="5">
        <v>2139.4180000000001</v>
      </c>
      <c r="AH302" s="5">
        <v>5922.6289999999999</v>
      </c>
      <c r="AI302" s="5">
        <v>10947.297</v>
      </c>
      <c r="AJ302" s="5">
        <v>19547.814999999999</v>
      </c>
      <c r="AK302" s="5">
        <v>24090.014999999999</v>
      </c>
      <c r="AL302" s="5">
        <v>19286.079000000002</v>
      </c>
      <c r="AM302" s="5">
        <v>19480.446</v>
      </c>
      <c r="AN302" s="5">
        <v>18099.727999999999</v>
      </c>
      <c r="AO302" s="5">
        <v>6747.4719999999998</v>
      </c>
      <c r="AP302" s="5">
        <v>3022.3760000000002</v>
      </c>
      <c r="AQ302" s="5">
        <v>1375.694</v>
      </c>
      <c r="AR302" s="5">
        <v>1163.7380000000001</v>
      </c>
      <c r="AS302" s="5">
        <v>1990.739</v>
      </c>
      <c r="AT302" s="5">
        <v>35083.978000000003</v>
      </c>
    </row>
    <row r="303" spans="1:46" x14ac:dyDescent="0.25">
      <c r="A303" s="4" t="s">
        <v>267</v>
      </c>
      <c r="B303" s="4" t="s">
        <v>207</v>
      </c>
      <c r="C303" s="4" t="s">
        <v>246</v>
      </c>
      <c r="D303" s="4" t="s">
        <v>263</v>
      </c>
      <c r="E303" s="4" t="s">
        <v>248</v>
      </c>
      <c r="F303" s="4" t="s">
        <v>201</v>
      </c>
      <c r="G303" s="4" t="s">
        <v>85</v>
      </c>
      <c r="H303" s="4" t="s">
        <v>205</v>
      </c>
      <c r="I303" s="6">
        <v>289067.304</v>
      </c>
      <c r="J303" s="6">
        <v>983751.52899999998</v>
      </c>
      <c r="K303" s="6">
        <v>1796927.1880000001</v>
      </c>
      <c r="L303" s="6">
        <v>2412495.8640000001</v>
      </c>
      <c r="M303" s="6">
        <v>3947826.568</v>
      </c>
      <c r="N303" s="6">
        <v>2980847.5129999998</v>
      </c>
      <c r="O303" s="6">
        <v>3471780.5890000002</v>
      </c>
      <c r="P303" s="6">
        <v>2004072.79</v>
      </c>
      <c r="Q303" s="6">
        <v>906623.65</v>
      </c>
      <c r="R303" s="6">
        <v>264995.01899999997</v>
      </c>
      <c r="S303" s="6">
        <v>161702.85</v>
      </c>
      <c r="T303" s="6">
        <v>187560.92300000001</v>
      </c>
      <c r="U303" s="6">
        <v>378048.14500000002</v>
      </c>
      <c r="V303" s="6">
        <v>901921.10400000005</v>
      </c>
      <c r="W303" s="6">
        <v>2038626.0260000001</v>
      </c>
      <c r="X303" s="6">
        <v>3112731.3659999999</v>
      </c>
      <c r="Y303" s="6">
        <v>3778625.162</v>
      </c>
      <c r="Z303" s="6">
        <v>3412248.4449999998</v>
      </c>
      <c r="AA303" s="6">
        <v>3062729.1910000001</v>
      </c>
      <c r="AB303" s="6">
        <v>1883391.3470000001</v>
      </c>
      <c r="AC303" s="6">
        <v>1231726.774</v>
      </c>
      <c r="AD303" s="6">
        <v>631367.93799999997</v>
      </c>
      <c r="AE303" s="6">
        <v>303366.95799999998</v>
      </c>
      <c r="AF303" s="6">
        <v>319305.62</v>
      </c>
      <c r="AG303" s="6">
        <v>347758.12</v>
      </c>
      <c r="AH303" s="6">
        <v>955420.73100000003</v>
      </c>
      <c r="AI303" s="6">
        <v>1794585.5260000001</v>
      </c>
      <c r="AJ303" s="6">
        <v>3222899.4959999998</v>
      </c>
      <c r="AK303" s="6">
        <v>4047795.946</v>
      </c>
      <c r="AL303" s="6">
        <v>3264153.105</v>
      </c>
      <c r="AM303" s="6">
        <v>3315902.591</v>
      </c>
      <c r="AN303" s="6">
        <v>3129925.108</v>
      </c>
      <c r="AO303" s="6">
        <v>1160284.99</v>
      </c>
      <c r="AP303" s="6">
        <v>523946.70699999999</v>
      </c>
      <c r="AQ303" s="6">
        <v>248012.52</v>
      </c>
      <c r="AR303" s="6">
        <v>208659.71900000001</v>
      </c>
      <c r="AS303" s="6">
        <v>342856.565</v>
      </c>
      <c r="AT303" s="6">
        <v>342856.565</v>
      </c>
    </row>
    <row r="304" spans="1:46" x14ac:dyDescent="0.25">
      <c r="A304" s="4" t="s">
        <v>267</v>
      </c>
      <c r="B304" s="4" t="s">
        <v>207</v>
      </c>
      <c r="C304" s="4" t="s">
        <v>246</v>
      </c>
      <c r="D304" s="4" t="s">
        <v>263</v>
      </c>
      <c r="E304" s="4" t="s">
        <v>248</v>
      </c>
      <c r="F304" s="4" t="s">
        <v>201</v>
      </c>
      <c r="G304" s="4" t="s">
        <v>85</v>
      </c>
      <c r="H304" s="4" t="s">
        <v>249</v>
      </c>
      <c r="I304" s="7">
        <v>0.24399999999999999</v>
      </c>
      <c r="J304" s="7">
        <v>0.434</v>
      </c>
      <c r="K304" s="7">
        <v>0.45600000000000002</v>
      </c>
      <c r="L304" s="7">
        <v>0.502</v>
      </c>
      <c r="M304" s="7">
        <v>0.55200000000000005</v>
      </c>
      <c r="N304" s="7">
        <v>0.46200000000000002</v>
      </c>
      <c r="O304" s="7">
        <v>0.66</v>
      </c>
      <c r="P304" s="7">
        <v>0.59399999999999997</v>
      </c>
      <c r="Q304" s="7">
        <v>0.52400000000000002</v>
      </c>
      <c r="R304" s="7">
        <v>0.33900000000000002</v>
      </c>
      <c r="S304" s="7">
        <v>0.25600000000000001</v>
      </c>
      <c r="T304" s="7">
        <v>0.28000000000000003</v>
      </c>
      <c r="U304" s="7">
        <v>0.35599999999999998</v>
      </c>
      <c r="V304" s="7">
        <v>0.48699999999999999</v>
      </c>
      <c r="W304" s="7">
        <v>0.57799999999999996</v>
      </c>
      <c r="X304" s="7">
        <v>0.55200000000000005</v>
      </c>
      <c r="Y304" s="7">
        <v>0.56299999999999994</v>
      </c>
      <c r="Z304" s="7">
        <v>0.53200000000000003</v>
      </c>
      <c r="AA304" s="7">
        <v>0.46200000000000002</v>
      </c>
      <c r="AB304" s="7">
        <v>0.40699999999999997</v>
      </c>
      <c r="AC304" s="7">
        <v>0.45300000000000001</v>
      </c>
      <c r="AD304" s="7">
        <v>0.41199999999999998</v>
      </c>
      <c r="AE304" s="7">
        <v>0.31900000000000001</v>
      </c>
      <c r="AF304" s="7">
        <v>0.35399999999999998</v>
      </c>
      <c r="AG304" s="7">
        <v>0.34300000000000003</v>
      </c>
      <c r="AH304" s="7">
        <v>0.46400000000000002</v>
      </c>
      <c r="AI304" s="7">
        <v>0.56000000000000005</v>
      </c>
      <c r="AJ304" s="7">
        <v>0.56599999999999995</v>
      </c>
      <c r="AK304" s="7">
        <v>0.48299999999999998</v>
      </c>
      <c r="AL304" s="7">
        <v>0.44800000000000001</v>
      </c>
      <c r="AM304" s="7">
        <v>0.40600000000000003</v>
      </c>
      <c r="AN304" s="7">
        <v>0.371</v>
      </c>
      <c r="AO304" s="7">
        <v>0.32800000000000001</v>
      </c>
      <c r="AP304" s="7">
        <v>0.307</v>
      </c>
      <c r="AQ304" s="7">
        <v>0.26200000000000001</v>
      </c>
      <c r="AR304" s="7">
        <v>0.28100000000000003</v>
      </c>
      <c r="AS304" s="7">
        <v>0.32700000000000001</v>
      </c>
      <c r="AT304" s="7">
        <v>18.010000000000002</v>
      </c>
    </row>
    <row r="305" spans="1:46" x14ac:dyDescent="0.25">
      <c r="A305" s="4" t="s">
        <v>267</v>
      </c>
      <c r="B305" s="4" t="s">
        <v>207</v>
      </c>
      <c r="C305" s="4" t="s">
        <v>246</v>
      </c>
      <c r="D305" s="4" t="s">
        <v>263</v>
      </c>
      <c r="E305" s="4" t="s">
        <v>248</v>
      </c>
      <c r="F305" s="4" t="s">
        <v>201</v>
      </c>
      <c r="G305" s="4" t="s">
        <v>85</v>
      </c>
      <c r="H305" s="4" t="s">
        <v>250</v>
      </c>
      <c r="I305" s="7">
        <v>90.513000000000005</v>
      </c>
      <c r="J305" s="7">
        <v>98.320999999999998</v>
      </c>
      <c r="K305" s="7">
        <v>98.85</v>
      </c>
      <c r="L305" s="7">
        <v>98.831999999999994</v>
      </c>
      <c r="M305" s="7">
        <v>99.528000000000006</v>
      </c>
      <c r="N305" s="7">
        <v>99.412000000000006</v>
      </c>
      <c r="O305" s="7">
        <v>99.521000000000001</v>
      </c>
      <c r="P305" s="7">
        <v>99.581999999999994</v>
      </c>
      <c r="Q305" s="7">
        <v>98.852999999999994</v>
      </c>
      <c r="R305" s="7">
        <v>93.549000000000007</v>
      </c>
      <c r="S305" s="7">
        <v>86.463999999999999</v>
      </c>
      <c r="T305" s="7">
        <v>93.484999999999999</v>
      </c>
      <c r="U305" s="7">
        <v>96.581999999999994</v>
      </c>
      <c r="V305" s="7">
        <v>98.504000000000005</v>
      </c>
      <c r="W305" s="7">
        <v>98.938000000000002</v>
      </c>
      <c r="X305" s="7">
        <v>98.593999999999994</v>
      </c>
      <c r="Y305" s="7">
        <v>98.965999999999994</v>
      </c>
      <c r="Z305" s="7">
        <v>98.593999999999994</v>
      </c>
      <c r="AA305" s="7">
        <v>97.738</v>
      </c>
      <c r="AB305" s="7">
        <v>98.644999999999996</v>
      </c>
      <c r="AC305" s="7">
        <v>97.426000000000002</v>
      </c>
      <c r="AD305" s="7">
        <v>94.67</v>
      </c>
      <c r="AE305" s="7">
        <v>88.849000000000004</v>
      </c>
      <c r="AF305" s="7">
        <v>92.028000000000006</v>
      </c>
      <c r="AG305" s="7">
        <v>93.974999999999994</v>
      </c>
      <c r="AH305" s="7">
        <v>98.161000000000001</v>
      </c>
      <c r="AI305" s="7">
        <v>98.959000000000003</v>
      </c>
      <c r="AJ305" s="7">
        <v>99.424999999999997</v>
      </c>
      <c r="AK305" s="7">
        <v>99.281000000000006</v>
      </c>
      <c r="AL305" s="7">
        <v>98.843000000000004</v>
      </c>
      <c r="AM305" s="7">
        <v>97.974000000000004</v>
      </c>
      <c r="AN305" s="7">
        <v>97.962000000000003</v>
      </c>
      <c r="AO305" s="7">
        <v>95.003</v>
      </c>
      <c r="AP305" s="7">
        <v>93.701999999999998</v>
      </c>
      <c r="AQ305" s="7">
        <v>89.11</v>
      </c>
      <c r="AR305" s="7">
        <v>85.858999999999995</v>
      </c>
      <c r="AS305" s="7">
        <v>91.442999999999998</v>
      </c>
      <c r="AT305" s="8">
        <v>0</v>
      </c>
    </row>
    <row r="306" spans="1:46" x14ac:dyDescent="0.25">
      <c r="A306" s="4" t="s">
        <v>267</v>
      </c>
      <c r="B306" s="4" t="s">
        <v>207</v>
      </c>
      <c r="C306" s="4" t="s">
        <v>246</v>
      </c>
      <c r="D306" s="4" t="s">
        <v>263</v>
      </c>
      <c r="E306" s="4" t="s">
        <v>248</v>
      </c>
      <c r="F306" s="4" t="s">
        <v>201</v>
      </c>
      <c r="G306" s="4" t="s">
        <v>85</v>
      </c>
      <c r="H306" s="4" t="s">
        <v>251</v>
      </c>
      <c r="I306" s="7">
        <v>81.983040099999997</v>
      </c>
      <c r="J306" s="7">
        <v>92.272799300000003</v>
      </c>
      <c r="K306" s="7">
        <v>94.099836999999994</v>
      </c>
      <c r="L306" s="7">
        <v>94.516409999999993</v>
      </c>
      <c r="M306" s="7">
        <v>94.395824399999995</v>
      </c>
      <c r="N306" s="7">
        <v>94.410291400000006</v>
      </c>
      <c r="O306" s="7">
        <v>96.411666499999995</v>
      </c>
      <c r="P306" s="7">
        <v>96.707797299999996</v>
      </c>
      <c r="Q306" s="7">
        <v>95.501347999999993</v>
      </c>
      <c r="R306" s="7">
        <v>85.606680699999998</v>
      </c>
      <c r="S306" s="7">
        <v>74.666613299999995</v>
      </c>
      <c r="T306" s="7">
        <v>85.939982499999999</v>
      </c>
      <c r="U306" s="7">
        <v>90.222093700000002</v>
      </c>
      <c r="V306" s="7">
        <v>94.064455199999998</v>
      </c>
      <c r="W306" s="7">
        <v>94.071895100000006</v>
      </c>
      <c r="X306" s="7">
        <v>91.764521900000005</v>
      </c>
      <c r="Y306" s="7">
        <v>92.865791599999994</v>
      </c>
      <c r="Z306" s="7">
        <v>94.460657499999996</v>
      </c>
      <c r="AA306" s="7">
        <v>92.509200399999997</v>
      </c>
      <c r="AB306" s="7">
        <v>93.079864999999998</v>
      </c>
      <c r="AC306" s="7">
        <v>91.778702499999994</v>
      </c>
      <c r="AD306" s="7">
        <v>88.402634800000001</v>
      </c>
      <c r="AE306" s="7">
        <v>80.106660300000001</v>
      </c>
      <c r="AF306" s="7">
        <v>83.413724700000003</v>
      </c>
      <c r="AG306" s="7">
        <v>87.273199199999993</v>
      </c>
      <c r="AH306" s="7">
        <v>92.711016400000005</v>
      </c>
      <c r="AI306" s="7">
        <v>94.692775400000002</v>
      </c>
      <c r="AJ306" s="7">
        <v>93.158847800000004</v>
      </c>
      <c r="AK306" s="7">
        <v>92.451773399999993</v>
      </c>
      <c r="AL306" s="7">
        <v>92.320838600000002</v>
      </c>
      <c r="AM306" s="7">
        <v>91.215803399999999</v>
      </c>
      <c r="AN306" s="7">
        <v>91.4556185</v>
      </c>
      <c r="AO306" s="7">
        <v>87.614304300000001</v>
      </c>
      <c r="AP306" s="7">
        <v>84.224292800000001</v>
      </c>
      <c r="AQ306" s="7">
        <v>72.594653600000001</v>
      </c>
      <c r="AR306" s="7">
        <v>69.005665199999996</v>
      </c>
      <c r="AS306" s="7">
        <v>79.031240600000004</v>
      </c>
      <c r="AT306" s="7">
        <v>91.442999999999998</v>
      </c>
    </row>
    <row r="307" spans="1:46" x14ac:dyDescent="0.25">
      <c r="A307" s="4" t="s">
        <v>267</v>
      </c>
      <c r="B307" s="4" t="s">
        <v>207</v>
      </c>
      <c r="C307" s="4" t="s">
        <v>246</v>
      </c>
      <c r="D307" s="4" t="s">
        <v>263</v>
      </c>
      <c r="E307" s="4" t="s">
        <v>248</v>
      </c>
      <c r="F307" s="4" t="s">
        <v>201</v>
      </c>
      <c r="G307" s="4" t="s">
        <v>85</v>
      </c>
      <c r="H307" s="4" t="s">
        <v>252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7">
        <v>79.031240600000004</v>
      </c>
    </row>
    <row r="308" spans="1:46" x14ac:dyDescent="0.25">
      <c r="A308" s="4" t="s">
        <v>267</v>
      </c>
      <c r="B308" s="4" t="s">
        <v>207</v>
      </c>
      <c r="C308" s="4" t="s">
        <v>246</v>
      </c>
      <c r="D308" s="4" t="s">
        <v>263</v>
      </c>
      <c r="E308" s="4" t="s">
        <v>248</v>
      </c>
      <c r="F308" s="4" t="s">
        <v>195</v>
      </c>
      <c r="G308" s="4" t="s">
        <v>264</v>
      </c>
      <c r="H308" s="4" t="s">
        <v>151</v>
      </c>
      <c r="I308" s="5">
        <v>207.08799999999999</v>
      </c>
      <c r="J308" s="5">
        <v>203.49299999999999</v>
      </c>
      <c r="K308" s="5">
        <v>186.678</v>
      </c>
      <c r="L308" s="5">
        <v>181.07400000000001</v>
      </c>
      <c r="M308" s="5">
        <v>180.453</v>
      </c>
      <c r="N308" s="5">
        <v>195.97300000000001</v>
      </c>
      <c r="O308" s="5">
        <v>192.71799999999999</v>
      </c>
      <c r="P308" s="5">
        <v>182.62799999999999</v>
      </c>
      <c r="Q308" s="5">
        <v>197.512</v>
      </c>
      <c r="R308" s="5">
        <v>197.512</v>
      </c>
      <c r="S308" s="5">
        <v>197.512</v>
      </c>
      <c r="T308" s="5">
        <v>166.34100000000001</v>
      </c>
      <c r="U308" s="5">
        <v>166.34100000000001</v>
      </c>
      <c r="V308" s="5">
        <v>166.34100000000001</v>
      </c>
      <c r="W308" s="5">
        <v>166.72399999999999</v>
      </c>
      <c r="X308" s="5">
        <v>188.024</v>
      </c>
      <c r="Y308" s="5">
        <v>193.47800000000001</v>
      </c>
      <c r="Z308" s="5">
        <v>187.83600000000001</v>
      </c>
      <c r="AA308" s="5">
        <v>228.94200000000001</v>
      </c>
      <c r="AB308" s="5">
        <v>192.36500000000001</v>
      </c>
      <c r="AC308" s="5">
        <v>200.77099999999999</v>
      </c>
      <c r="AD308" s="5">
        <v>176.61699999999999</v>
      </c>
      <c r="AE308" s="5">
        <v>188.39699999999999</v>
      </c>
      <c r="AF308" s="5">
        <v>188.94399999999999</v>
      </c>
      <c r="AG308" s="5">
        <v>189.15199999999999</v>
      </c>
      <c r="AH308" s="5">
        <v>202.44900000000001</v>
      </c>
      <c r="AI308" s="5">
        <v>208.988</v>
      </c>
      <c r="AJ308" s="5">
        <v>243.55600000000001</v>
      </c>
      <c r="AK308" s="5">
        <v>253.886</v>
      </c>
      <c r="AL308" s="5">
        <v>239.608</v>
      </c>
      <c r="AM308" s="5">
        <v>240.16</v>
      </c>
      <c r="AN308" s="5">
        <v>204.23099999999999</v>
      </c>
      <c r="AO308" s="5">
        <v>185.46199999999999</v>
      </c>
      <c r="AP308" s="5">
        <v>179.49100000000001</v>
      </c>
      <c r="AQ308" s="5">
        <v>149.13</v>
      </c>
      <c r="AR308" s="5">
        <v>101.408</v>
      </c>
      <c r="AS308" s="5">
        <v>1.696</v>
      </c>
      <c r="AT308" s="5">
        <v>1.696</v>
      </c>
    </row>
    <row r="309" spans="1:46" x14ac:dyDescent="0.25">
      <c r="A309" s="4" t="s">
        <v>267</v>
      </c>
      <c r="B309" s="4" t="s">
        <v>207</v>
      </c>
      <c r="C309" s="4" t="s">
        <v>246</v>
      </c>
      <c r="D309" s="4" t="s">
        <v>263</v>
      </c>
      <c r="E309" s="4" t="s">
        <v>248</v>
      </c>
      <c r="F309" s="4" t="s">
        <v>195</v>
      </c>
      <c r="G309" s="4" t="s">
        <v>264</v>
      </c>
      <c r="H309" s="4" t="s">
        <v>205</v>
      </c>
      <c r="I309" s="6">
        <v>91782.892000000007</v>
      </c>
      <c r="J309" s="6">
        <v>93468.811000000002</v>
      </c>
      <c r="K309" s="6">
        <v>85555.820999999996</v>
      </c>
      <c r="L309" s="6">
        <v>83227.835999999996</v>
      </c>
      <c r="M309" s="6">
        <v>82667.960000000006</v>
      </c>
      <c r="N309" s="6">
        <v>91074.085999999996</v>
      </c>
      <c r="O309" s="6">
        <v>87944.732000000004</v>
      </c>
      <c r="P309" s="6">
        <v>84023.74</v>
      </c>
      <c r="Q309" s="6">
        <v>90053.183999999994</v>
      </c>
      <c r="R309" s="6">
        <v>90053.183999999994</v>
      </c>
      <c r="S309" s="6">
        <v>90053.183999999994</v>
      </c>
      <c r="T309" s="6">
        <v>75841.225999999995</v>
      </c>
      <c r="U309" s="6">
        <v>75841.225999999995</v>
      </c>
      <c r="V309" s="6">
        <v>75841.225999999995</v>
      </c>
      <c r="W309" s="6">
        <v>76015.660999999993</v>
      </c>
      <c r="X309" s="6">
        <v>85979.474000000002</v>
      </c>
      <c r="Y309" s="6">
        <v>88213.34</v>
      </c>
      <c r="Z309" s="6">
        <v>85009.686000000002</v>
      </c>
      <c r="AA309" s="6">
        <v>104473.084</v>
      </c>
      <c r="AB309" s="6">
        <v>87706.16</v>
      </c>
      <c r="AC309" s="6">
        <v>92038.475000000006</v>
      </c>
      <c r="AD309" s="6">
        <v>80526.421000000002</v>
      </c>
      <c r="AE309" s="6">
        <v>85897.532999999996</v>
      </c>
      <c r="AF309" s="6">
        <v>86146.595000000001</v>
      </c>
      <c r="AG309" s="6">
        <v>86241.356</v>
      </c>
      <c r="AH309" s="6">
        <v>92304.123000000007</v>
      </c>
      <c r="AI309" s="6">
        <v>95285.546000000002</v>
      </c>
      <c r="AJ309" s="6">
        <v>110549.08</v>
      </c>
      <c r="AK309" s="6">
        <v>115576.985</v>
      </c>
      <c r="AL309" s="6">
        <v>109127.57</v>
      </c>
      <c r="AM309" s="6">
        <v>109362.037</v>
      </c>
      <c r="AN309" s="6">
        <v>93001.475999999995</v>
      </c>
      <c r="AO309" s="6">
        <v>84454.64</v>
      </c>
      <c r="AP309" s="6">
        <v>81735.127999999997</v>
      </c>
      <c r="AQ309" s="6">
        <v>67909.630999999994</v>
      </c>
      <c r="AR309" s="6">
        <v>46178.324000000001</v>
      </c>
      <c r="AS309" s="6">
        <v>720.61800000000005</v>
      </c>
      <c r="AT309" s="6">
        <v>720.61800000000005</v>
      </c>
    </row>
    <row r="310" spans="1:46" x14ac:dyDescent="0.25">
      <c r="A310" s="4" t="s">
        <v>267</v>
      </c>
      <c r="B310" s="4" t="s">
        <v>207</v>
      </c>
      <c r="C310" s="4" t="s">
        <v>246</v>
      </c>
      <c r="D310" s="4" t="s">
        <v>263</v>
      </c>
      <c r="E310" s="4" t="s">
        <v>248</v>
      </c>
      <c r="F310" s="4" t="s">
        <v>195</v>
      </c>
      <c r="G310" s="4" t="s">
        <v>264</v>
      </c>
      <c r="H310" s="4" t="s">
        <v>249</v>
      </c>
      <c r="I310" s="7">
        <v>0.37</v>
      </c>
      <c r="J310" s="7">
        <v>0.186</v>
      </c>
      <c r="K310" s="7">
        <v>0.10199999999999999</v>
      </c>
      <c r="L310" s="7">
        <v>7.6999999999999999E-2</v>
      </c>
      <c r="M310" s="7">
        <v>4.9000000000000002E-2</v>
      </c>
      <c r="N310" s="7">
        <v>0.06</v>
      </c>
      <c r="O310" s="7">
        <v>7.0999999999999994E-2</v>
      </c>
      <c r="P310" s="7">
        <v>0.107</v>
      </c>
      <c r="Q310" s="7">
        <v>0.223</v>
      </c>
      <c r="R310" s="7">
        <v>0.53</v>
      </c>
      <c r="S310" s="7">
        <v>0.68200000000000005</v>
      </c>
      <c r="T310" s="7">
        <v>0.52300000000000002</v>
      </c>
      <c r="U310" s="7">
        <v>0.33500000000000002</v>
      </c>
      <c r="V310" s="7">
        <v>0.186</v>
      </c>
      <c r="W310" s="7">
        <v>0.10299999999999999</v>
      </c>
      <c r="X310" s="7">
        <v>7.3999999999999996E-2</v>
      </c>
      <c r="Y310" s="7">
        <v>6.8000000000000005E-2</v>
      </c>
      <c r="Z310" s="7">
        <v>7.0000000000000007E-2</v>
      </c>
      <c r="AA310" s="7">
        <v>8.4000000000000005E-2</v>
      </c>
      <c r="AB310" s="7">
        <v>0.10100000000000001</v>
      </c>
      <c r="AC310" s="7">
        <v>0.17100000000000001</v>
      </c>
      <c r="AD310" s="7">
        <v>0.26900000000000002</v>
      </c>
      <c r="AE310" s="7">
        <v>0.47399999999999998</v>
      </c>
      <c r="AF310" s="7">
        <v>0.51200000000000001</v>
      </c>
      <c r="AG310" s="7">
        <v>0.47399999999999998</v>
      </c>
      <c r="AH310" s="7">
        <v>0.251</v>
      </c>
      <c r="AI310" s="7">
        <v>0.16500000000000001</v>
      </c>
      <c r="AJ310" s="7">
        <v>0.109</v>
      </c>
      <c r="AK310" s="7">
        <v>8.1000000000000003E-2</v>
      </c>
      <c r="AL310" s="7">
        <v>8.6999999999999994E-2</v>
      </c>
      <c r="AM310" s="7">
        <v>7.9000000000000001E-2</v>
      </c>
      <c r="AN310" s="7">
        <v>6.6000000000000003E-2</v>
      </c>
      <c r="AO310" s="7">
        <v>0.14399999999999999</v>
      </c>
      <c r="AP310" s="7">
        <v>0.28799999999999998</v>
      </c>
      <c r="AQ310" s="7">
        <v>0.41899999999999998</v>
      </c>
      <c r="AR310" s="7">
        <v>0.37</v>
      </c>
      <c r="AS310" s="7">
        <v>5.0000000000000001E-3</v>
      </c>
      <c r="AT310" s="7">
        <v>1E-3</v>
      </c>
    </row>
    <row r="311" spans="1:46" x14ac:dyDescent="0.25">
      <c r="A311" s="4" t="s">
        <v>267</v>
      </c>
      <c r="B311" s="4" t="s">
        <v>207</v>
      </c>
      <c r="C311" s="4" t="s">
        <v>246</v>
      </c>
      <c r="D311" s="4" t="s">
        <v>263</v>
      </c>
      <c r="E311" s="4" t="s">
        <v>248</v>
      </c>
      <c r="F311" s="4" t="s">
        <v>195</v>
      </c>
      <c r="G311" s="4" t="s">
        <v>264</v>
      </c>
      <c r="H311" s="4" t="s">
        <v>250</v>
      </c>
      <c r="I311" s="7">
        <v>12.052</v>
      </c>
      <c r="J311" s="7">
        <v>7.6619999999999999</v>
      </c>
      <c r="K311" s="7">
        <v>4.3810000000000002</v>
      </c>
      <c r="L311" s="7">
        <v>3.319</v>
      </c>
      <c r="M311" s="7">
        <v>3.024</v>
      </c>
      <c r="N311" s="7">
        <v>2.7130000000000001</v>
      </c>
      <c r="O311" s="7">
        <v>3.0489999999999999</v>
      </c>
      <c r="P311" s="7">
        <v>4.2119999999999997</v>
      </c>
      <c r="Q311" s="7">
        <v>6.2050000000000001</v>
      </c>
      <c r="R311" s="7">
        <v>13.454000000000001</v>
      </c>
      <c r="S311" s="7">
        <v>16.841999999999999</v>
      </c>
      <c r="T311" s="7">
        <v>12.661</v>
      </c>
      <c r="U311" s="7">
        <v>8.2249999999999996</v>
      </c>
      <c r="V311" s="7">
        <v>4.8330000000000002</v>
      </c>
      <c r="W311" s="7">
        <v>2.625</v>
      </c>
      <c r="X311" s="7">
        <v>2.0939999999999999</v>
      </c>
      <c r="Y311" s="7">
        <v>1.8919999999999999</v>
      </c>
      <c r="Z311" s="7">
        <v>1.772</v>
      </c>
      <c r="AA311" s="7">
        <v>2.0750000000000002</v>
      </c>
      <c r="AB311" s="7">
        <v>2.4609999999999999</v>
      </c>
      <c r="AC311" s="7">
        <v>4.1959999999999997</v>
      </c>
      <c r="AD311" s="7">
        <v>6.5</v>
      </c>
      <c r="AE311" s="7">
        <v>10.965</v>
      </c>
      <c r="AF311" s="7">
        <v>11.648</v>
      </c>
      <c r="AG311" s="7">
        <v>10.62</v>
      </c>
      <c r="AH311" s="7">
        <v>5.4809999999999999</v>
      </c>
      <c r="AI311" s="7">
        <v>3.4689999999999999</v>
      </c>
      <c r="AJ311" s="7">
        <v>2.081</v>
      </c>
      <c r="AK311" s="7">
        <v>1.7629999999999999</v>
      </c>
      <c r="AL311" s="7">
        <v>2.1840000000000002</v>
      </c>
      <c r="AM311" s="7">
        <v>1.9390000000000001</v>
      </c>
      <c r="AN311" s="7">
        <v>1.4890000000000001</v>
      </c>
      <c r="AO311" s="7">
        <v>3.859</v>
      </c>
      <c r="AP311" s="7">
        <v>7.4130000000000003</v>
      </c>
      <c r="AQ311" s="7">
        <v>11.279</v>
      </c>
      <c r="AR311" s="7">
        <v>11.755000000000001</v>
      </c>
      <c r="AS311" s="7">
        <v>0.439</v>
      </c>
      <c r="AT311" s="8">
        <v>0</v>
      </c>
    </row>
    <row r="312" spans="1:46" x14ac:dyDescent="0.25">
      <c r="A312" s="4" t="s">
        <v>267</v>
      </c>
      <c r="B312" s="4" t="s">
        <v>207</v>
      </c>
      <c r="C312" s="4" t="s">
        <v>246</v>
      </c>
      <c r="D312" s="4" t="s">
        <v>263</v>
      </c>
      <c r="E312" s="4" t="s">
        <v>248</v>
      </c>
      <c r="F312" s="4" t="s">
        <v>195</v>
      </c>
      <c r="G312" s="4" t="s">
        <v>264</v>
      </c>
      <c r="H312" s="4" t="s">
        <v>251</v>
      </c>
      <c r="I312" s="7">
        <v>9.5709549999999997</v>
      </c>
      <c r="J312" s="7">
        <v>8.5440079000000004</v>
      </c>
      <c r="K312" s="7">
        <v>7.2457107000000001</v>
      </c>
      <c r="L312" s="7">
        <v>6.3581441999999999</v>
      </c>
      <c r="M312" s="7">
        <v>5.6214504999999999</v>
      </c>
      <c r="N312" s="7">
        <v>5.6238615999999997</v>
      </c>
      <c r="O312" s="7">
        <v>6.5443182000000002</v>
      </c>
      <c r="P312" s="7">
        <v>6.5671217999999998</v>
      </c>
      <c r="Q312" s="7">
        <v>6.0322484999999997</v>
      </c>
      <c r="R312" s="7">
        <v>6.0514219000000002</v>
      </c>
      <c r="S312" s="7">
        <v>6.0514219000000002</v>
      </c>
      <c r="T312" s="7">
        <v>4.8239995999999996</v>
      </c>
      <c r="U312" s="7">
        <v>4.8206451000000001</v>
      </c>
      <c r="V312" s="7">
        <v>4.8072881000000001</v>
      </c>
      <c r="W312" s="7">
        <v>4.7955604000000003</v>
      </c>
      <c r="X312" s="7">
        <v>5.1120286000000004</v>
      </c>
      <c r="Y312" s="7">
        <v>4.6682208000000003</v>
      </c>
      <c r="Z312" s="7">
        <v>4.6647093999999996</v>
      </c>
      <c r="AA312" s="7">
        <v>3.5021464999999998</v>
      </c>
      <c r="AB312" s="7">
        <v>2.9239595</v>
      </c>
      <c r="AC312" s="7">
        <v>3.2233488000000001</v>
      </c>
      <c r="AD312" s="7">
        <v>2.9171358000000001</v>
      </c>
      <c r="AE312" s="7">
        <v>2.8936609</v>
      </c>
      <c r="AF312" s="7">
        <v>2.8728284999999998</v>
      </c>
      <c r="AG312" s="7">
        <v>2.8841301000000001</v>
      </c>
      <c r="AH312" s="7">
        <v>2.8556252999999998</v>
      </c>
      <c r="AI312" s="7">
        <v>2.8305197999999998</v>
      </c>
      <c r="AJ312" s="7">
        <v>2.7858257000000002</v>
      </c>
      <c r="AK312" s="7">
        <v>2.7456084000000001</v>
      </c>
      <c r="AL312" s="7">
        <v>2.4084566999999999</v>
      </c>
      <c r="AM312" s="7">
        <v>2.4066709999999998</v>
      </c>
      <c r="AN312" s="7">
        <v>2.4173844</v>
      </c>
      <c r="AO312" s="7">
        <v>2.4155451000000001</v>
      </c>
      <c r="AP312" s="7">
        <v>2.4142397999999998</v>
      </c>
      <c r="AQ312" s="7">
        <v>2.4211999999999998</v>
      </c>
      <c r="AR312" s="7">
        <v>2.5076819000000001</v>
      </c>
      <c r="AS312" s="7">
        <v>0.58138350000000005</v>
      </c>
      <c r="AT312" s="7">
        <v>0.439</v>
      </c>
    </row>
    <row r="313" spans="1:46" x14ac:dyDescent="0.25">
      <c r="A313" s="4" t="s">
        <v>267</v>
      </c>
      <c r="B313" s="4" t="s">
        <v>207</v>
      </c>
      <c r="C313" s="4" t="s">
        <v>246</v>
      </c>
      <c r="D313" s="4" t="s">
        <v>263</v>
      </c>
      <c r="E313" s="4" t="s">
        <v>248</v>
      </c>
      <c r="F313" s="4" t="s">
        <v>195</v>
      </c>
      <c r="G313" s="4" t="s">
        <v>264</v>
      </c>
      <c r="H313" s="4" t="s">
        <v>252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7">
        <v>0.58138350000000005</v>
      </c>
    </row>
    <row r="314" spans="1:46" x14ac:dyDescent="0.25">
      <c r="A314" s="4" t="s">
        <v>267</v>
      </c>
      <c r="B314" s="4" t="s">
        <v>207</v>
      </c>
      <c r="C314" s="4" t="s">
        <v>246</v>
      </c>
      <c r="D314" s="4" t="s">
        <v>263</v>
      </c>
      <c r="E314" s="4" t="s">
        <v>248</v>
      </c>
      <c r="F314" s="4" t="s">
        <v>195</v>
      </c>
      <c r="G314" s="4" t="s">
        <v>71</v>
      </c>
      <c r="H314" s="4" t="s">
        <v>151</v>
      </c>
      <c r="I314" s="5">
        <v>496.65600000000001</v>
      </c>
      <c r="J314" s="5">
        <v>1877.1310000000001</v>
      </c>
      <c r="K314" s="5">
        <v>5201.3</v>
      </c>
      <c r="L314" s="5">
        <v>8278.9240000000009</v>
      </c>
      <c r="M314" s="5">
        <v>18591.311000000002</v>
      </c>
      <c r="N314" s="5">
        <v>19350.628000000001</v>
      </c>
      <c r="O314" s="5">
        <v>15088.505999999999</v>
      </c>
      <c r="P314" s="5">
        <v>10798.441000000001</v>
      </c>
      <c r="Q314" s="5">
        <v>3564.9969999999998</v>
      </c>
      <c r="R314" s="5">
        <v>607.67600000000004</v>
      </c>
      <c r="S314" s="5">
        <v>1482.4770000000001</v>
      </c>
      <c r="T314" s="5">
        <v>1183.7439999999999</v>
      </c>
      <c r="U314" s="5">
        <v>1383.4369999999999</v>
      </c>
      <c r="V314" s="5">
        <v>1512.498</v>
      </c>
      <c r="W314" s="5">
        <v>9716.3179999999993</v>
      </c>
      <c r="X314" s="5">
        <v>10844.053</v>
      </c>
      <c r="Y314" s="5">
        <v>14585.002</v>
      </c>
      <c r="Z314" s="5">
        <v>17939.18</v>
      </c>
      <c r="AA314" s="5">
        <v>11866.444</v>
      </c>
      <c r="AB314" s="5">
        <v>4076.8229999999999</v>
      </c>
      <c r="AC314" s="5">
        <v>2215.643</v>
      </c>
      <c r="AD314" s="5">
        <v>731.45</v>
      </c>
      <c r="AE314" s="5">
        <v>394.93599999999998</v>
      </c>
      <c r="AF314" s="5">
        <v>266.70699999999999</v>
      </c>
      <c r="AG314" s="5">
        <v>361.69900000000001</v>
      </c>
      <c r="AH314" s="5">
        <v>1199.9749999999999</v>
      </c>
      <c r="AI314" s="5">
        <v>3271.8919999999998</v>
      </c>
      <c r="AJ314" s="5">
        <v>9749.6970000000001</v>
      </c>
      <c r="AK314" s="5">
        <v>18819.43</v>
      </c>
      <c r="AL314" s="5">
        <v>14913.323</v>
      </c>
      <c r="AM314" s="5">
        <v>13541.199000000001</v>
      </c>
      <c r="AN314" s="5">
        <v>17634.043000000001</v>
      </c>
      <c r="AO314" s="5">
        <v>4493.6869999999999</v>
      </c>
      <c r="AP314" s="5">
        <v>4076.0349999999999</v>
      </c>
      <c r="AQ314" s="5">
        <v>680.29399999999998</v>
      </c>
      <c r="AR314" s="5">
        <v>531.70399999999995</v>
      </c>
      <c r="AS314" s="5">
        <v>1034.0930000000001</v>
      </c>
      <c r="AT314" s="5">
        <v>12336.03</v>
      </c>
    </row>
    <row r="315" spans="1:46" x14ac:dyDescent="0.25">
      <c r="A315" s="4" t="s">
        <v>267</v>
      </c>
      <c r="B315" s="4" t="s">
        <v>207</v>
      </c>
      <c r="C315" s="4" t="s">
        <v>246</v>
      </c>
      <c r="D315" s="4" t="s">
        <v>263</v>
      </c>
      <c r="E315" s="4" t="s">
        <v>248</v>
      </c>
      <c r="F315" s="4" t="s">
        <v>195</v>
      </c>
      <c r="G315" s="4" t="s">
        <v>71</v>
      </c>
      <c r="H315" s="4" t="s">
        <v>205</v>
      </c>
      <c r="I315" s="6">
        <v>52459.851999999999</v>
      </c>
      <c r="J315" s="6">
        <v>201797.84299999999</v>
      </c>
      <c r="K315" s="6">
        <v>601688.18000000005</v>
      </c>
      <c r="L315" s="6">
        <v>946347.01199999999</v>
      </c>
      <c r="M315" s="6">
        <v>1886619.5619999999</v>
      </c>
      <c r="N315" s="6">
        <v>1485800.2439999999</v>
      </c>
      <c r="O315" s="6">
        <v>1148851.8</v>
      </c>
      <c r="P315" s="6">
        <v>544392.85</v>
      </c>
      <c r="Q315" s="6">
        <v>187549.728</v>
      </c>
      <c r="R315" s="6">
        <v>43938.69</v>
      </c>
      <c r="S315" s="6">
        <v>52371.904000000002</v>
      </c>
      <c r="T315" s="6">
        <v>43756.548000000003</v>
      </c>
      <c r="U315" s="6">
        <v>72762.858999999997</v>
      </c>
      <c r="V315" s="6">
        <v>118859.069</v>
      </c>
      <c r="W315" s="6">
        <v>610306.11600000004</v>
      </c>
      <c r="X315" s="6">
        <v>1120662.182</v>
      </c>
      <c r="Y315" s="6">
        <v>1515200.2560000001</v>
      </c>
      <c r="Z315" s="6">
        <v>1552892.0889999999</v>
      </c>
      <c r="AA315" s="6">
        <v>1129584.747</v>
      </c>
      <c r="AB315" s="6">
        <v>502540.33600000001</v>
      </c>
      <c r="AC315" s="6">
        <v>262720.38</v>
      </c>
      <c r="AD315" s="6">
        <v>84484.269</v>
      </c>
      <c r="AE315" s="6">
        <v>55240.135000000002</v>
      </c>
      <c r="AF315" s="6">
        <v>34726.065000000002</v>
      </c>
      <c r="AG315" s="6">
        <v>46815.582000000002</v>
      </c>
      <c r="AH315" s="6">
        <v>165549.057</v>
      </c>
      <c r="AI315" s="6">
        <v>454766.136</v>
      </c>
      <c r="AJ315" s="6">
        <v>1448732.8940000001</v>
      </c>
      <c r="AK315" s="6">
        <v>2756882.7880000002</v>
      </c>
      <c r="AL315" s="6">
        <v>2181010.1379999998</v>
      </c>
      <c r="AM315" s="6">
        <v>2069352.28</v>
      </c>
      <c r="AN315" s="6">
        <v>2801146.6090000002</v>
      </c>
      <c r="AO315" s="6">
        <v>701919.90500000003</v>
      </c>
      <c r="AP315" s="6">
        <v>508247.70899999997</v>
      </c>
      <c r="AQ315" s="6">
        <v>101139.939</v>
      </c>
      <c r="AR315" s="6">
        <v>82242.562999999995</v>
      </c>
      <c r="AS315" s="6">
        <v>173932.69</v>
      </c>
      <c r="AT315" s="6">
        <v>173932.69</v>
      </c>
    </row>
    <row r="316" spans="1:46" x14ac:dyDescent="0.25">
      <c r="A316" s="4" t="s">
        <v>267</v>
      </c>
      <c r="B316" s="4" t="s">
        <v>207</v>
      </c>
      <c r="C316" s="4" t="s">
        <v>246</v>
      </c>
      <c r="D316" s="4" t="s">
        <v>263</v>
      </c>
      <c r="E316" s="4" t="s">
        <v>248</v>
      </c>
      <c r="F316" s="4" t="s">
        <v>195</v>
      </c>
      <c r="G316" s="4" t="s">
        <v>71</v>
      </c>
      <c r="H316" s="4" t="s">
        <v>249</v>
      </c>
      <c r="I316" s="7">
        <v>3.4000000000000002E-2</v>
      </c>
      <c r="J316" s="7">
        <v>6.9000000000000006E-2</v>
      </c>
      <c r="K316" s="7">
        <v>0.11700000000000001</v>
      </c>
      <c r="L316" s="7">
        <v>0.14499999999999999</v>
      </c>
      <c r="M316" s="7">
        <v>0.188</v>
      </c>
      <c r="N316" s="7">
        <v>0.17</v>
      </c>
      <c r="O316" s="7">
        <v>0.158</v>
      </c>
      <c r="P316" s="7">
        <v>0.13700000000000001</v>
      </c>
      <c r="Q316" s="7">
        <v>8.8999999999999996E-2</v>
      </c>
      <c r="R316" s="7">
        <v>4.3999999999999997E-2</v>
      </c>
      <c r="S316" s="7">
        <v>8.5000000000000006E-2</v>
      </c>
      <c r="T316" s="7">
        <v>6.3E-2</v>
      </c>
      <c r="U316" s="7">
        <v>5.8000000000000003E-2</v>
      </c>
      <c r="V316" s="7">
        <v>4.7E-2</v>
      </c>
      <c r="W316" s="7">
        <v>0.14000000000000001</v>
      </c>
      <c r="X316" s="7">
        <v>0.14099999999999999</v>
      </c>
      <c r="Y316" s="7">
        <v>0.16700000000000001</v>
      </c>
      <c r="Z316" s="7">
        <v>0.186</v>
      </c>
      <c r="AA316" s="7">
        <v>0.129</v>
      </c>
      <c r="AB316" s="7">
        <v>7.6999999999999999E-2</v>
      </c>
      <c r="AC316" s="7">
        <v>6.7000000000000004E-2</v>
      </c>
      <c r="AD316" s="7">
        <v>3.7999999999999999E-2</v>
      </c>
      <c r="AE316" s="7">
        <v>3.9E-2</v>
      </c>
      <c r="AF316" s="7">
        <v>2.5999999999999999E-2</v>
      </c>
      <c r="AG316" s="7">
        <v>3.2000000000000001E-2</v>
      </c>
      <c r="AH316" s="7">
        <v>5.5E-2</v>
      </c>
      <c r="AI316" s="7">
        <v>9.6000000000000002E-2</v>
      </c>
      <c r="AJ316" s="7">
        <v>0.16900000000000001</v>
      </c>
      <c r="AK316" s="7">
        <v>0.22800000000000001</v>
      </c>
      <c r="AL316" s="7">
        <v>0.20899999999999999</v>
      </c>
      <c r="AM316" s="7">
        <v>0.17399999999999999</v>
      </c>
      <c r="AN316" s="7">
        <v>0.22800000000000001</v>
      </c>
      <c r="AO316" s="7">
        <v>0.14099999999999999</v>
      </c>
      <c r="AP316" s="7">
        <v>0.26900000000000002</v>
      </c>
      <c r="AQ316" s="7">
        <v>7.8E-2</v>
      </c>
      <c r="AR316" s="7">
        <v>0.08</v>
      </c>
      <c r="AS316" s="7">
        <v>0.115</v>
      </c>
      <c r="AT316" s="7">
        <v>6.3330000000000002</v>
      </c>
    </row>
    <row r="317" spans="1:46" x14ac:dyDescent="0.25">
      <c r="A317" s="4" t="s">
        <v>267</v>
      </c>
      <c r="B317" s="4" t="s">
        <v>207</v>
      </c>
      <c r="C317" s="4" t="s">
        <v>246</v>
      </c>
      <c r="D317" s="4" t="s">
        <v>263</v>
      </c>
      <c r="E317" s="4" t="s">
        <v>248</v>
      </c>
      <c r="F317" s="4" t="s">
        <v>195</v>
      </c>
      <c r="G317" s="4" t="s">
        <v>71</v>
      </c>
      <c r="H317" s="4" t="s">
        <v>250</v>
      </c>
      <c r="I317" s="7">
        <v>65.688999999999993</v>
      </c>
      <c r="J317" s="7">
        <v>89.953000000000003</v>
      </c>
      <c r="K317" s="7">
        <v>98.38</v>
      </c>
      <c r="L317" s="7">
        <v>97.975999999999999</v>
      </c>
      <c r="M317" s="7">
        <v>98.168999999999997</v>
      </c>
      <c r="N317" s="7">
        <v>98.721000000000004</v>
      </c>
      <c r="O317" s="7">
        <v>98.28</v>
      </c>
      <c r="P317" s="7">
        <v>97.49</v>
      </c>
      <c r="Q317" s="7">
        <v>95.497</v>
      </c>
      <c r="R317" s="7">
        <v>68.784000000000006</v>
      </c>
      <c r="S317" s="7">
        <v>66.597999999999999</v>
      </c>
      <c r="T317" s="7">
        <v>74.388000000000005</v>
      </c>
      <c r="U317" s="7">
        <v>80.527000000000001</v>
      </c>
      <c r="V317" s="7">
        <v>88.555999999999997</v>
      </c>
      <c r="W317" s="7">
        <v>96.632000000000005</v>
      </c>
      <c r="X317" s="7">
        <v>96.403999999999996</v>
      </c>
      <c r="Y317" s="7">
        <v>97.614999999999995</v>
      </c>
      <c r="Z317" s="7">
        <v>97.918000000000006</v>
      </c>
      <c r="AA317" s="7">
        <v>91.51</v>
      </c>
      <c r="AB317" s="7">
        <v>83.593999999999994</v>
      </c>
      <c r="AC317" s="7">
        <v>81.221999999999994</v>
      </c>
      <c r="AD317" s="7">
        <v>68.313000000000002</v>
      </c>
      <c r="AE317" s="7">
        <v>59.488999999999997</v>
      </c>
      <c r="AF317" s="7">
        <v>54.151000000000003</v>
      </c>
      <c r="AG317" s="7">
        <v>60.198999999999998</v>
      </c>
      <c r="AH317" s="7">
        <v>87.04</v>
      </c>
      <c r="AI317" s="7">
        <v>90.911000000000001</v>
      </c>
      <c r="AJ317" s="7">
        <v>93.471999999999994</v>
      </c>
      <c r="AK317" s="7">
        <v>98.91</v>
      </c>
      <c r="AL317" s="7">
        <v>98.287000000000006</v>
      </c>
      <c r="AM317" s="7">
        <v>98.373000000000005</v>
      </c>
      <c r="AN317" s="7">
        <v>97.988</v>
      </c>
      <c r="AO317" s="7">
        <v>93.706999999999994</v>
      </c>
      <c r="AP317" s="7">
        <v>79.715999999999994</v>
      </c>
      <c r="AQ317" s="7">
        <v>64.3</v>
      </c>
      <c r="AR317" s="7">
        <v>60.707000000000001</v>
      </c>
      <c r="AS317" s="7">
        <v>78.478999999999999</v>
      </c>
      <c r="AT317" s="8">
        <v>0</v>
      </c>
    </row>
    <row r="318" spans="1:46" x14ac:dyDescent="0.25">
      <c r="A318" s="4" t="s">
        <v>267</v>
      </c>
      <c r="B318" s="4" t="s">
        <v>207</v>
      </c>
      <c r="C318" s="4" t="s">
        <v>246</v>
      </c>
      <c r="D318" s="4" t="s">
        <v>263</v>
      </c>
      <c r="E318" s="4" t="s">
        <v>248</v>
      </c>
      <c r="F318" s="4" t="s">
        <v>195</v>
      </c>
      <c r="G318" s="4" t="s">
        <v>71</v>
      </c>
      <c r="H318" s="4" t="s">
        <v>251</v>
      </c>
      <c r="I318" s="7">
        <v>52.866115000000001</v>
      </c>
      <c r="J318" s="7">
        <v>79.080229799999998</v>
      </c>
      <c r="K318" s="7">
        <v>89.752348400000002</v>
      </c>
      <c r="L318" s="7">
        <v>89.809296399999994</v>
      </c>
      <c r="M318" s="7">
        <v>89.254370399999999</v>
      </c>
      <c r="N318" s="7">
        <v>88.512898100000001</v>
      </c>
      <c r="O318" s="7">
        <v>90.1749109</v>
      </c>
      <c r="P318" s="7">
        <v>88.5632454</v>
      </c>
      <c r="Q318" s="7">
        <v>83.549110400000004</v>
      </c>
      <c r="R318" s="7">
        <v>51.692318100000001</v>
      </c>
      <c r="S318" s="7">
        <v>46.085514400000001</v>
      </c>
      <c r="T318" s="7">
        <v>59.870616900000002</v>
      </c>
      <c r="U318" s="7">
        <v>65.093939000000006</v>
      </c>
      <c r="V318" s="7">
        <v>77.2553628</v>
      </c>
      <c r="W318" s="7">
        <v>86.453544300000004</v>
      </c>
      <c r="X318" s="7">
        <v>84.131361100000007</v>
      </c>
      <c r="Y318" s="7">
        <v>87.905806999999996</v>
      </c>
      <c r="Z318" s="7">
        <v>88.629770800000003</v>
      </c>
      <c r="AA318" s="7">
        <v>86.371688599999999</v>
      </c>
      <c r="AB318" s="7">
        <v>76.819433799999999</v>
      </c>
      <c r="AC318" s="7">
        <v>73.258512600000003</v>
      </c>
      <c r="AD318" s="7">
        <v>56.051598300000002</v>
      </c>
      <c r="AE318" s="7">
        <v>44.773903799999999</v>
      </c>
      <c r="AF318" s="7">
        <v>36.332661999999999</v>
      </c>
      <c r="AG318" s="7">
        <v>43.8904031</v>
      </c>
      <c r="AH318" s="7">
        <v>75.323685100000006</v>
      </c>
      <c r="AI318" s="7">
        <v>81.704086099999998</v>
      </c>
      <c r="AJ318" s="7">
        <v>84.578783200000004</v>
      </c>
      <c r="AK318" s="7">
        <v>93.069535299999998</v>
      </c>
      <c r="AL318" s="7">
        <v>93.165340700000002</v>
      </c>
      <c r="AM318" s="7">
        <v>93.400328799999997</v>
      </c>
      <c r="AN318" s="7">
        <v>91.083820500000002</v>
      </c>
      <c r="AO318" s="7">
        <v>88.173388599999996</v>
      </c>
      <c r="AP318" s="7">
        <v>66.731291499999998</v>
      </c>
      <c r="AQ318" s="7">
        <v>48.3466168</v>
      </c>
      <c r="AR318" s="7">
        <v>39.806375799999998</v>
      </c>
      <c r="AS318" s="7">
        <v>63.866433000000001</v>
      </c>
      <c r="AT318" s="7">
        <v>78.478999999999999</v>
      </c>
    </row>
    <row r="319" spans="1:46" x14ac:dyDescent="0.25">
      <c r="A319" s="4" t="s">
        <v>267</v>
      </c>
      <c r="B319" s="4" t="s">
        <v>207</v>
      </c>
      <c r="C319" s="4" t="s">
        <v>246</v>
      </c>
      <c r="D319" s="4" t="s">
        <v>263</v>
      </c>
      <c r="E319" s="4" t="s">
        <v>248</v>
      </c>
      <c r="F319" s="4" t="s">
        <v>195</v>
      </c>
      <c r="G319" s="4" t="s">
        <v>71</v>
      </c>
      <c r="H319" s="4" t="s">
        <v>252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0</v>
      </c>
      <c r="AT319" s="7">
        <v>63.866433000000001</v>
      </c>
    </row>
    <row r="320" spans="1:46" x14ac:dyDescent="0.25">
      <c r="A320" s="4" t="s">
        <v>267</v>
      </c>
      <c r="B320" s="4" t="s">
        <v>207</v>
      </c>
      <c r="C320" s="4" t="s">
        <v>246</v>
      </c>
      <c r="D320" s="4" t="s">
        <v>263</v>
      </c>
      <c r="E320" s="4" t="s">
        <v>248</v>
      </c>
      <c r="F320" s="4" t="s">
        <v>195</v>
      </c>
      <c r="G320" s="4" t="s">
        <v>76</v>
      </c>
      <c r="H320" s="4" t="s">
        <v>151</v>
      </c>
      <c r="I320" s="5">
        <v>1066.242</v>
      </c>
      <c r="J320" s="5">
        <v>3771.7449999999999</v>
      </c>
      <c r="K320" s="5">
        <v>7533.2190000000001</v>
      </c>
      <c r="L320" s="5">
        <v>9436.4120000000003</v>
      </c>
      <c r="M320" s="5">
        <v>13212.102000000001</v>
      </c>
      <c r="N320" s="5">
        <v>9463.61</v>
      </c>
      <c r="O320" s="5">
        <v>7333.3789999999999</v>
      </c>
      <c r="P320" s="5">
        <v>3831.1439999999998</v>
      </c>
      <c r="Q320" s="5">
        <v>1809.7729999999999</v>
      </c>
      <c r="R320" s="5">
        <v>542.91600000000005</v>
      </c>
      <c r="S320" s="5">
        <v>447.77600000000001</v>
      </c>
      <c r="T320" s="5">
        <v>575.21799999999996</v>
      </c>
      <c r="U320" s="5">
        <v>1121.252</v>
      </c>
      <c r="V320" s="5">
        <v>3031.087</v>
      </c>
      <c r="W320" s="5">
        <v>10176.365</v>
      </c>
      <c r="X320" s="5">
        <v>14650.103999999999</v>
      </c>
      <c r="Y320" s="5">
        <v>15219.903</v>
      </c>
      <c r="Z320" s="5">
        <v>11376.43</v>
      </c>
      <c r="AA320" s="5">
        <v>9619.3690000000006</v>
      </c>
      <c r="AB320" s="5">
        <v>5113.5529999999999</v>
      </c>
      <c r="AC320" s="5">
        <v>3335.3359999999998</v>
      </c>
      <c r="AD320" s="5">
        <v>1710.806</v>
      </c>
      <c r="AE320" s="5">
        <v>890.14300000000003</v>
      </c>
      <c r="AF320" s="5">
        <v>929.005</v>
      </c>
      <c r="AG320" s="5">
        <v>988.00300000000004</v>
      </c>
      <c r="AH320" s="5">
        <v>2993.7089999999998</v>
      </c>
      <c r="AI320" s="5">
        <v>6867.6019999999999</v>
      </c>
      <c r="AJ320" s="5">
        <v>16366.938</v>
      </c>
      <c r="AK320" s="5">
        <v>17464.599999999999</v>
      </c>
      <c r="AL320" s="5">
        <v>11156.875</v>
      </c>
      <c r="AM320" s="5">
        <v>11080.112999999999</v>
      </c>
      <c r="AN320" s="5">
        <v>11017.691000000001</v>
      </c>
      <c r="AO320" s="5">
        <v>4055.8989999999999</v>
      </c>
      <c r="AP320" s="5">
        <v>1666.104</v>
      </c>
      <c r="AQ320" s="5">
        <v>860.65700000000004</v>
      </c>
      <c r="AR320" s="5">
        <v>755.47199999999998</v>
      </c>
      <c r="AS320" s="5">
        <v>1345.5930000000001</v>
      </c>
      <c r="AT320" s="5">
        <v>1345.5930000000001</v>
      </c>
    </row>
    <row r="321" spans="1:46" x14ac:dyDescent="0.25">
      <c r="A321" s="4" t="s">
        <v>267</v>
      </c>
      <c r="B321" s="4" t="s">
        <v>207</v>
      </c>
      <c r="C321" s="4" t="s">
        <v>246</v>
      </c>
      <c r="D321" s="4" t="s">
        <v>263</v>
      </c>
      <c r="E321" s="4" t="s">
        <v>248</v>
      </c>
      <c r="F321" s="4" t="s">
        <v>195</v>
      </c>
      <c r="G321" s="4" t="s">
        <v>76</v>
      </c>
      <c r="H321" s="4" t="s">
        <v>205</v>
      </c>
      <c r="I321" s="6">
        <v>300182.33100000001</v>
      </c>
      <c r="J321" s="6">
        <v>1085487.5789999999</v>
      </c>
      <c r="K321" s="6">
        <v>2124667.9219999998</v>
      </c>
      <c r="L321" s="6">
        <v>2715199.0460000001</v>
      </c>
      <c r="M321" s="6">
        <v>3748538.8509999998</v>
      </c>
      <c r="N321" s="6">
        <v>2673070.4139999999</v>
      </c>
      <c r="O321" s="6">
        <v>2039017.746</v>
      </c>
      <c r="P321" s="6">
        <v>1076906.7080000001</v>
      </c>
      <c r="Q321" s="6">
        <v>503770.51400000002</v>
      </c>
      <c r="R321" s="6">
        <v>157834.62299999999</v>
      </c>
      <c r="S321" s="6">
        <v>131888.95000000001</v>
      </c>
      <c r="T321" s="6">
        <v>163202.587</v>
      </c>
      <c r="U321" s="6">
        <v>310810.00199999998</v>
      </c>
      <c r="V321" s="6">
        <v>829697.49800000002</v>
      </c>
      <c r="W321" s="6">
        <v>2827792.0320000001</v>
      </c>
      <c r="X321" s="6">
        <v>4095755.8930000002</v>
      </c>
      <c r="Y321" s="6">
        <v>4378497.5060000001</v>
      </c>
      <c r="Z321" s="6">
        <v>3363553.2420000001</v>
      </c>
      <c r="AA321" s="6">
        <v>2827461.335</v>
      </c>
      <c r="AB321" s="6">
        <v>1509306.11</v>
      </c>
      <c r="AC321" s="6">
        <v>944457.24300000002</v>
      </c>
      <c r="AD321" s="6">
        <v>505585.59</v>
      </c>
      <c r="AE321" s="6">
        <v>266366.29399999999</v>
      </c>
      <c r="AF321" s="6">
        <v>288461.158</v>
      </c>
      <c r="AG321" s="6">
        <v>309110.63900000002</v>
      </c>
      <c r="AH321" s="6">
        <v>944316.22</v>
      </c>
      <c r="AI321" s="6">
        <v>2152594.9709999999</v>
      </c>
      <c r="AJ321" s="6">
        <v>5082420.3859999999</v>
      </c>
      <c r="AK321" s="6">
        <v>5511054.3710000003</v>
      </c>
      <c r="AL321" s="6">
        <v>3552498.1469999999</v>
      </c>
      <c r="AM321" s="6">
        <v>3596552.2749999999</v>
      </c>
      <c r="AN321" s="6">
        <v>3605975.1740000001</v>
      </c>
      <c r="AO321" s="6">
        <v>1334081.5719999999</v>
      </c>
      <c r="AP321" s="6">
        <v>544292.26599999995</v>
      </c>
      <c r="AQ321" s="6">
        <v>273079.86800000002</v>
      </c>
      <c r="AR321" s="6">
        <v>250035.53899999999</v>
      </c>
      <c r="AS321" s="6">
        <v>464248.28399999999</v>
      </c>
      <c r="AT321" s="6">
        <v>464248.28399999999</v>
      </c>
    </row>
    <row r="322" spans="1:46" x14ac:dyDescent="0.25">
      <c r="A322" s="4" t="s">
        <v>267</v>
      </c>
      <c r="B322" s="4" t="s">
        <v>207</v>
      </c>
      <c r="C322" s="4" t="s">
        <v>246</v>
      </c>
      <c r="D322" s="4" t="s">
        <v>263</v>
      </c>
      <c r="E322" s="4" t="s">
        <v>248</v>
      </c>
      <c r="F322" s="4" t="s">
        <v>195</v>
      </c>
      <c r="G322" s="4" t="s">
        <v>76</v>
      </c>
      <c r="H322" s="4" t="s">
        <v>249</v>
      </c>
      <c r="I322" s="7">
        <v>0.29499999999999998</v>
      </c>
      <c r="J322" s="7">
        <v>0.53400000000000003</v>
      </c>
      <c r="K322" s="7">
        <v>0.63900000000000001</v>
      </c>
      <c r="L322" s="7">
        <v>0.624</v>
      </c>
      <c r="M322" s="7">
        <v>0.55900000000000005</v>
      </c>
      <c r="N322" s="7">
        <v>0.44800000000000001</v>
      </c>
      <c r="O322" s="7">
        <v>0.41499999999999998</v>
      </c>
      <c r="P322" s="7">
        <v>0.34799999999999998</v>
      </c>
      <c r="Q322" s="7">
        <v>0.316</v>
      </c>
      <c r="R322" s="7">
        <v>0.22500000000000001</v>
      </c>
      <c r="S322" s="7">
        <v>0.23899999999999999</v>
      </c>
      <c r="T322" s="7">
        <v>0.28000000000000003</v>
      </c>
      <c r="U322" s="7">
        <v>0.34899999999999998</v>
      </c>
      <c r="V322" s="7">
        <v>0.52500000000000002</v>
      </c>
      <c r="W322" s="7">
        <v>0.97099999999999997</v>
      </c>
      <c r="X322" s="7">
        <v>0.89300000000000002</v>
      </c>
      <c r="Y322" s="7">
        <v>0.82699999999999996</v>
      </c>
      <c r="Z322" s="7">
        <v>0.65500000000000003</v>
      </c>
      <c r="AA322" s="7">
        <v>0.54300000000000004</v>
      </c>
      <c r="AB322" s="7">
        <v>0.41599999999999998</v>
      </c>
      <c r="AC322" s="7">
        <v>0.44</v>
      </c>
      <c r="AD322" s="7">
        <v>0.40300000000000002</v>
      </c>
      <c r="AE322" s="7">
        <v>0.34599999999999997</v>
      </c>
      <c r="AF322" s="7">
        <v>0.38900000000000001</v>
      </c>
      <c r="AG322" s="7">
        <v>0.38300000000000001</v>
      </c>
      <c r="AH322" s="7">
        <v>0.57499999999999996</v>
      </c>
      <c r="AI322" s="7">
        <v>0.84</v>
      </c>
      <c r="AJ322" s="7">
        <v>1.135</v>
      </c>
      <c r="AK322" s="7">
        <v>0.85899999999999999</v>
      </c>
      <c r="AL322" s="7">
        <v>0.629</v>
      </c>
      <c r="AM322" s="7">
        <v>0.56100000000000005</v>
      </c>
      <c r="AN322" s="7">
        <v>0.55100000000000005</v>
      </c>
      <c r="AO322" s="7">
        <v>0.48699999999999999</v>
      </c>
      <c r="AP322" s="7">
        <v>0.41399999999999998</v>
      </c>
      <c r="AQ322" s="7">
        <v>0.374</v>
      </c>
      <c r="AR322" s="7">
        <v>0.42599999999999999</v>
      </c>
      <c r="AS322" s="7">
        <v>0.56399999999999995</v>
      </c>
      <c r="AT322" s="7">
        <v>0.69099999999999995</v>
      </c>
    </row>
    <row r="323" spans="1:46" x14ac:dyDescent="0.25">
      <c r="A323" s="4" t="s">
        <v>267</v>
      </c>
      <c r="B323" s="4" t="s">
        <v>207</v>
      </c>
      <c r="C323" s="4" t="s">
        <v>246</v>
      </c>
      <c r="D323" s="4" t="s">
        <v>263</v>
      </c>
      <c r="E323" s="4" t="s">
        <v>248</v>
      </c>
      <c r="F323" s="4" t="s">
        <v>195</v>
      </c>
      <c r="G323" s="4" t="s">
        <v>76</v>
      </c>
      <c r="H323" s="4" t="s">
        <v>250</v>
      </c>
      <c r="I323" s="7">
        <v>88.227999999999994</v>
      </c>
      <c r="J323" s="7">
        <v>97.004000000000005</v>
      </c>
      <c r="K323" s="7">
        <v>99.453000000000003</v>
      </c>
      <c r="L323" s="7">
        <v>98.448999999999998</v>
      </c>
      <c r="M323" s="7">
        <v>96.218999999999994</v>
      </c>
      <c r="N323" s="7">
        <v>93.414000000000001</v>
      </c>
      <c r="O323" s="7">
        <v>93.343999999999994</v>
      </c>
      <c r="P323" s="7">
        <v>92.478999999999999</v>
      </c>
      <c r="Q323" s="7">
        <v>91.564999999999998</v>
      </c>
      <c r="R323" s="7">
        <v>75.388000000000005</v>
      </c>
      <c r="S323" s="7">
        <v>71.712000000000003</v>
      </c>
      <c r="T323" s="7">
        <v>78.143000000000001</v>
      </c>
      <c r="U323" s="7">
        <v>89.6</v>
      </c>
      <c r="V323" s="7">
        <v>97.128</v>
      </c>
      <c r="W323" s="7">
        <v>99.206999999999994</v>
      </c>
      <c r="X323" s="7">
        <v>99.17</v>
      </c>
      <c r="Y323" s="7">
        <v>98.852999999999994</v>
      </c>
      <c r="Z323" s="7">
        <v>97.986000000000004</v>
      </c>
      <c r="AA323" s="7">
        <v>94.518000000000001</v>
      </c>
      <c r="AB323" s="7">
        <v>91.168999999999997</v>
      </c>
      <c r="AC323" s="7">
        <v>89.787000000000006</v>
      </c>
      <c r="AD323" s="7">
        <v>85.248999999999995</v>
      </c>
      <c r="AE323" s="7">
        <v>75.298000000000002</v>
      </c>
      <c r="AF323" s="7">
        <v>78.814999999999998</v>
      </c>
      <c r="AG323" s="7">
        <v>80.86</v>
      </c>
      <c r="AH323" s="7">
        <v>95.792000000000002</v>
      </c>
      <c r="AI323" s="7">
        <v>97.581000000000003</v>
      </c>
      <c r="AJ323" s="7">
        <v>98.975999999999999</v>
      </c>
      <c r="AK323" s="7">
        <v>99.174999999999997</v>
      </c>
      <c r="AL323" s="7">
        <v>98.489000000000004</v>
      </c>
      <c r="AM323" s="7">
        <v>96.176000000000002</v>
      </c>
      <c r="AN323" s="7">
        <v>95.956000000000003</v>
      </c>
      <c r="AO323" s="7">
        <v>91.200999999999993</v>
      </c>
      <c r="AP323" s="7">
        <v>83.013999999999996</v>
      </c>
      <c r="AQ323" s="7">
        <v>76.524000000000001</v>
      </c>
      <c r="AR323" s="7">
        <v>74.105999999999995</v>
      </c>
      <c r="AS323" s="7">
        <v>85.150999999999996</v>
      </c>
      <c r="AT323" s="8">
        <v>0</v>
      </c>
    </row>
    <row r="324" spans="1:46" x14ac:dyDescent="0.25">
      <c r="A324" s="4" t="s">
        <v>267</v>
      </c>
      <c r="B324" s="4" t="s">
        <v>207</v>
      </c>
      <c r="C324" s="4" t="s">
        <v>246</v>
      </c>
      <c r="D324" s="4" t="s">
        <v>263</v>
      </c>
      <c r="E324" s="4" t="s">
        <v>248</v>
      </c>
      <c r="F324" s="4" t="s">
        <v>195</v>
      </c>
      <c r="G324" s="4" t="s">
        <v>76</v>
      </c>
      <c r="H324" s="4" t="s">
        <v>251</v>
      </c>
      <c r="I324" s="7">
        <v>73.121759999999995</v>
      </c>
      <c r="J324" s="7">
        <v>88.078468200000003</v>
      </c>
      <c r="K324" s="7">
        <v>92.702429899999998</v>
      </c>
      <c r="L324" s="7">
        <v>91.445599700000002</v>
      </c>
      <c r="M324" s="7">
        <v>88.633089499999997</v>
      </c>
      <c r="N324" s="7">
        <v>85.213902399999995</v>
      </c>
      <c r="O324" s="7">
        <v>85.219768900000005</v>
      </c>
      <c r="P324" s="7">
        <v>83.007827000000006</v>
      </c>
      <c r="Q324" s="7">
        <v>80.165383000000006</v>
      </c>
      <c r="R324" s="7">
        <v>55.2818787</v>
      </c>
      <c r="S324" s="7">
        <v>47.965833600000003</v>
      </c>
      <c r="T324" s="7">
        <v>57.8510463</v>
      </c>
      <c r="U324" s="7">
        <v>74.871537700000005</v>
      </c>
      <c r="V324" s="7">
        <v>86.733087699999999</v>
      </c>
      <c r="W324" s="7">
        <v>91.021065300000004</v>
      </c>
      <c r="X324" s="7">
        <v>91.279480599999999</v>
      </c>
      <c r="Y324" s="7">
        <v>92.705905000000001</v>
      </c>
      <c r="Z324" s="7">
        <v>90.379036799999994</v>
      </c>
      <c r="AA324" s="7">
        <v>84.020580899999999</v>
      </c>
      <c r="AB324" s="7">
        <v>80.539295100000004</v>
      </c>
      <c r="AC324" s="7">
        <v>78.445759800000005</v>
      </c>
      <c r="AD324" s="7">
        <v>70.377944099999993</v>
      </c>
      <c r="AE324" s="7">
        <v>58.644088400000001</v>
      </c>
      <c r="AF324" s="7">
        <v>60.407539499999999</v>
      </c>
      <c r="AG324" s="7">
        <v>62.6464778</v>
      </c>
      <c r="AH324" s="7">
        <v>85.516554099999993</v>
      </c>
      <c r="AI324" s="7">
        <v>88.748683799999995</v>
      </c>
      <c r="AJ324" s="7">
        <v>91.085357700000003</v>
      </c>
      <c r="AK324" s="7">
        <v>91.834011500000003</v>
      </c>
      <c r="AL324" s="7">
        <v>91.904006300000006</v>
      </c>
      <c r="AM324" s="7">
        <v>89.410869599999998</v>
      </c>
      <c r="AN324" s="7">
        <v>87.337111699999994</v>
      </c>
      <c r="AO324" s="7">
        <v>81.677865999999995</v>
      </c>
      <c r="AP324" s="7">
        <v>67.798994399999998</v>
      </c>
      <c r="AQ324" s="7">
        <v>56.1686543</v>
      </c>
      <c r="AR324" s="7">
        <v>47.810009899999997</v>
      </c>
      <c r="AS324" s="7">
        <v>64.670777000000001</v>
      </c>
      <c r="AT324" s="7">
        <v>85.150999999999996</v>
      </c>
    </row>
    <row r="325" spans="1:46" x14ac:dyDescent="0.25">
      <c r="A325" s="4" t="s">
        <v>267</v>
      </c>
      <c r="B325" s="4" t="s">
        <v>207</v>
      </c>
      <c r="C325" s="4" t="s">
        <v>246</v>
      </c>
      <c r="D325" s="4" t="s">
        <v>263</v>
      </c>
      <c r="E325" s="4" t="s">
        <v>248</v>
      </c>
      <c r="F325" s="4" t="s">
        <v>195</v>
      </c>
      <c r="G325" s="4" t="s">
        <v>76</v>
      </c>
      <c r="H325" s="4" t="s">
        <v>252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>
        <v>0</v>
      </c>
      <c r="AC325" s="17">
        <v>0</v>
      </c>
      <c r="AD325" s="17">
        <v>0</v>
      </c>
      <c r="AE325" s="17">
        <v>0</v>
      </c>
      <c r="AF325" s="17">
        <v>0</v>
      </c>
      <c r="AG325" s="17">
        <v>0</v>
      </c>
      <c r="AH325" s="17">
        <v>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R325" s="17">
        <v>0</v>
      </c>
      <c r="AS325" s="17">
        <v>0</v>
      </c>
      <c r="AT325" s="7">
        <v>64.670777000000001</v>
      </c>
    </row>
    <row r="326" spans="1:46" x14ac:dyDescent="0.25">
      <c r="A326" s="4" t="s">
        <v>267</v>
      </c>
      <c r="B326" s="4" t="s">
        <v>207</v>
      </c>
      <c r="C326" s="4" t="s">
        <v>246</v>
      </c>
      <c r="D326" s="4" t="s">
        <v>263</v>
      </c>
      <c r="E326" s="4" t="s">
        <v>248</v>
      </c>
      <c r="F326" s="4" t="s">
        <v>195</v>
      </c>
      <c r="G326" s="4" t="s">
        <v>85</v>
      </c>
      <c r="H326" s="4" t="s">
        <v>151</v>
      </c>
      <c r="I326" s="5">
        <v>3389.6779999999999</v>
      </c>
      <c r="J326" s="5">
        <v>11574.929</v>
      </c>
      <c r="K326" s="5">
        <v>28802.366000000002</v>
      </c>
      <c r="L326" s="5">
        <v>39808.483</v>
      </c>
      <c r="M326" s="5">
        <v>55642.421999999999</v>
      </c>
      <c r="N326" s="5">
        <v>37337.107000000004</v>
      </c>
      <c r="O326" s="5">
        <v>19790.653999999999</v>
      </c>
      <c r="P326" s="5">
        <v>9123.866</v>
      </c>
      <c r="Q326" s="5">
        <v>4188.1869999999999</v>
      </c>
      <c r="R326" s="5">
        <v>1429.213</v>
      </c>
      <c r="S326" s="5">
        <v>1076.6869999999999</v>
      </c>
      <c r="T326" s="5">
        <v>1013.204</v>
      </c>
      <c r="U326" s="5">
        <v>2004.7070000000001</v>
      </c>
      <c r="V326" s="5">
        <v>4217.3940000000002</v>
      </c>
      <c r="W326" s="5">
        <v>16308.72</v>
      </c>
      <c r="X326" s="5">
        <v>26565.947</v>
      </c>
      <c r="Y326" s="5">
        <v>33010.523000000001</v>
      </c>
      <c r="Z326" s="5">
        <v>25643.722000000002</v>
      </c>
      <c r="AA326" s="5">
        <v>20788.794000000002</v>
      </c>
      <c r="AB326" s="5">
        <v>10555.2</v>
      </c>
      <c r="AC326" s="5">
        <v>6525.2150000000001</v>
      </c>
      <c r="AD326" s="5">
        <v>3508.5430000000001</v>
      </c>
      <c r="AE326" s="5">
        <v>2135.1030000000001</v>
      </c>
      <c r="AF326" s="5">
        <v>2030.5139999999999</v>
      </c>
      <c r="AG326" s="5">
        <v>2183.2570000000001</v>
      </c>
      <c r="AH326" s="5">
        <v>5638.9129999999996</v>
      </c>
      <c r="AI326" s="5">
        <v>12791.643</v>
      </c>
      <c r="AJ326" s="5">
        <v>27197.227999999999</v>
      </c>
      <c r="AK326" s="5">
        <v>34191.536999999997</v>
      </c>
      <c r="AL326" s="5">
        <v>22986.266</v>
      </c>
      <c r="AM326" s="5">
        <v>22913.724999999999</v>
      </c>
      <c r="AN326" s="5">
        <v>21428.988000000001</v>
      </c>
      <c r="AO326" s="5">
        <v>8483.0380000000005</v>
      </c>
      <c r="AP326" s="5">
        <v>3843.4319999999998</v>
      </c>
      <c r="AQ326" s="5">
        <v>2008.422</v>
      </c>
      <c r="AR326" s="5">
        <v>1815.6880000000001</v>
      </c>
      <c r="AS326" s="5">
        <v>2181.9229999999998</v>
      </c>
      <c r="AT326" s="5">
        <v>28593.254000000001</v>
      </c>
    </row>
    <row r="327" spans="1:46" x14ac:dyDescent="0.25">
      <c r="A327" s="4" t="s">
        <v>267</v>
      </c>
      <c r="B327" s="4" t="s">
        <v>207</v>
      </c>
      <c r="C327" s="4" t="s">
        <v>246</v>
      </c>
      <c r="D327" s="4" t="s">
        <v>263</v>
      </c>
      <c r="E327" s="4" t="s">
        <v>248</v>
      </c>
      <c r="F327" s="4" t="s">
        <v>195</v>
      </c>
      <c r="G327" s="4" t="s">
        <v>85</v>
      </c>
      <c r="H327" s="4" t="s">
        <v>205</v>
      </c>
      <c r="I327" s="6">
        <v>559990.92500000005</v>
      </c>
      <c r="J327" s="6">
        <v>1751636.807</v>
      </c>
      <c r="K327" s="6">
        <v>4301083.926</v>
      </c>
      <c r="L327" s="6">
        <v>5986180.449</v>
      </c>
      <c r="M327" s="6">
        <v>8733751.1520000007</v>
      </c>
      <c r="N327" s="6">
        <v>6031286.2220000001</v>
      </c>
      <c r="O327" s="6">
        <v>3713389.3840000001</v>
      </c>
      <c r="P327" s="6">
        <v>1888677.6969999999</v>
      </c>
      <c r="Q327" s="6">
        <v>875743.46299999999</v>
      </c>
      <c r="R327" s="6">
        <v>268849.49800000002</v>
      </c>
      <c r="S327" s="6">
        <v>181984.28200000001</v>
      </c>
      <c r="T327" s="6">
        <v>208920.36300000001</v>
      </c>
      <c r="U327" s="6">
        <v>441143.01400000002</v>
      </c>
      <c r="V327" s="6">
        <v>889565.647</v>
      </c>
      <c r="W327" s="6">
        <v>3318190.8110000002</v>
      </c>
      <c r="X327" s="6">
        <v>5725753.0089999996</v>
      </c>
      <c r="Y327" s="6">
        <v>7711788.2070000004</v>
      </c>
      <c r="Z327" s="6">
        <v>6047932.5559999999</v>
      </c>
      <c r="AA327" s="6">
        <v>4865546.5</v>
      </c>
      <c r="AB327" s="6">
        <v>2386008.898</v>
      </c>
      <c r="AC327" s="6">
        <v>1501552.2549999999</v>
      </c>
      <c r="AD327" s="6">
        <v>734090.38500000001</v>
      </c>
      <c r="AE327" s="6">
        <v>411499.97600000002</v>
      </c>
      <c r="AF327" s="6">
        <v>416442.64299999998</v>
      </c>
      <c r="AG327" s="6">
        <v>468539.152</v>
      </c>
      <c r="AH327" s="6">
        <v>1292474.7620000001</v>
      </c>
      <c r="AI327" s="6">
        <v>2846857.2570000002</v>
      </c>
      <c r="AJ327" s="6">
        <v>6236283.1979999999</v>
      </c>
      <c r="AK327" s="6">
        <v>7813496.4009999996</v>
      </c>
      <c r="AL327" s="6">
        <v>5147832.2740000002</v>
      </c>
      <c r="AM327" s="6">
        <v>5132046.7379999999</v>
      </c>
      <c r="AN327" s="6">
        <v>4877764.2189999996</v>
      </c>
      <c r="AO327" s="6">
        <v>1877551.2350000001</v>
      </c>
      <c r="AP327" s="6">
        <v>799881.90800000005</v>
      </c>
      <c r="AQ327" s="6">
        <v>399557.43099999998</v>
      </c>
      <c r="AR327" s="6">
        <v>343515.74599999998</v>
      </c>
      <c r="AS327" s="6">
        <v>523624.99400000001</v>
      </c>
      <c r="AT327" s="6">
        <v>523624.99400000001</v>
      </c>
    </row>
    <row r="328" spans="1:46" x14ac:dyDescent="0.25">
      <c r="A328" s="4" t="s">
        <v>267</v>
      </c>
      <c r="B328" s="4" t="s">
        <v>207</v>
      </c>
      <c r="C328" s="4" t="s">
        <v>246</v>
      </c>
      <c r="D328" s="4" t="s">
        <v>263</v>
      </c>
      <c r="E328" s="4" t="s">
        <v>248</v>
      </c>
      <c r="F328" s="4" t="s">
        <v>195</v>
      </c>
      <c r="G328" s="4" t="s">
        <v>85</v>
      </c>
      <c r="H328" s="4" t="s">
        <v>249</v>
      </c>
      <c r="I328" s="7">
        <v>0.38100000000000001</v>
      </c>
      <c r="J328" s="7">
        <v>0.63900000000000001</v>
      </c>
      <c r="K328" s="7">
        <v>0.97799999999999998</v>
      </c>
      <c r="L328" s="7">
        <v>1.0669999999999999</v>
      </c>
      <c r="M328" s="7">
        <v>0.93400000000000005</v>
      </c>
      <c r="N328" s="7">
        <v>0.72699999999999998</v>
      </c>
      <c r="O328" s="7">
        <v>0.48599999999999999</v>
      </c>
      <c r="P328" s="7">
        <v>0.35799999999999998</v>
      </c>
      <c r="Q328" s="7">
        <v>0.33200000000000002</v>
      </c>
      <c r="R328" s="7">
        <v>0.27300000000000002</v>
      </c>
      <c r="S328" s="7">
        <v>0.25900000000000001</v>
      </c>
      <c r="T328" s="7">
        <v>0.23</v>
      </c>
      <c r="U328" s="7">
        <v>0.26200000000000001</v>
      </c>
      <c r="V328" s="7">
        <v>0.27300000000000002</v>
      </c>
      <c r="W328" s="7">
        <v>0.53600000000000003</v>
      </c>
      <c r="X328" s="7">
        <v>0.57199999999999995</v>
      </c>
      <c r="Y328" s="7">
        <v>0.66800000000000004</v>
      </c>
      <c r="Z328" s="7">
        <v>0.56399999999999995</v>
      </c>
      <c r="AA328" s="7">
        <v>0.46300000000000002</v>
      </c>
      <c r="AB328" s="7">
        <v>0.33200000000000002</v>
      </c>
      <c r="AC328" s="7">
        <v>0.35799999999999998</v>
      </c>
      <c r="AD328" s="7">
        <v>0.33500000000000002</v>
      </c>
      <c r="AE328" s="7">
        <v>0.33400000000000002</v>
      </c>
      <c r="AF328" s="7">
        <v>0.36199999999999999</v>
      </c>
      <c r="AG328" s="7">
        <v>0.34599999999999997</v>
      </c>
      <c r="AH328" s="7">
        <v>0.38200000000000001</v>
      </c>
      <c r="AI328" s="7">
        <v>0.50700000000000001</v>
      </c>
      <c r="AJ328" s="7">
        <v>0.59299999999999997</v>
      </c>
      <c r="AK328" s="7">
        <v>0.52500000000000002</v>
      </c>
      <c r="AL328" s="7">
        <v>0.42699999999999999</v>
      </c>
      <c r="AM328" s="7">
        <v>0.38200000000000001</v>
      </c>
      <c r="AN328" s="7">
        <v>0.34</v>
      </c>
      <c r="AO328" s="7">
        <v>0.35099999999999998</v>
      </c>
      <c r="AP328" s="7">
        <v>0.34599999999999997</v>
      </c>
      <c r="AQ328" s="7">
        <v>0.34499999999999997</v>
      </c>
      <c r="AR328" s="7">
        <v>0.379</v>
      </c>
      <c r="AS328" s="7">
        <v>0.27700000000000002</v>
      </c>
      <c r="AT328" s="7">
        <v>14.678000000000001</v>
      </c>
    </row>
    <row r="329" spans="1:46" x14ac:dyDescent="0.25">
      <c r="A329" s="4" t="s">
        <v>267</v>
      </c>
      <c r="B329" s="4" t="s">
        <v>207</v>
      </c>
      <c r="C329" s="4" t="s">
        <v>246</v>
      </c>
      <c r="D329" s="4" t="s">
        <v>263</v>
      </c>
      <c r="E329" s="4" t="s">
        <v>248</v>
      </c>
      <c r="F329" s="4" t="s">
        <v>195</v>
      </c>
      <c r="G329" s="4" t="s">
        <v>85</v>
      </c>
      <c r="H329" s="4" t="s">
        <v>250</v>
      </c>
      <c r="I329" s="7">
        <v>96.655000000000001</v>
      </c>
      <c r="J329" s="7">
        <v>99.62</v>
      </c>
      <c r="K329" s="7">
        <v>99.85</v>
      </c>
      <c r="L329" s="7">
        <v>99.897000000000006</v>
      </c>
      <c r="M329" s="7">
        <v>99.915999999999997</v>
      </c>
      <c r="N329" s="7">
        <v>99.840999999999994</v>
      </c>
      <c r="O329" s="7">
        <v>99.284000000000006</v>
      </c>
      <c r="P329" s="7">
        <v>97.587000000000003</v>
      </c>
      <c r="Q329" s="7">
        <v>94.802000000000007</v>
      </c>
      <c r="R329" s="7">
        <v>78.933000000000007</v>
      </c>
      <c r="S329" s="7">
        <v>76.700999999999993</v>
      </c>
      <c r="T329" s="7">
        <v>83.703999999999994</v>
      </c>
      <c r="U329" s="7">
        <v>90.561000000000007</v>
      </c>
      <c r="V329" s="7">
        <v>98.057000000000002</v>
      </c>
      <c r="W329" s="7">
        <v>99.626999999999995</v>
      </c>
      <c r="X329" s="7">
        <v>99.400999999999996</v>
      </c>
      <c r="Y329" s="7">
        <v>99.784999999999997</v>
      </c>
      <c r="Z329" s="7">
        <v>99.814999999999998</v>
      </c>
      <c r="AA329" s="7">
        <v>99.725999999999999</v>
      </c>
      <c r="AB329" s="7">
        <v>99.378</v>
      </c>
      <c r="AC329" s="7">
        <v>97.542000000000002</v>
      </c>
      <c r="AD329" s="7">
        <v>93.617000000000004</v>
      </c>
      <c r="AE329" s="7">
        <v>89.016000000000005</v>
      </c>
      <c r="AF329" s="7">
        <v>88.566000000000003</v>
      </c>
      <c r="AG329" s="7">
        <v>90.8</v>
      </c>
      <c r="AH329" s="7">
        <v>97.057000000000002</v>
      </c>
      <c r="AI329" s="7">
        <v>98.638000000000005</v>
      </c>
      <c r="AJ329" s="7">
        <v>99.647999999999996</v>
      </c>
      <c r="AK329" s="7">
        <v>99.656000000000006</v>
      </c>
      <c r="AL329" s="7">
        <v>99.111000000000004</v>
      </c>
      <c r="AM329" s="7">
        <v>99.236999999999995</v>
      </c>
      <c r="AN329" s="7">
        <v>99.358000000000004</v>
      </c>
      <c r="AO329" s="7">
        <v>98.207999999999998</v>
      </c>
      <c r="AP329" s="7">
        <v>92.924999999999997</v>
      </c>
      <c r="AQ329" s="7">
        <v>87.814999999999998</v>
      </c>
      <c r="AR329" s="7">
        <v>81.125</v>
      </c>
      <c r="AS329" s="7">
        <v>89.753</v>
      </c>
      <c r="AT329" s="8">
        <v>0</v>
      </c>
    </row>
    <row r="330" spans="1:46" x14ac:dyDescent="0.25">
      <c r="A330" s="4" t="s">
        <v>267</v>
      </c>
      <c r="B330" s="4" t="s">
        <v>207</v>
      </c>
      <c r="C330" s="4" t="s">
        <v>246</v>
      </c>
      <c r="D330" s="4" t="s">
        <v>263</v>
      </c>
      <c r="E330" s="4" t="s">
        <v>248</v>
      </c>
      <c r="F330" s="4" t="s">
        <v>195</v>
      </c>
      <c r="G330" s="4" t="s">
        <v>85</v>
      </c>
      <c r="H330" s="4" t="s">
        <v>251</v>
      </c>
      <c r="I330" s="7">
        <v>90.723444799999996</v>
      </c>
      <c r="J330" s="7">
        <v>96.582396900000006</v>
      </c>
      <c r="K330" s="7">
        <v>97.205185900000004</v>
      </c>
      <c r="L330" s="7">
        <v>97.597560900000005</v>
      </c>
      <c r="M330" s="7">
        <v>95.886713400000005</v>
      </c>
      <c r="N330" s="7">
        <v>95.897331800000003</v>
      </c>
      <c r="O330" s="7">
        <v>95.249694700000006</v>
      </c>
      <c r="P330" s="7">
        <v>93.072701899999998</v>
      </c>
      <c r="Q330" s="7">
        <v>87.188028099999997</v>
      </c>
      <c r="R330" s="7">
        <v>59.760675499999998</v>
      </c>
      <c r="S330" s="7">
        <v>53.094172899999997</v>
      </c>
      <c r="T330" s="7">
        <v>65.172490199999999</v>
      </c>
      <c r="U330" s="7">
        <v>76.957088999999996</v>
      </c>
      <c r="V330" s="7">
        <v>89.494662500000004</v>
      </c>
      <c r="W330" s="7">
        <v>93.469809999999995</v>
      </c>
      <c r="X330" s="7">
        <v>93.588012599999999</v>
      </c>
      <c r="Y330" s="7">
        <v>95.040015400000001</v>
      </c>
      <c r="Z330" s="7">
        <v>94.752201900000003</v>
      </c>
      <c r="AA330" s="7">
        <v>94.746780200000003</v>
      </c>
      <c r="AB330" s="7">
        <v>93.859684999999999</v>
      </c>
      <c r="AC330" s="7">
        <v>91.426478299999999</v>
      </c>
      <c r="AD330" s="7">
        <v>82.7597272</v>
      </c>
      <c r="AE330" s="7">
        <v>74.675258900000003</v>
      </c>
      <c r="AF330" s="7">
        <v>72.943988500000003</v>
      </c>
      <c r="AG330" s="7">
        <v>77.236426600000001</v>
      </c>
      <c r="AH330" s="7">
        <v>90.564728500000001</v>
      </c>
      <c r="AI330" s="7">
        <v>93.489804500000005</v>
      </c>
      <c r="AJ330" s="7">
        <v>94.428348600000007</v>
      </c>
      <c r="AK330" s="7">
        <v>94.305059099999994</v>
      </c>
      <c r="AL330" s="7">
        <v>92.5987267</v>
      </c>
      <c r="AM330" s="7">
        <v>93.3386833</v>
      </c>
      <c r="AN330" s="7">
        <v>93.686964500000002</v>
      </c>
      <c r="AO330" s="7">
        <v>91.9342477</v>
      </c>
      <c r="AP330" s="7">
        <v>80.464073299999995</v>
      </c>
      <c r="AQ330" s="7">
        <v>69.056578500000001</v>
      </c>
      <c r="AR330" s="7">
        <v>59.117580699999998</v>
      </c>
      <c r="AS330" s="7">
        <v>74.118259199999997</v>
      </c>
      <c r="AT330" s="7">
        <v>89.753</v>
      </c>
    </row>
    <row r="331" spans="1:46" x14ac:dyDescent="0.25">
      <c r="A331" s="4" t="s">
        <v>267</v>
      </c>
      <c r="B331" s="4" t="s">
        <v>207</v>
      </c>
      <c r="C331" s="4" t="s">
        <v>246</v>
      </c>
      <c r="D331" s="4" t="s">
        <v>263</v>
      </c>
      <c r="E331" s="4" t="s">
        <v>248</v>
      </c>
      <c r="F331" s="4" t="s">
        <v>195</v>
      </c>
      <c r="G331" s="4" t="s">
        <v>85</v>
      </c>
      <c r="H331" s="4" t="s">
        <v>252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0</v>
      </c>
      <c r="AI331" s="17">
        <v>0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7">
        <v>74.118259199999997</v>
      </c>
    </row>
    <row r="332" spans="1:46" x14ac:dyDescent="0.25">
      <c r="A332" s="4" t="s">
        <v>267</v>
      </c>
      <c r="B332" s="4" t="s">
        <v>207</v>
      </c>
      <c r="C332" s="4" t="s">
        <v>246</v>
      </c>
      <c r="D332" s="4" t="s">
        <v>265</v>
      </c>
      <c r="E332" s="4" t="s">
        <v>266</v>
      </c>
      <c r="F332" s="4" t="s">
        <v>195</v>
      </c>
      <c r="G332" s="4" t="s">
        <v>93</v>
      </c>
      <c r="H332" s="4" t="s">
        <v>151</v>
      </c>
      <c r="I332" s="5">
        <v>1271.538</v>
      </c>
      <c r="J332" s="5">
        <v>2382.3919999999998</v>
      </c>
      <c r="K332" s="5">
        <v>3334.08</v>
      </c>
      <c r="L332" s="5">
        <v>4343.875</v>
      </c>
      <c r="M332" s="5">
        <v>6465.0709999999999</v>
      </c>
      <c r="N332" s="5">
        <v>4951.3130000000001</v>
      </c>
      <c r="O332" s="5">
        <v>4471.0820000000003</v>
      </c>
      <c r="P332" s="5">
        <v>2474.6640000000002</v>
      </c>
      <c r="Q332" s="5">
        <v>1572.6880000000001</v>
      </c>
      <c r="R332" s="5">
        <v>681.10299999999995</v>
      </c>
      <c r="S332" s="5">
        <v>509.07799999999997</v>
      </c>
      <c r="T332" s="5">
        <v>508.97199999999998</v>
      </c>
      <c r="U332" s="5">
        <v>943.16099999999994</v>
      </c>
      <c r="V332" s="5">
        <v>2271.3310000000001</v>
      </c>
      <c r="W332" s="5">
        <v>3494.11</v>
      </c>
      <c r="X332" s="5">
        <v>5357.8919999999998</v>
      </c>
      <c r="Y332" s="5">
        <v>6277.3630000000003</v>
      </c>
      <c r="Z332" s="5">
        <v>4440.1589999999997</v>
      </c>
      <c r="AA332" s="5">
        <v>4759.6710000000003</v>
      </c>
      <c r="AB332" s="5">
        <v>4155.4520000000002</v>
      </c>
      <c r="AC332" s="5">
        <v>2620.8989999999999</v>
      </c>
      <c r="AD332" s="5">
        <v>1442.193</v>
      </c>
      <c r="AE332" s="5">
        <v>876.68</v>
      </c>
      <c r="AF332" s="5">
        <v>852.13800000000003</v>
      </c>
      <c r="AG332" s="5">
        <v>1081.751</v>
      </c>
      <c r="AH332" s="5">
        <v>2243.7559999999999</v>
      </c>
      <c r="AI332" s="5">
        <v>3145.6959999999999</v>
      </c>
      <c r="AJ332" s="5">
        <v>5381.2809999999999</v>
      </c>
      <c r="AK332" s="5">
        <v>7009.9059999999999</v>
      </c>
      <c r="AL332" s="5">
        <v>5234.9660000000003</v>
      </c>
      <c r="AM332" s="5">
        <v>5480.7439999999997</v>
      </c>
      <c r="AN332" s="5">
        <v>5428.4930000000004</v>
      </c>
      <c r="AO332" s="5">
        <v>2592.04</v>
      </c>
      <c r="AP332" s="5">
        <v>1012.768</v>
      </c>
      <c r="AQ332" s="5">
        <v>615.39499999999998</v>
      </c>
      <c r="AR332" s="5">
        <v>656.88099999999997</v>
      </c>
      <c r="AS332" s="5">
        <v>1079.088</v>
      </c>
      <c r="AT332" s="5">
        <v>1079.088</v>
      </c>
    </row>
    <row r="333" spans="1:46" x14ac:dyDescent="0.25">
      <c r="A333" s="4" t="s">
        <v>267</v>
      </c>
      <c r="B333" s="4" t="s">
        <v>207</v>
      </c>
      <c r="C333" s="4" t="s">
        <v>246</v>
      </c>
      <c r="D333" s="4" t="s">
        <v>265</v>
      </c>
      <c r="E333" s="4" t="s">
        <v>266</v>
      </c>
      <c r="F333" s="4" t="s">
        <v>195</v>
      </c>
      <c r="G333" s="4" t="s">
        <v>93</v>
      </c>
      <c r="H333" s="4" t="s">
        <v>205</v>
      </c>
      <c r="I333" s="6">
        <v>238654.27600000001</v>
      </c>
      <c r="J333" s="6">
        <v>432204.609</v>
      </c>
      <c r="K333" s="6">
        <v>627973.42500000005</v>
      </c>
      <c r="L333" s="6">
        <v>822948.77500000002</v>
      </c>
      <c r="M333" s="6">
        <v>1199039.1470000001</v>
      </c>
      <c r="N333" s="6">
        <v>914495.38600000006</v>
      </c>
      <c r="O333" s="6">
        <v>799364.495</v>
      </c>
      <c r="P333" s="6">
        <v>461453.36</v>
      </c>
      <c r="Q333" s="6">
        <v>293251.68699999998</v>
      </c>
      <c r="R333" s="6">
        <v>126128.25</v>
      </c>
      <c r="S333" s="6">
        <v>94308.751000000004</v>
      </c>
      <c r="T333" s="6">
        <v>103961.92600000001</v>
      </c>
      <c r="U333" s="6">
        <v>197072.22399999999</v>
      </c>
      <c r="V333" s="6">
        <v>410469.69</v>
      </c>
      <c r="W333" s="6">
        <v>632198.66200000001</v>
      </c>
      <c r="X333" s="6">
        <v>950102.16</v>
      </c>
      <c r="Y333" s="6">
        <v>1077120.5090000001</v>
      </c>
      <c r="Z333" s="6">
        <v>790109.22499999998</v>
      </c>
      <c r="AA333" s="6">
        <v>845002.299</v>
      </c>
      <c r="AB333" s="6">
        <v>675418.49600000004</v>
      </c>
      <c r="AC333" s="6">
        <v>460182.76799999998</v>
      </c>
      <c r="AD333" s="6">
        <v>254985.06599999999</v>
      </c>
      <c r="AE333" s="6">
        <v>155583.22500000001</v>
      </c>
      <c r="AF333" s="6">
        <v>154296.269</v>
      </c>
      <c r="AG333" s="6">
        <v>199328.209</v>
      </c>
      <c r="AH333" s="6">
        <v>397561.14199999999</v>
      </c>
      <c r="AI333" s="6">
        <v>588926.03599999996</v>
      </c>
      <c r="AJ333" s="6">
        <v>1032685.829</v>
      </c>
      <c r="AK333" s="6">
        <v>1304580.4350000001</v>
      </c>
      <c r="AL333" s="6">
        <v>991740.09499999997</v>
      </c>
      <c r="AM333" s="6">
        <v>985828.81299999997</v>
      </c>
      <c r="AN333" s="6">
        <v>975162.6</v>
      </c>
      <c r="AO333" s="6">
        <v>483539.40100000001</v>
      </c>
      <c r="AP333" s="6">
        <v>188819.788</v>
      </c>
      <c r="AQ333" s="6">
        <v>114771.899</v>
      </c>
      <c r="AR333" s="6">
        <v>123509.102</v>
      </c>
      <c r="AS333" s="6">
        <v>205724.908</v>
      </c>
      <c r="AT333" s="6">
        <v>205724.908</v>
      </c>
    </row>
    <row r="334" spans="1:46" x14ac:dyDescent="0.25">
      <c r="A334" s="4" t="s">
        <v>267</v>
      </c>
      <c r="B334" s="4" t="s">
        <v>207</v>
      </c>
      <c r="C334" s="4" t="s">
        <v>246</v>
      </c>
      <c r="D334" s="4" t="s">
        <v>265</v>
      </c>
      <c r="E334" s="4" t="s">
        <v>266</v>
      </c>
      <c r="F334" s="4" t="s">
        <v>195</v>
      </c>
      <c r="G334" s="4" t="s">
        <v>93</v>
      </c>
      <c r="H334" s="4" t="s">
        <v>249</v>
      </c>
      <c r="I334" s="7">
        <v>2.831</v>
      </c>
      <c r="J334" s="7">
        <v>2.7189999999999999</v>
      </c>
      <c r="K334" s="7">
        <v>2.2749999999999999</v>
      </c>
      <c r="L334" s="7">
        <v>2.3319999999999999</v>
      </c>
      <c r="M334" s="7">
        <v>2.242</v>
      </c>
      <c r="N334" s="7">
        <v>1.931</v>
      </c>
      <c r="O334" s="7">
        <v>2.0750000000000002</v>
      </c>
      <c r="P334" s="7">
        <v>1.863</v>
      </c>
      <c r="Q334" s="7">
        <v>2.274</v>
      </c>
      <c r="R334" s="7">
        <v>2.3809999999999998</v>
      </c>
      <c r="S334" s="7">
        <v>2.2130000000000001</v>
      </c>
      <c r="T334" s="7">
        <v>2.0390000000000001</v>
      </c>
      <c r="U334" s="7">
        <v>2.4009999999999998</v>
      </c>
      <c r="V334" s="7">
        <v>3.18</v>
      </c>
      <c r="W334" s="7">
        <v>2.69</v>
      </c>
      <c r="X334" s="7">
        <v>2.6309999999999998</v>
      </c>
      <c r="Y334" s="7">
        <v>2.7290000000000001</v>
      </c>
      <c r="Z334" s="7">
        <v>2.0489999999999999</v>
      </c>
      <c r="AA334" s="7">
        <v>2.1509999999999998</v>
      </c>
      <c r="AB334" s="7">
        <v>2.706</v>
      </c>
      <c r="AC334" s="7">
        <v>2.7669999999999999</v>
      </c>
      <c r="AD334" s="7">
        <v>2.7160000000000002</v>
      </c>
      <c r="AE334" s="7">
        <v>2.7290000000000001</v>
      </c>
      <c r="AF334" s="7">
        <v>2.8570000000000002</v>
      </c>
      <c r="AG334" s="7">
        <v>3.3540000000000001</v>
      </c>
      <c r="AH334" s="7">
        <v>3.448</v>
      </c>
      <c r="AI334" s="7">
        <v>3.08</v>
      </c>
      <c r="AJ334" s="7">
        <v>2.9860000000000002</v>
      </c>
      <c r="AK334" s="7">
        <v>2.7589999999999999</v>
      </c>
      <c r="AL334" s="7">
        <v>2.3610000000000002</v>
      </c>
      <c r="AM334" s="7">
        <v>2.2200000000000002</v>
      </c>
      <c r="AN334" s="7">
        <v>2.173</v>
      </c>
      <c r="AO334" s="7">
        <v>2.4910000000000001</v>
      </c>
      <c r="AP334" s="7">
        <v>2.012</v>
      </c>
      <c r="AQ334" s="7">
        <v>2.1419999999999999</v>
      </c>
      <c r="AR334" s="7">
        <v>2.964</v>
      </c>
      <c r="AS334" s="7">
        <v>3.6160000000000001</v>
      </c>
      <c r="AT334" s="7">
        <v>0.55400000000000005</v>
      </c>
    </row>
    <row r="335" spans="1:46" x14ac:dyDescent="0.25">
      <c r="A335" s="4" t="s">
        <v>267</v>
      </c>
      <c r="B335" s="4" t="s">
        <v>207</v>
      </c>
      <c r="C335" s="4" t="s">
        <v>246</v>
      </c>
      <c r="D335" s="4" t="s">
        <v>265</v>
      </c>
      <c r="E335" s="4" t="s">
        <v>266</v>
      </c>
      <c r="F335" s="4" t="s">
        <v>195</v>
      </c>
      <c r="G335" s="4" t="s">
        <v>93</v>
      </c>
      <c r="H335" s="4" t="s">
        <v>250</v>
      </c>
      <c r="I335" s="7">
        <v>83.995000000000005</v>
      </c>
      <c r="J335" s="7">
        <v>91.933000000000007</v>
      </c>
      <c r="K335" s="7">
        <v>94.665000000000006</v>
      </c>
      <c r="L335" s="7">
        <v>96.48</v>
      </c>
      <c r="M335" s="7">
        <v>96.156000000000006</v>
      </c>
      <c r="N335" s="7">
        <v>94.971999999999994</v>
      </c>
      <c r="O335" s="7">
        <v>92.742000000000004</v>
      </c>
      <c r="P335" s="7">
        <v>90.421000000000006</v>
      </c>
      <c r="Q335" s="7">
        <v>85.789000000000001</v>
      </c>
      <c r="R335" s="7">
        <v>63.673999999999999</v>
      </c>
      <c r="S335" s="7">
        <v>61.692999999999998</v>
      </c>
      <c r="T335" s="7">
        <v>69.125</v>
      </c>
      <c r="U335" s="7">
        <v>81.233999999999995</v>
      </c>
      <c r="V335" s="7">
        <v>89.492000000000004</v>
      </c>
      <c r="W335" s="7">
        <v>96.165999999999997</v>
      </c>
      <c r="X335" s="7">
        <v>97.153999999999996</v>
      </c>
      <c r="Y335" s="7">
        <v>96.974000000000004</v>
      </c>
      <c r="Z335" s="7">
        <v>95.986999999999995</v>
      </c>
      <c r="AA335" s="7">
        <v>96.043999999999997</v>
      </c>
      <c r="AB335" s="7">
        <v>94.866</v>
      </c>
      <c r="AC335" s="7">
        <v>92.41</v>
      </c>
      <c r="AD335" s="7">
        <v>83.212000000000003</v>
      </c>
      <c r="AE335" s="7">
        <v>76.087000000000003</v>
      </c>
      <c r="AF335" s="7">
        <v>71.736000000000004</v>
      </c>
      <c r="AG335" s="7">
        <v>77.561999999999998</v>
      </c>
      <c r="AH335" s="7">
        <v>87.71</v>
      </c>
      <c r="AI335" s="7">
        <v>91.316999999999993</v>
      </c>
      <c r="AJ335" s="7">
        <v>94.522000000000006</v>
      </c>
      <c r="AK335" s="7">
        <v>92.456000000000003</v>
      </c>
      <c r="AL335" s="7">
        <v>86.100999999999999</v>
      </c>
      <c r="AM335" s="7">
        <v>85.626000000000005</v>
      </c>
      <c r="AN335" s="7">
        <v>85.876999999999995</v>
      </c>
      <c r="AO335" s="7">
        <v>78.825999999999993</v>
      </c>
      <c r="AP335" s="7">
        <v>70.447999999999993</v>
      </c>
      <c r="AQ335" s="7">
        <v>66.593000000000004</v>
      </c>
      <c r="AR335" s="7">
        <v>69.284000000000006</v>
      </c>
      <c r="AS335" s="7">
        <v>83.414000000000001</v>
      </c>
      <c r="AT335" s="8">
        <v>0</v>
      </c>
    </row>
    <row r="336" spans="1:46" x14ac:dyDescent="0.25">
      <c r="A336" s="4" t="s">
        <v>267</v>
      </c>
      <c r="B336" s="4" t="s">
        <v>207</v>
      </c>
      <c r="C336" s="4" t="s">
        <v>246</v>
      </c>
      <c r="D336" s="4" t="s">
        <v>265</v>
      </c>
      <c r="E336" s="4" t="s">
        <v>266</v>
      </c>
      <c r="F336" s="4" t="s">
        <v>195</v>
      </c>
      <c r="G336" s="4" t="s">
        <v>93</v>
      </c>
      <c r="H336" s="4" t="s">
        <v>251</v>
      </c>
      <c r="I336" s="7">
        <v>76.254236899999995</v>
      </c>
      <c r="J336" s="7">
        <v>80.742738399999993</v>
      </c>
      <c r="K336" s="7">
        <v>84.128250899999998</v>
      </c>
      <c r="L336" s="7">
        <v>86.891399899999996</v>
      </c>
      <c r="M336" s="7">
        <v>85.518356199999999</v>
      </c>
      <c r="N336" s="7">
        <v>84.359154200000006</v>
      </c>
      <c r="O336" s="7">
        <v>85.151489999999995</v>
      </c>
      <c r="P336" s="7">
        <v>83.556578799999997</v>
      </c>
      <c r="Q336" s="7">
        <v>82.833534200000003</v>
      </c>
      <c r="R336" s="7">
        <v>60.307755700000001</v>
      </c>
      <c r="S336" s="7">
        <v>56.547117200000002</v>
      </c>
      <c r="T336" s="7">
        <v>62.914290600000001</v>
      </c>
      <c r="U336" s="7">
        <v>72.170597999999998</v>
      </c>
      <c r="V336" s="7">
        <v>80.323472499999994</v>
      </c>
      <c r="W336" s="7">
        <v>86.531598000000002</v>
      </c>
      <c r="X336" s="7">
        <v>88.311196199999998</v>
      </c>
      <c r="Y336" s="7">
        <v>88.197570799999994</v>
      </c>
      <c r="Z336" s="7">
        <v>86.767094</v>
      </c>
      <c r="AA336" s="7">
        <v>87.215414100000004</v>
      </c>
      <c r="AB336" s="7">
        <v>84.795410599999997</v>
      </c>
      <c r="AC336" s="7">
        <v>84.654222599999997</v>
      </c>
      <c r="AD336" s="7">
        <v>73.813746699999996</v>
      </c>
      <c r="AE336" s="7">
        <v>70.706313699999995</v>
      </c>
      <c r="AF336" s="7">
        <v>65.031931499999999</v>
      </c>
      <c r="AG336" s="7">
        <v>73.052707499999997</v>
      </c>
      <c r="AH336" s="7">
        <v>82.237154000000004</v>
      </c>
      <c r="AI336" s="7">
        <v>83.653748199999995</v>
      </c>
      <c r="AJ336" s="7">
        <v>83.035435699999994</v>
      </c>
      <c r="AK336" s="7">
        <v>82.547265600000003</v>
      </c>
      <c r="AL336" s="7">
        <v>77.014758599999993</v>
      </c>
      <c r="AM336" s="7">
        <v>75.490109000000004</v>
      </c>
      <c r="AN336" s="7">
        <v>72.703666100000007</v>
      </c>
      <c r="AO336" s="7">
        <v>66.797194000000005</v>
      </c>
      <c r="AP336" s="7">
        <v>56.787420400000002</v>
      </c>
      <c r="AQ336" s="7">
        <v>56.578473199999998</v>
      </c>
      <c r="AR336" s="7">
        <v>57.258881199999998</v>
      </c>
      <c r="AS336" s="7">
        <v>65.223091400000001</v>
      </c>
      <c r="AT336" s="7">
        <v>83.414000000000001</v>
      </c>
    </row>
    <row r="337" spans="1:46" x14ac:dyDescent="0.25">
      <c r="A337" s="4" t="s">
        <v>267</v>
      </c>
      <c r="B337" s="4" t="s">
        <v>207</v>
      </c>
      <c r="C337" s="4" t="s">
        <v>246</v>
      </c>
      <c r="D337" s="4" t="s">
        <v>265</v>
      </c>
      <c r="E337" s="4" t="s">
        <v>266</v>
      </c>
      <c r="F337" s="4" t="s">
        <v>195</v>
      </c>
      <c r="G337" s="4" t="s">
        <v>93</v>
      </c>
      <c r="H337" s="4" t="s">
        <v>252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>
        <v>0</v>
      </c>
      <c r="AS337" s="17">
        <v>0</v>
      </c>
      <c r="AT337" s="7">
        <v>65.223091400000001</v>
      </c>
    </row>
    <row r="338" spans="1:46" x14ac:dyDescent="0.25">
      <c r="A338" s="4" t="s">
        <v>197</v>
      </c>
      <c r="B338" s="4" t="s">
        <v>207</v>
      </c>
      <c r="C338" s="4" t="s">
        <v>246</v>
      </c>
      <c r="D338" s="4" t="s">
        <v>247</v>
      </c>
      <c r="E338" s="4" t="s">
        <v>248</v>
      </c>
      <c r="F338" s="4" t="s">
        <v>201</v>
      </c>
      <c r="G338" s="4" t="s">
        <v>93</v>
      </c>
      <c r="H338" s="4" t="s">
        <v>151</v>
      </c>
      <c r="I338" s="5">
        <v>10.137</v>
      </c>
      <c r="J338" s="5">
        <v>8.9350000000000005</v>
      </c>
      <c r="K338" s="5">
        <v>20.794</v>
      </c>
      <c r="L338" s="5">
        <v>89.322000000000003</v>
      </c>
      <c r="M338" s="5">
        <v>79.980999999999995</v>
      </c>
      <c r="N338" s="5">
        <v>218.76499999999999</v>
      </c>
      <c r="O338" s="5">
        <v>482.19</v>
      </c>
      <c r="P338" s="5">
        <v>254.952</v>
      </c>
      <c r="Q338" s="5">
        <v>190.80799999999999</v>
      </c>
      <c r="R338" s="5">
        <v>95.350999999999999</v>
      </c>
      <c r="S338" s="5">
        <v>94.075999999999993</v>
      </c>
      <c r="T338" s="5">
        <v>88.68</v>
      </c>
      <c r="U338" s="5">
        <v>74.067999999999998</v>
      </c>
      <c r="V338" s="5">
        <v>68.52</v>
      </c>
      <c r="W338" s="5">
        <v>21.963000000000001</v>
      </c>
      <c r="X338" s="5">
        <v>110.648</v>
      </c>
      <c r="Y338" s="5">
        <v>1.286</v>
      </c>
      <c r="Z338" s="5">
        <v>149.434</v>
      </c>
      <c r="AA338" s="5">
        <v>167.322</v>
      </c>
      <c r="AB338" s="5">
        <v>179.66900000000001</v>
      </c>
      <c r="AC338" s="5">
        <v>216.44300000000001</v>
      </c>
      <c r="AD338" s="5">
        <v>300.37</v>
      </c>
      <c r="AE338" s="5">
        <v>245.89699999999999</v>
      </c>
      <c r="AF338" s="5">
        <v>239.27799999999999</v>
      </c>
      <c r="AG338" s="5">
        <v>241.49</v>
      </c>
      <c r="AH338" s="5">
        <v>338.15800000000002</v>
      </c>
      <c r="AI338" s="5">
        <v>434.78899999999999</v>
      </c>
      <c r="AJ338" s="5">
        <v>563.85599999999999</v>
      </c>
      <c r="AK338" s="5">
        <v>706.47799999999995</v>
      </c>
      <c r="AL338" s="5">
        <v>1144.393</v>
      </c>
      <c r="AM338" s="5">
        <v>294.76</v>
      </c>
      <c r="AN338" s="5">
        <v>451.28699999999998</v>
      </c>
      <c r="AO338" s="5">
        <v>710.88</v>
      </c>
      <c r="AP338" s="5">
        <v>268.42899999999997</v>
      </c>
      <c r="AQ338" s="5">
        <v>182.125</v>
      </c>
      <c r="AR338" s="5">
        <v>24.219000000000001</v>
      </c>
      <c r="AS338" s="5">
        <v>80.728999999999999</v>
      </c>
      <c r="AT338" s="5">
        <v>80.728999999999999</v>
      </c>
    </row>
    <row r="339" spans="1:46" x14ac:dyDescent="0.25">
      <c r="A339" s="4" t="s">
        <v>197</v>
      </c>
      <c r="B339" s="4" t="s">
        <v>207</v>
      </c>
      <c r="C339" s="4" t="s">
        <v>246</v>
      </c>
      <c r="D339" s="4" t="s">
        <v>247</v>
      </c>
      <c r="E339" s="4" t="s">
        <v>248</v>
      </c>
      <c r="F339" s="4" t="s">
        <v>201</v>
      </c>
      <c r="G339" s="4" t="s">
        <v>93</v>
      </c>
      <c r="H339" s="4" t="s">
        <v>205</v>
      </c>
      <c r="I339" s="6">
        <v>1297.5509999999999</v>
      </c>
      <c r="J339" s="6">
        <v>1143.636</v>
      </c>
      <c r="K339" s="6">
        <v>2847.9459999999999</v>
      </c>
      <c r="L339" s="6">
        <v>16333.216</v>
      </c>
      <c r="M339" s="6">
        <v>16961.907999999999</v>
      </c>
      <c r="N339" s="6">
        <v>41468.879000000001</v>
      </c>
      <c r="O339" s="6">
        <v>87429.194000000003</v>
      </c>
      <c r="P339" s="6">
        <v>44599.999000000003</v>
      </c>
      <c r="Q339" s="6">
        <v>33510.091999999997</v>
      </c>
      <c r="R339" s="6">
        <v>16400.398000000001</v>
      </c>
      <c r="S339" s="6">
        <v>16181.153</v>
      </c>
      <c r="T339" s="6">
        <v>15798.062</v>
      </c>
      <c r="U339" s="6">
        <v>13317.837</v>
      </c>
      <c r="V339" s="6">
        <v>12192.744000000001</v>
      </c>
      <c r="W339" s="6">
        <v>4645.4979999999996</v>
      </c>
      <c r="X339" s="6">
        <v>19145.471000000001</v>
      </c>
      <c r="Y339" s="6">
        <v>248.14</v>
      </c>
      <c r="Z339" s="6">
        <v>20806.664000000001</v>
      </c>
      <c r="AA339" s="6">
        <v>29510.33</v>
      </c>
      <c r="AB339" s="6">
        <v>34314.661</v>
      </c>
      <c r="AC339" s="6">
        <v>36547.502</v>
      </c>
      <c r="AD339" s="6">
        <v>53324.15</v>
      </c>
      <c r="AE339" s="6">
        <v>41256.595999999998</v>
      </c>
      <c r="AF339" s="6">
        <v>39598.546000000002</v>
      </c>
      <c r="AG339" s="6">
        <v>39683.188999999998</v>
      </c>
      <c r="AH339" s="6">
        <v>55633.008999999998</v>
      </c>
      <c r="AI339" s="6">
        <v>71113.221999999994</v>
      </c>
      <c r="AJ339" s="6">
        <v>89581.581000000006</v>
      </c>
      <c r="AK339" s="6">
        <v>121413.673</v>
      </c>
      <c r="AL339" s="6">
        <v>222317.84</v>
      </c>
      <c r="AM339" s="6">
        <v>68915.282000000007</v>
      </c>
      <c r="AN339" s="6">
        <v>94581.501999999993</v>
      </c>
      <c r="AO339" s="6">
        <v>163441.89199999999</v>
      </c>
      <c r="AP339" s="6">
        <v>68200.702000000005</v>
      </c>
      <c r="AQ339" s="6">
        <v>45772.025999999998</v>
      </c>
      <c r="AR339" s="6">
        <v>5916.0680000000002</v>
      </c>
      <c r="AS339" s="6">
        <v>13810.499</v>
      </c>
      <c r="AT339" s="6">
        <v>13810.499</v>
      </c>
    </row>
    <row r="340" spans="1:46" x14ac:dyDescent="0.25">
      <c r="A340" s="4" t="s">
        <v>197</v>
      </c>
      <c r="B340" s="4" t="s">
        <v>207</v>
      </c>
      <c r="C340" s="4" t="s">
        <v>246</v>
      </c>
      <c r="D340" s="4" t="s">
        <v>247</v>
      </c>
      <c r="E340" s="4" t="s">
        <v>248</v>
      </c>
      <c r="F340" s="4" t="s">
        <v>201</v>
      </c>
      <c r="G340" s="4" t="s">
        <v>93</v>
      </c>
      <c r="H340" s="4" t="s">
        <v>249</v>
      </c>
      <c r="I340" s="7">
        <v>2.8000000000000001E-2</v>
      </c>
      <c r="J340" s="7">
        <v>2.3E-2</v>
      </c>
      <c r="K340" s="7">
        <v>4.1000000000000002E-2</v>
      </c>
      <c r="L340" s="7">
        <v>0.13</v>
      </c>
      <c r="M340" s="7">
        <v>0.10199999999999999</v>
      </c>
      <c r="N340" s="7">
        <v>0.27900000000000003</v>
      </c>
      <c r="O340" s="7">
        <v>0.64800000000000002</v>
      </c>
      <c r="P340" s="7">
        <v>0.45200000000000001</v>
      </c>
      <c r="Q340" s="7">
        <v>0.37</v>
      </c>
      <c r="R340" s="7">
        <v>0.23799999999999999</v>
      </c>
      <c r="S340" s="7">
        <v>0.27100000000000002</v>
      </c>
      <c r="T340" s="7">
        <v>0.27</v>
      </c>
      <c r="U340" s="7">
        <v>0.22500000000000001</v>
      </c>
      <c r="V340" s="7">
        <v>0.20100000000000001</v>
      </c>
      <c r="W340" s="7">
        <v>5.5E-2</v>
      </c>
      <c r="X340" s="7">
        <v>0.221</v>
      </c>
      <c r="Y340" s="7">
        <v>2E-3</v>
      </c>
      <c r="Z340" s="7">
        <v>0.30399999999999999</v>
      </c>
      <c r="AA340" s="7">
        <v>0.33</v>
      </c>
      <c r="AB340" s="7">
        <v>0.38400000000000001</v>
      </c>
      <c r="AC340" s="7">
        <v>0.52500000000000002</v>
      </c>
      <c r="AD340" s="7">
        <v>0.83399999999999996</v>
      </c>
      <c r="AE340" s="7">
        <v>0.82399999999999995</v>
      </c>
      <c r="AF340" s="7">
        <v>0.91900000000000004</v>
      </c>
      <c r="AG340" s="7">
        <v>0.82799999999999996</v>
      </c>
      <c r="AH340" s="7">
        <v>0.96699999999999997</v>
      </c>
      <c r="AI340" s="7">
        <v>1.071</v>
      </c>
      <c r="AJ340" s="7">
        <v>1.054</v>
      </c>
      <c r="AK340" s="7">
        <v>1.1599999999999999</v>
      </c>
      <c r="AL340" s="7">
        <v>1.6819999999999999</v>
      </c>
      <c r="AM340" s="7">
        <v>0.36299999999999999</v>
      </c>
      <c r="AN340" s="7">
        <v>0.52500000000000002</v>
      </c>
      <c r="AO340" s="7">
        <v>0.98799999999999999</v>
      </c>
      <c r="AP340" s="7">
        <v>0.496</v>
      </c>
      <c r="AQ340" s="7">
        <v>0.48399999999999999</v>
      </c>
      <c r="AR340" s="7">
        <v>0.10100000000000001</v>
      </c>
      <c r="AS340" s="7">
        <v>0.48599999999999999</v>
      </c>
      <c r="AT340" s="7">
        <v>0.13900000000000001</v>
      </c>
    </row>
    <row r="341" spans="1:46" x14ac:dyDescent="0.25">
      <c r="A341" s="4" t="s">
        <v>197</v>
      </c>
      <c r="B341" s="4" t="s">
        <v>207</v>
      </c>
      <c r="C341" s="4" t="s">
        <v>246</v>
      </c>
      <c r="D341" s="4" t="s">
        <v>247</v>
      </c>
      <c r="E341" s="4" t="s">
        <v>248</v>
      </c>
      <c r="F341" s="4" t="s">
        <v>201</v>
      </c>
      <c r="G341" s="4" t="s">
        <v>93</v>
      </c>
      <c r="H341" s="4" t="s">
        <v>250</v>
      </c>
      <c r="I341" s="7">
        <v>6.1920000000000002</v>
      </c>
      <c r="J341" s="7">
        <v>4.702</v>
      </c>
      <c r="K341" s="7">
        <v>3.508</v>
      </c>
      <c r="L341" s="7">
        <v>4.3140000000000001</v>
      </c>
      <c r="M341" s="7">
        <v>4.641</v>
      </c>
      <c r="N341" s="7">
        <v>3.2829999999999999</v>
      </c>
      <c r="O341" s="7">
        <v>14.077</v>
      </c>
      <c r="P341" s="7">
        <v>14.164999999999999</v>
      </c>
      <c r="Q341" s="7">
        <v>15.686</v>
      </c>
      <c r="R341" s="7">
        <v>19.997</v>
      </c>
      <c r="S341" s="7">
        <v>19.227</v>
      </c>
      <c r="T341" s="7">
        <v>24.184999999999999</v>
      </c>
      <c r="U341" s="7">
        <v>27.097000000000001</v>
      </c>
      <c r="V341" s="7">
        <v>26.850999999999999</v>
      </c>
      <c r="W341" s="7">
        <v>26.809000000000001</v>
      </c>
      <c r="X341" s="7">
        <v>18.318000000000001</v>
      </c>
      <c r="Y341" s="7">
        <v>4.0979999999999999</v>
      </c>
      <c r="Z341" s="7">
        <v>6.9</v>
      </c>
      <c r="AA341" s="7">
        <v>8.0890000000000004</v>
      </c>
      <c r="AB341" s="7">
        <v>9.1349999999999998</v>
      </c>
      <c r="AC341" s="7">
        <v>6.1749999999999998</v>
      </c>
      <c r="AD341" s="7">
        <v>7.1319999999999997</v>
      </c>
      <c r="AE341" s="7">
        <v>6.2489999999999997</v>
      </c>
      <c r="AF341" s="7">
        <v>3.2549999999999999</v>
      </c>
      <c r="AG341" s="7">
        <v>2.887</v>
      </c>
      <c r="AH341" s="7">
        <v>3.8559999999999999</v>
      </c>
      <c r="AI341" s="7">
        <v>4.3970000000000002</v>
      </c>
      <c r="AJ341" s="7">
        <v>5.4989999999999997</v>
      </c>
      <c r="AK341" s="7">
        <v>7.4770000000000003</v>
      </c>
      <c r="AL341" s="7">
        <v>6.9029999999999996</v>
      </c>
      <c r="AM341" s="7">
        <v>2.7229999999999999</v>
      </c>
      <c r="AN341" s="7">
        <v>4.5990000000000002</v>
      </c>
      <c r="AO341" s="7">
        <v>16.666</v>
      </c>
      <c r="AP341" s="7">
        <v>14.547000000000001</v>
      </c>
      <c r="AQ341" s="7">
        <v>18.116</v>
      </c>
      <c r="AR341" s="7">
        <v>18.626999999999999</v>
      </c>
      <c r="AS341" s="7">
        <v>24.062000000000001</v>
      </c>
      <c r="AT341" s="5">
        <v>964.90300000000002</v>
      </c>
    </row>
    <row r="342" spans="1:46" x14ac:dyDescent="0.25">
      <c r="A342" s="4" t="s">
        <v>197</v>
      </c>
      <c r="B342" s="4" t="s">
        <v>207</v>
      </c>
      <c r="C342" s="4" t="s">
        <v>246</v>
      </c>
      <c r="D342" s="4" t="s">
        <v>247</v>
      </c>
      <c r="E342" s="4" t="s">
        <v>248</v>
      </c>
      <c r="F342" s="4" t="s">
        <v>201</v>
      </c>
      <c r="G342" s="4" t="s">
        <v>93</v>
      </c>
      <c r="H342" s="4" t="s">
        <v>251</v>
      </c>
      <c r="I342" s="7">
        <v>0.49136819999999998</v>
      </c>
      <c r="J342" s="7">
        <v>0.49129460000000003</v>
      </c>
      <c r="K342" s="7">
        <v>0.49123899999999998</v>
      </c>
      <c r="L342" s="7">
        <v>1.1330446000000001</v>
      </c>
      <c r="M342" s="7">
        <v>1.1325373999999999</v>
      </c>
      <c r="N342" s="7">
        <v>1.1525463</v>
      </c>
      <c r="O342" s="7">
        <v>2.7372358999999999</v>
      </c>
      <c r="P342" s="7">
        <v>1.9553160000000001</v>
      </c>
      <c r="Q342" s="7">
        <v>2.0270733000000001</v>
      </c>
      <c r="R342" s="7">
        <v>1.7378027</v>
      </c>
      <c r="S342" s="7">
        <v>1.7398585</v>
      </c>
      <c r="T342" s="7">
        <v>1.7541640000000001</v>
      </c>
      <c r="U342" s="7">
        <v>1.5730545</v>
      </c>
      <c r="V342" s="7">
        <v>1.5499143</v>
      </c>
      <c r="W342" s="7">
        <v>2.1998414999999998</v>
      </c>
      <c r="X342" s="7">
        <v>2.6530916000000002</v>
      </c>
      <c r="Y342" s="7">
        <v>3.1461429000000001</v>
      </c>
      <c r="Z342" s="7">
        <v>4.7950356000000003</v>
      </c>
      <c r="AA342" s="7">
        <v>3.8354689</v>
      </c>
      <c r="AB342" s="7">
        <v>4.8109817000000001</v>
      </c>
      <c r="AC342" s="7">
        <v>4.3028822</v>
      </c>
      <c r="AD342" s="7">
        <v>4.3967229999999997</v>
      </c>
      <c r="AE342" s="7">
        <v>3.8781297000000001</v>
      </c>
      <c r="AF342" s="7">
        <v>4.1002675999999996</v>
      </c>
      <c r="AG342" s="7">
        <v>4.1194547000000004</v>
      </c>
      <c r="AH342" s="7">
        <v>4.2171196999999996</v>
      </c>
      <c r="AI342" s="7">
        <v>4.1918851999999998</v>
      </c>
      <c r="AJ342" s="7">
        <v>4.4790576</v>
      </c>
      <c r="AK342" s="7">
        <v>5.0743751000000001</v>
      </c>
      <c r="AL342" s="7">
        <v>4.7056959000000003</v>
      </c>
      <c r="AM342" s="7">
        <v>1.8032520000000001</v>
      </c>
      <c r="AN342" s="7">
        <v>2.0392845999999998</v>
      </c>
      <c r="AO342" s="7">
        <v>3.1886868000000002</v>
      </c>
      <c r="AP342" s="7">
        <v>3.4017590000000002</v>
      </c>
      <c r="AQ342" s="7">
        <v>3.3099821999999999</v>
      </c>
      <c r="AR342" s="7">
        <v>3.7022377</v>
      </c>
      <c r="AS342" s="7">
        <v>3.5110888999999998</v>
      </c>
      <c r="AT342" s="7">
        <v>24.062000000000001</v>
      </c>
    </row>
    <row r="343" spans="1:46" x14ac:dyDescent="0.25">
      <c r="A343" s="4" t="s">
        <v>197</v>
      </c>
      <c r="B343" s="4" t="s">
        <v>207</v>
      </c>
      <c r="C343" s="4" t="s">
        <v>246</v>
      </c>
      <c r="D343" s="4" t="s">
        <v>247</v>
      </c>
      <c r="E343" s="4" t="s">
        <v>248</v>
      </c>
      <c r="F343" s="4" t="s">
        <v>201</v>
      </c>
      <c r="G343" s="4" t="s">
        <v>93</v>
      </c>
      <c r="H343" s="4" t="s">
        <v>252</v>
      </c>
      <c r="I343" s="16">
        <v>9.4E-2</v>
      </c>
      <c r="J343" s="16">
        <v>0.1</v>
      </c>
      <c r="K343" s="16">
        <v>7.6999999999999999E-2</v>
      </c>
      <c r="L343" s="16">
        <v>0.26500000000000001</v>
      </c>
      <c r="M343" s="16">
        <v>0.26700000000000002</v>
      </c>
      <c r="N343" s="16">
        <v>0.39700000000000002</v>
      </c>
      <c r="O343" s="16">
        <v>0.68500000000000005</v>
      </c>
      <c r="P343" s="16">
        <v>0.47199999999999998</v>
      </c>
      <c r="Q343" s="16">
        <v>0.16500000000000001</v>
      </c>
      <c r="R343" s="16">
        <v>0.187</v>
      </c>
      <c r="S343" s="16">
        <v>0.38200000000000001</v>
      </c>
      <c r="T343" s="16">
        <v>0.374</v>
      </c>
      <c r="U343" s="16">
        <v>0.34799999999999998</v>
      </c>
      <c r="V343" s="16">
        <v>0.376</v>
      </c>
      <c r="W343" s="16">
        <v>0.39100000000000001</v>
      </c>
      <c r="X343" s="16">
        <v>0.24399999999999999</v>
      </c>
      <c r="Y343" s="16">
        <v>0.86499999999999999</v>
      </c>
      <c r="Z343" s="16">
        <v>0.82299999999999995</v>
      </c>
      <c r="AA343" s="16">
        <v>0.73499999999999999</v>
      </c>
      <c r="AB343" s="16">
        <v>1.867</v>
      </c>
      <c r="AC343" s="16">
        <v>1.738</v>
      </c>
      <c r="AD343" s="16">
        <v>1.2130000000000001</v>
      </c>
      <c r="AE343" s="16">
        <v>1.484</v>
      </c>
      <c r="AF343" s="16">
        <v>1.4830000000000001</v>
      </c>
      <c r="AG343" s="16">
        <v>1.2410000000000001</v>
      </c>
      <c r="AH343" s="16">
        <v>0.83899999999999997</v>
      </c>
      <c r="AI343" s="16">
        <v>0.622</v>
      </c>
      <c r="AJ343" s="16">
        <v>0.66</v>
      </c>
      <c r="AK343" s="16">
        <v>1.0129999999999999</v>
      </c>
      <c r="AL343" s="16">
        <v>0.33800000000000002</v>
      </c>
      <c r="AM343" s="16">
        <v>0.54900000000000004</v>
      </c>
      <c r="AN343" s="16">
        <v>0.61899999999999999</v>
      </c>
      <c r="AO343" s="16">
        <v>2.1440000000000001</v>
      </c>
      <c r="AP343" s="16">
        <v>2.6059999999999999</v>
      </c>
      <c r="AQ343" s="16">
        <v>2.7839999999999998</v>
      </c>
      <c r="AR343" s="16">
        <v>3.109</v>
      </c>
      <c r="AS343" s="16">
        <v>2.4049999999999998</v>
      </c>
      <c r="AT343" s="7">
        <v>3.5110888999999998</v>
      </c>
    </row>
    <row r="344" spans="1:46" x14ac:dyDescent="0.25">
      <c r="A344" s="4" t="s">
        <v>197</v>
      </c>
      <c r="B344" s="4" t="s">
        <v>207</v>
      </c>
      <c r="C344" s="4" t="s">
        <v>246</v>
      </c>
      <c r="D344" s="4" t="s">
        <v>247</v>
      </c>
      <c r="E344" s="4" t="s">
        <v>248</v>
      </c>
      <c r="F344" s="4" t="s">
        <v>201</v>
      </c>
      <c r="G344" s="4" t="s">
        <v>253</v>
      </c>
      <c r="H344" s="4" t="s">
        <v>151</v>
      </c>
      <c r="I344" s="5">
        <v>0</v>
      </c>
      <c r="J344" s="5">
        <v>0</v>
      </c>
      <c r="K344" s="5">
        <v>0</v>
      </c>
      <c r="L344" s="5">
        <v>0</v>
      </c>
      <c r="M344" s="5">
        <v>18.728000000000002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  <c r="AT344" s="9">
        <v>0</v>
      </c>
    </row>
    <row r="345" spans="1:46" x14ac:dyDescent="0.25">
      <c r="A345" s="4" t="s">
        <v>197</v>
      </c>
      <c r="B345" s="4" t="s">
        <v>207</v>
      </c>
      <c r="C345" s="4" t="s">
        <v>246</v>
      </c>
      <c r="D345" s="4" t="s">
        <v>247</v>
      </c>
      <c r="E345" s="4" t="s">
        <v>248</v>
      </c>
      <c r="F345" s="4" t="s">
        <v>201</v>
      </c>
      <c r="G345" s="4" t="s">
        <v>253</v>
      </c>
      <c r="H345" s="4" t="s">
        <v>205</v>
      </c>
      <c r="I345" s="6">
        <v>0</v>
      </c>
      <c r="J345" s="6">
        <v>0</v>
      </c>
      <c r="K345" s="6">
        <v>0</v>
      </c>
      <c r="L345" s="6">
        <v>0</v>
      </c>
      <c r="M345" s="6">
        <v>2041.38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0</v>
      </c>
    </row>
    <row r="346" spans="1:46" x14ac:dyDescent="0.25">
      <c r="A346" s="4" t="s">
        <v>197</v>
      </c>
      <c r="B346" s="4" t="s">
        <v>207</v>
      </c>
      <c r="C346" s="4" t="s">
        <v>246</v>
      </c>
      <c r="D346" s="4" t="s">
        <v>247</v>
      </c>
      <c r="E346" s="4" t="s">
        <v>248</v>
      </c>
      <c r="F346" s="4" t="s">
        <v>201</v>
      </c>
      <c r="G346" s="4" t="s">
        <v>253</v>
      </c>
      <c r="H346" s="4" t="s">
        <v>249</v>
      </c>
      <c r="I346" s="7">
        <v>0</v>
      </c>
      <c r="J346" s="7">
        <v>0</v>
      </c>
      <c r="K346" s="7">
        <v>0</v>
      </c>
      <c r="L346" s="7">
        <v>0</v>
      </c>
      <c r="M346" s="7">
        <v>8.9999999999999993E-3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9">
        <v>0</v>
      </c>
    </row>
    <row r="347" spans="1:46" x14ac:dyDescent="0.25">
      <c r="A347" s="4" t="s">
        <v>197</v>
      </c>
      <c r="B347" s="4" t="s">
        <v>207</v>
      </c>
      <c r="C347" s="4" t="s">
        <v>246</v>
      </c>
      <c r="D347" s="4" t="s">
        <v>247</v>
      </c>
      <c r="E347" s="4" t="s">
        <v>248</v>
      </c>
      <c r="F347" s="4" t="s">
        <v>201</v>
      </c>
      <c r="G347" s="4" t="s">
        <v>253</v>
      </c>
      <c r="H347" s="4" t="s">
        <v>250</v>
      </c>
      <c r="I347" s="7">
        <v>1.7969999999999999</v>
      </c>
      <c r="J347" s="7">
        <v>1.556</v>
      </c>
      <c r="K347" s="7">
        <v>0.40500000000000003</v>
      </c>
      <c r="L347" s="7">
        <v>1.752</v>
      </c>
      <c r="M347" s="7">
        <v>1.5529999999999999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0</v>
      </c>
      <c r="AR347" s="9">
        <v>0</v>
      </c>
      <c r="AS347" s="9">
        <v>0</v>
      </c>
      <c r="AT347" s="9">
        <v>0</v>
      </c>
    </row>
    <row r="348" spans="1:46" x14ac:dyDescent="0.25">
      <c r="A348" s="4" t="s">
        <v>197</v>
      </c>
      <c r="B348" s="4" t="s">
        <v>207</v>
      </c>
      <c r="C348" s="4" t="s">
        <v>246</v>
      </c>
      <c r="D348" s="4" t="s">
        <v>247</v>
      </c>
      <c r="E348" s="4" t="s">
        <v>248</v>
      </c>
      <c r="F348" s="4" t="s">
        <v>201</v>
      </c>
      <c r="G348" s="4" t="s">
        <v>253</v>
      </c>
      <c r="H348" s="4" t="s">
        <v>251</v>
      </c>
      <c r="I348" s="7">
        <v>8.8944200000000001E-2</v>
      </c>
      <c r="J348" s="7">
        <v>8.8930899999999993E-2</v>
      </c>
      <c r="K348" s="7">
        <v>8.8920799999999994E-2</v>
      </c>
      <c r="L348" s="7">
        <v>0.1116654</v>
      </c>
      <c r="M348" s="7">
        <v>0.1116154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0</v>
      </c>
      <c r="AM348" s="9">
        <v>0</v>
      </c>
      <c r="AN348" s="9">
        <v>0</v>
      </c>
      <c r="AO348" s="9">
        <v>0</v>
      </c>
      <c r="AP348" s="9">
        <v>0</v>
      </c>
      <c r="AQ348" s="9">
        <v>0</v>
      </c>
      <c r="AR348" s="9">
        <v>0</v>
      </c>
      <c r="AS348" s="9">
        <v>0</v>
      </c>
      <c r="AT348" s="9">
        <v>0</v>
      </c>
    </row>
    <row r="349" spans="1:46" x14ac:dyDescent="0.25">
      <c r="A349" s="4" t="s">
        <v>197</v>
      </c>
      <c r="B349" s="4" t="s">
        <v>207</v>
      </c>
      <c r="C349" s="4" t="s">
        <v>246</v>
      </c>
      <c r="D349" s="4" t="s">
        <v>247</v>
      </c>
      <c r="E349" s="4" t="s">
        <v>248</v>
      </c>
      <c r="F349" s="4" t="s">
        <v>201</v>
      </c>
      <c r="G349" s="4" t="s">
        <v>253</v>
      </c>
      <c r="H349" s="4" t="s">
        <v>252</v>
      </c>
      <c r="I349" s="16">
        <v>3.3000000000000002E-2</v>
      </c>
      <c r="J349" s="16">
        <v>3.5000000000000003E-2</v>
      </c>
      <c r="K349" s="16">
        <v>2.9000000000000001E-2</v>
      </c>
      <c r="L349" s="16">
        <v>3.1E-2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</row>
    <row r="350" spans="1:46" x14ac:dyDescent="0.25">
      <c r="A350" s="4" t="s">
        <v>197</v>
      </c>
      <c r="B350" s="4" t="s">
        <v>207</v>
      </c>
      <c r="C350" s="4" t="s">
        <v>246</v>
      </c>
      <c r="D350" s="4" t="s">
        <v>247</v>
      </c>
      <c r="E350" s="4" t="s">
        <v>248</v>
      </c>
      <c r="F350" s="4" t="s">
        <v>202</v>
      </c>
      <c r="G350" s="4" t="s">
        <v>93</v>
      </c>
      <c r="H350" s="4" t="s">
        <v>151</v>
      </c>
      <c r="I350" s="5">
        <v>376.12200000000001</v>
      </c>
      <c r="J350" s="5">
        <v>526.94000000000005</v>
      </c>
      <c r="K350" s="5">
        <v>783.35299999999995</v>
      </c>
      <c r="L350" s="5">
        <v>896.60699999999997</v>
      </c>
      <c r="M350" s="5">
        <v>2109.21</v>
      </c>
      <c r="N350" s="5">
        <v>2250.5540000000001</v>
      </c>
      <c r="O350" s="5">
        <v>1658.5550000000001</v>
      </c>
      <c r="P350" s="5">
        <v>1415.4659999999999</v>
      </c>
      <c r="Q350" s="5">
        <v>844.61800000000005</v>
      </c>
      <c r="R350" s="5">
        <v>638.97500000000002</v>
      </c>
      <c r="S350" s="5">
        <v>578.73099999999999</v>
      </c>
      <c r="T350" s="5">
        <v>547.36199999999997</v>
      </c>
      <c r="U350" s="5">
        <v>624.45000000000005</v>
      </c>
      <c r="V350" s="5">
        <v>573.298</v>
      </c>
      <c r="W350" s="5">
        <v>809.654</v>
      </c>
      <c r="X350" s="5">
        <v>1216.1769999999999</v>
      </c>
      <c r="Y350" s="5">
        <v>1595.3989999999999</v>
      </c>
      <c r="Z350" s="5">
        <v>1799.8979999999999</v>
      </c>
      <c r="AA350" s="5">
        <v>1990.6579999999999</v>
      </c>
      <c r="AB350" s="5">
        <v>1772.5530000000001</v>
      </c>
      <c r="AC350" s="5">
        <v>1190.633</v>
      </c>
      <c r="AD350" s="5">
        <v>773.44</v>
      </c>
      <c r="AE350" s="5">
        <v>488.91399999999999</v>
      </c>
      <c r="AF350" s="5">
        <v>477.40800000000002</v>
      </c>
      <c r="AG350" s="5">
        <v>417.09300000000002</v>
      </c>
      <c r="AH350" s="5">
        <v>550.27099999999996</v>
      </c>
      <c r="AI350" s="5">
        <v>402.75299999999999</v>
      </c>
      <c r="AJ350" s="5">
        <v>804.45899999999995</v>
      </c>
      <c r="AK350" s="5">
        <v>2379.6889999999999</v>
      </c>
      <c r="AL350" s="5">
        <v>3136.0650000000001</v>
      </c>
      <c r="AM350" s="5">
        <v>5691.2830000000004</v>
      </c>
      <c r="AN350" s="5">
        <v>6316.5940000000001</v>
      </c>
      <c r="AO350" s="5">
        <v>3532.7539999999999</v>
      </c>
      <c r="AP350" s="5">
        <v>1925.144</v>
      </c>
      <c r="AQ350" s="5">
        <v>734.23800000000006</v>
      </c>
      <c r="AR350" s="5">
        <v>219.62799999999999</v>
      </c>
      <c r="AS350" s="5">
        <v>242.76599999999999</v>
      </c>
      <c r="AT350" s="5">
        <v>242.76599999999999</v>
      </c>
    </row>
    <row r="351" spans="1:46" x14ac:dyDescent="0.25">
      <c r="A351" s="4" t="s">
        <v>197</v>
      </c>
      <c r="B351" s="4" t="s">
        <v>207</v>
      </c>
      <c r="C351" s="4" t="s">
        <v>246</v>
      </c>
      <c r="D351" s="4" t="s">
        <v>247</v>
      </c>
      <c r="E351" s="4" t="s">
        <v>248</v>
      </c>
      <c r="F351" s="4" t="s">
        <v>202</v>
      </c>
      <c r="G351" s="4" t="s">
        <v>93</v>
      </c>
      <c r="H351" s="4" t="s">
        <v>205</v>
      </c>
      <c r="I351" s="6">
        <v>119337.40700000001</v>
      </c>
      <c r="J351" s="6">
        <v>165552.989</v>
      </c>
      <c r="K351" s="6">
        <v>238340.35399999999</v>
      </c>
      <c r="L351" s="6">
        <v>262636.52399999998</v>
      </c>
      <c r="M351" s="6">
        <v>575592.94799999997</v>
      </c>
      <c r="N351" s="6">
        <v>624197.72</v>
      </c>
      <c r="O351" s="6">
        <v>463470.07199999999</v>
      </c>
      <c r="P351" s="6">
        <v>393119.32799999998</v>
      </c>
      <c r="Q351" s="6">
        <v>242805.97899999999</v>
      </c>
      <c r="R351" s="6">
        <v>172415.74299999999</v>
      </c>
      <c r="S351" s="6">
        <v>155994.79</v>
      </c>
      <c r="T351" s="6">
        <v>148483.48699999999</v>
      </c>
      <c r="U351" s="6">
        <v>156646.77100000001</v>
      </c>
      <c r="V351" s="6">
        <v>144191.1</v>
      </c>
      <c r="W351" s="6">
        <v>202852.91399999999</v>
      </c>
      <c r="X351" s="6">
        <v>330593.092</v>
      </c>
      <c r="Y351" s="6">
        <v>425645.09399999998</v>
      </c>
      <c r="Z351" s="6">
        <v>486527.45799999998</v>
      </c>
      <c r="AA351" s="6">
        <v>531308.34199999995</v>
      </c>
      <c r="AB351" s="6">
        <v>441291.68</v>
      </c>
      <c r="AC351" s="6">
        <v>313385.24599999998</v>
      </c>
      <c r="AD351" s="6">
        <v>191978.86300000001</v>
      </c>
      <c r="AE351" s="6">
        <v>99206.607000000004</v>
      </c>
      <c r="AF351" s="6">
        <v>103021.361</v>
      </c>
      <c r="AG351" s="6">
        <v>78857.415999999997</v>
      </c>
      <c r="AH351" s="6">
        <v>115286.27899999999</v>
      </c>
      <c r="AI351" s="6">
        <v>116134.545</v>
      </c>
      <c r="AJ351" s="6">
        <v>264005.93199999997</v>
      </c>
      <c r="AK351" s="6">
        <v>831042.85800000001</v>
      </c>
      <c r="AL351" s="6">
        <v>1021687.67</v>
      </c>
      <c r="AM351" s="6">
        <v>1917829.0619999999</v>
      </c>
      <c r="AN351" s="6">
        <v>2398857.66</v>
      </c>
      <c r="AO351" s="6">
        <v>1415907.767</v>
      </c>
      <c r="AP351" s="6">
        <v>728681.826</v>
      </c>
      <c r="AQ351" s="6">
        <v>270397.04399999999</v>
      </c>
      <c r="AR351" s="6">
        <v>66446.248000000007</v>
      </c>
      <c r="AS351" s="6">
        <v>66011.468999999997</v>
      </c>
      <c r="AT351" s="6">
        <v>66011.468999999997</v>
      </c>
    </row>
    <row r="352" spans="1:46" x14ac:dyDescent="0.25">
      <c r="A352" s="4" t="s">
        <v>197</v>
      </c>
      <c r="B352" s="4" t="s">
        <v>207</v>
      </c>
      <c r="C352" s="4" t="s">
        <v>246</v>
      </c>
      <c r="D352" s="4" t="s">
        <v>247</v>
      </c>
      <c r="E352" s="4" t="s">
        <v>248</v>
      </c>
      <c r="F352" s="4" t="s">
        <v>202</v>
      </c>
      <c r="G352" s="4" t="s">
        <v>93</v>
      </c>
      <c r="H352" s="4" t="s">
        <v>249</v>
      </c>
      <c r="I352" s="7">
        <v>1.0409999999999999</v>
      </c>
      <c r="J352" s="7">
        <v>1.3340000000000001</v>
      </c>
      <c r="K352" s="7">
        <v>1.58</v>
      </c>
      <c r="L352" s="7">
        <v>1.3009999999999999</v>
      </c>
      <c r="M352" s="7">
        <v>2.714</v>
      </c>
      <c r="N352" s="7">
        <v>2.899</v>
      </c>
      <c r="O352" s="7">
        <v>2.2509999999999999</v>
      </c>
      <c r="P352" s="7">
        <v>2.548</v>
      </c>
      <c r="Q352" s="7">
        <v>1.655</v>
      </c>
      <c r="R352" s="7">
        <v>1.603</v>
      </c>
      <c r="S352" s="7">
        <v>1.68</v>
      </c>
      <c r="T352" s="7">
        <v>1.68</v>
      </c>
      <c r="U352" s="7">
        <v>1.91</v>
      </c>
      <c r="V352" s="7">
        <v>1.6910000000000001</v>
      </c>
      <c r="W352" s="7">
        <v>2.0539999999999998</v>
      </c>
      <c r="X352" s="7">
        <v>2.5089999999999999</v>
      </c>
      <c r="Y352" s="7">
        <v>3.2970000000000002</v>
      </c>
      <c r="Z352" s="7">
        <v>3.8</v>
      </c>
      <c r="AA352" s="7">
        <v>4.056</v>
      </c>
      <c r="AB352" s="7">
        <v>3.843</v>
      </c>
      <c r="AC352" s="7">
        <v>2.9710000000000001</v>
      </c>
      <c r="AD352" s="7">
        <v>2.2789999999999999</v>
      </c>
      <c r="AE352" s="7">
        <v>1.8169999999999999</v>
      </c>
      <c r="AF352" s="7">
        <v>2.0659999999999998</v>
      </c>
      <c r="AG352" s="7">
        <v>1.69</v>
      </c>
      <c r="AH352" s="7">
        <v>1.5649999999999999</v>
      </c>
      <c r="AI352" s="7">
        <v>0.97499999999999998</v>
      </c>
      <c r="AJ352" s="7">
        <v>1.4570000000000001</v>
      </c>
      <c r="AK352" s="7">
        <v>3.73</v>
      </c>
      <c r="AL352" s="7">
        <v>4.4889999999999999</v>
      </c>
      <c r="AM352" s="7">
        <v>6.9240000000000004</v>
      </c>
      <c r="AN352" s="7">
        <v>7.3049999999999997</v>
      </c>
      <c r="AO352" s="7">
        <v>4.9180000000000001</v>
      </c>
      <c r="AP352" s="7">
        <v>3.5640000000000001</v>
      </c>
      <c r="AQ352" s="7">
        <v>1.9630000000000001</v>
      </c>
      <c r="AR352" s="7">
        <v>0.91800000000000004</v>
      </c>
      <c r="AS352" s="7">
        <v>1.472</v>
      </c>
      <c r="AT352" s="7">
        <v>0.41899999999999998</v>
      </c>
    </row>
    <row r="353" spans="1:46" x14ac:dyDescent="0.25">
      <c r="A353" s="4" t="s">
        <v>197</v>
      </c>
      <c r="B353" s="4" t="s">
        <v>207</v>
      </c>
      <c r="C353" s="4" t="s">
        <v>246</v>
      </c>
      <c r="D353" s="4" t="s">
        <v>247</v>
      </c>
      <c r="E353" s="4" t="s">
        <v>248</v>
      </c>
      <c r="F353" s="4" t="s">
        <v>202</v>
      </c>
      <c r="G353" s="4" t="s">
        <v>93</v>
      </c>
      <c r="H353" s="4" t="s">
        <v>250</v>
      </c>
      <c r="I353" s="7">
        <v>55.287999999999997</v>
      </c>
      <c r="J353" s="7">
        <v>47.902000000000001</v>
      </c>
      <c r="K353" s="7">
        <v>51.524000000000001</v>
      </c>
      <c r="L353" s="7">
        <v>56.064</v>
      </c>
      <c r="M353" s="7">
        <v>63.088000000000001</v>
      </c>
      <c r="N353" s="7">
        <v>60.036000000000001</v>
      </c>
      <c r="O353" s="7">
        <v>69.495999999999995</v>
      </c>
      <c r="P353" s="7">
        <v>65.459000000000003</v>
      </c>
      <c r="Q353" s="7">
        <v>65.128</v>
      </c>
      <c r="R353" s="7">
        <v>58.795000000000002</v>
      </c>
      <c r="S353" s="7">
        <v>66.052999999999997</v>
      </c>
      <c r="T353" s="7">
        <v>69.727000000000004</v>
      </c>
      <c r="U353" s="7">
        <v>40.923999999999999</v>
      </c>
      <c r="V353" s="7">
        <v>45.433999999999997</v>
      </c>
      <c r="W353" s="7">
        <v>51.302999999999997</v>
      </c>
      <c r="X353" s="7">
        <v>44.387</v>
      </c>
      <c r="Y353" s="7">
        <v>45.79</v>
      </c>
      <c r="Z353" s="7">
        <v>49.497999999999998</v>
      </c>
      <c r="AA353" s="7">
        <v>54.637</v>
      </c>
      <c r="AB353" s="7">
        <v>50.015000000000001</v>
      </c>
      <c r="AC353" s="7">
        <v>47.3</v>
      </c>
      <c r="AD353" s="7">
        <v>39.472000000000001</v>
      </c>
      <c r="AE353" s="7">
        <v>35.496000000000002</v>
      </c>
      <c r="AF353" s="7">
        <v>35.851999999999997</v>
      </c>
      <c r="AG353" s="7">
        <v>30.753</v>
      </c>
      <c r="AH353" s="7">
        <v>35.756</v>
      </c>
      <c r="AI353" s="7">
        <v>27.405999999999999</v>
      </c>
      <c r="AJ353" s="7">
        <v>38.866999999999997</v>
      </c>
      <c r="AK353" s="7">
        <v>46.67</v>
      </c>
      <c r="AL353" s="7">
        <v>40.362000000000002</v>
      </c>
      <c r="AM353" s="7">
        <v>56.320999999999998</v>
      </c>
      <c r="AN353" s="7">
        <v>57.621000000000002</v>
      </c>
      <c r="AO353" s="7">
        <v>46.454999999999998</v>
      </c>
      <c r="AP353" s="7">
        <v>35.21</v>
      </c>
      <c r="AQ353" s="7">
        <v>28.094000000000001</v>
      </c>
      <c r="AR353" s="7">
        <v>27.12</v>
      </c>
      <c r="AS353" s="7">
        <v>21.193999999999999</v>
      </c>
      <c r="AT353" s="5">
        <v>948.43700000000001</v>
      </c>
    </row>
    <row r="354" spans="1:46" x14ac:dyDescent="0.25">
      <c r="A354" s="4" t="s">
        <v>197</v>
      </c>
      <c r="B354" s="4" t="s">
        <v>207</v>
      </c>
      <c r="C354" s="4" t="s">
        <v>246</v>
      </c>
      <c r="D354" s="4" t="s">
        <v>247</v>
      </c>
      <c r="E354" s="4" t="s">
        <v>248</v>
      </c>
      <c r="F354" s="4" t="s">
        <v>202</v>
      </c>
      <c r="G354" s="4" t="s">
        <v>93</v>
      </c>
      <c r="H354" s="4" t="s">
        <v>251</v>
      </c>
      <c r="I354" s="7">
        <v>12.779726999999999</v>
      </c>
      <c r="J354" s="7">
        <v>13.268064000000001</v>
      </c>
      <c r="K354" s="7">
        <v>14.561276100000001</v>
      </c>
      <c r="L354" s="7">
        <v>14.3811733</v>
      </c>
      <c r="M354" s="7">
        <v>16.313566300000002</v>
      </c>
      <c r="N354" s="7">
        <v>14.806216900000001</v>
      </c>
      <c r="O354" s="7">
        <v>15.771735400000001</v>
      </c>
      <c r="P354" s="7">
        <v>16.554558799999999</v>
      </c>
      <c r="Q354" s="7">
        <v>15.363746600000001</v>
      </c>
      <c r="R354" s="7">
        <v>13.1115061</v>
      </c>
      <c r="S354" s="7">
        <v>13.6987159</v>
      </c>
      <c r="T354" s="7">
        <v>13.7720351</v>
      </c>
      <c r="U354" s="7">
        <v>13.1885601</v>
      </c>
      <c r="V354" s="7">
        <v>12.857375899999999</v>
      </c>
      <c r="W354" s="7">
        <v>13.972851</v>
      </c>
      <c r="X354" s="7">
        <v>13.6986568</v>
      </c>
      <c r="Y354" s="7">
        <v>14.946759399999999</v>
      </c>
      <c r="Z354" s="7">
        <v>14.656378200000001</v>
      </c>
      <c r="AA354" s="7">
        <v>14.650674</v>
      </c>
      <c r="AB354" s="7">
        <v>13.701942799999999</v>
      </c>
      <c r="AC354" s="7">
        <v>13.344686599999999</v>
      </c>
      <c r="AD354" s="7">
        <v>12.525893</v>
      </c>
      <c r="AE354" s="7">
        <v>11.3957879</v>
      </c>
      <c r="AF354" s="7">
        <v>12.0752665</v>
      </c>
      <c r="AG354" s="7">
        <v>12.5792465</v>
      </c>
      <c r="AH354" s="7">
        <v>11.667634400000001</v>
      </c>
      <c r="AI354" s="7">
        <v>13.409091200000001</v>
      </c>
      <c r="AJ354" s="7">
        <v>14.7056956</v>
      </c>
      <c r="AK354" s="7">
        <v>17.329945800000001</v>
      </c>
      <c r="AL354" s="7">
        <v>16.370488600000002</v>
      </c>
      <c r="AM354" s="7">
        <v>18.5016721</v>
      </c>
      <c r="AN354" s="7">
        <v>16.439889099999998</v>
      </c>
      <c r="AO354" s="7">
        <v>15.739491900000001</v>
      </c>
      <c r="AP354" s="7">
        <v>14.445040000000001</v>
      </c>
      <c r="AQ354" s="7">
        <v>6.7436043999999997</v>
      </c>
      <c r="AR354" s="7">
        <v>6.7041428999999999</v>
      </c>
      <c r="AS354" s="7">
        <v>6.9137713999999999</v>
      </c>
      <c r="AT354" s="7">
        <v>21.193999999999999</v>
      </c>
    </row>
    <row r="355" spans="1:46" x14ac:dyDescent="0.25">
      <c r="A355" s="4" t="s">
        <v>197</v>
      </c>
      <c r="B355" s="4" t="s">
        <v>207</v>
      </c>
      <c r="C355" s="4" t="s">
        <v>246</v>
      </c>
      <c r="D355" s="4" t="s">
        <v>247</v>
      </c>
      <c r="E355" s="4" t="s">
        <v>248</v>
      </c>
      <c r="F355" s="4" t="s">
        <v>202</v>
      </c>
      <c r="G355" s="4" t="s">
        <v>93</v>
      </c>
      <c r="H355" s="4" t="s">
        <v>252</v>
      </c>
      <c r="I355" s="16">
        <v>5.57</v>
      </c>
      <c r="J355" s="16">
        <v>5.5229999999999997</v>
      </c>
      <c r="K355" s="16">
        <v>5.4009999999999998</v>
      </c>
      <c r="L355" s="16">
        <v>4.7869999999999999</v>
      </c>
      <c r="M355" s="16">
        <v>5.4550000000000001</v>
      </c>
      <c r="N355" s="16">
        <v>4.6900000000000004</v>
      </c>
      <c r="O355" s="16">
        <v>3.86</v>
      </c>
      <c r="P355" s="16">
        <v>2.9159999999999999</v>
      </c>
      <c r="Q355" s="16">
        <v>2.2989999999999999</v>
      </c>
      <c r="R355" s="16">
        <v>2.9079999999999999</v>
      </c>
      <c r="S355" s="16">
        <v>3.0920000000000001</v>
      </c>
      <c r="T355" s="16">
        <v>3.5830000000000002</v>
      </c>
      <c r="U355" s="16">
        <v>3.371</v>
      </c>
      <c r="V355" s="16">
        <v>4.3470000000000004</v>
      </c>
      <c r="W355" s="16">
        <v>3.25</v>
      </c>
      <c r="X355" s="16">
        <v>5.0890000000000004</v>
      </c>
      <c r="Y355" s="16">
        <v>4.9800000000000004</v>
      </c>
      <c r="Z355" s="16">
        <v>4.891</v>
      </c>
      <c r="AA355" s="16">
        <v>5.0890000000000004</v>
      </c>
      <c r="AB355" s="16">
        <v>4.9029999999999996</v>
      </c>
      <c r="AC355" s="16">
        <v>3.98</v>
      </c>
      <c r="AD355" s="16">
        <v>3.0760000000000001</v>
      </c>
      <c r="AE355" s="16">
        <v>3.5710000000000002</v>
      </c>
      <c r="AF355" s="16">
        <v>3.573</v>
      </c>
      <c r="AG355" s="16">
        <v>3.3969999999999998</v>
      </c>
      <c r="AH355" s="16">
        <v>3.0369999999999999</v>
      </c>
      <c r="AI355" s="16">
        <v>3.347</v>
      </c>
      <c r="AJ355" s="16">
        <v>3.5</v>
      </c>
      <c r="AK355" s="16">
        <v>3.589</v>
      </c>
      <c r="AL355" s="16">
        <v>3.5329999999999999</v>
      </c>
      <c r="AM355" s="16">
        <v>4.2350000000000003</v>
      </c>
      <c r="AN355" s="16">
        <v>2.956</v>
      </c>
      <c r="AO355" s="16">
        <v>3.6190000000000002</v>
      </c>
      <c r="AP355" s="16">
        <v>1.859</v>
      </c>
      <c r="AQ355" s="16">
        <v>1.661</v>
      </c>
      <c r="AR355" s="16">
        <v>1.6</v>
      </c>
      <c r="AS355" s="16">
        <v>2.363</v>
      </c>
      <c r="AT355" s="7">
        <v>6.9137713999999999</v>
      </c>
    </row>
    <row r="356" spans="1:46" x14ac:dyDescent="0.25">
      <c r="A356" s="4" t="s">
        <v>197</v>
      </c>
      <c r="B356" s="4" t="s">
        <v>207</v>
      </c>
      <c r="C356" s="4" t="s">
        <v>246</v>
      </c>
      <c r="D356" s="4" t="s">
        <v>247</v>
      </c>
      <c r="E356" s="4" t="s">
        <v>248</v>
      </c>
      <c r="F356" s="4" t="s">
        <v>202</v>
      </c>
      <c r="G356" s="4" t="s">
        <v>113</v>
      </c>
      <c r="H356" s="4" t="s">
        <v>151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36.854999999999997</v>
      </c>
      <c r="Q356" s="5">
        <v>40.247999999999998</v>
      </c>
      <c r="R356" s="5">
        <v>26.161000000000001</v>
      </c>
      <c r="S356" s="8">
        <v>0</v>
      </c>
      <c r="T356" s="9">
        <v>0</v>
      </c>
      <c r="U356" s="9">
        <v>0</v>
      </c>
      <c r="V356" s="9">
        <v>0</v>
      </c>
      <c r="W356" s="9">
        <v>0</v>
      </c>
      <c r="X356" s="5">
        <v>0</v>
      </c>
      <c r="Y356" s="5">
        <v>0</v>
      </c>
      <c r="Z356" s="5">
        <v>1</v>
      </c>
      <c r="AA356" s="5">
        <v>22.279</v>
      </c>
      <c r="AB356" s="8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5">
        <v>11.757999999999999</v>
      </c>
      <c r="AK356" s="5">
        <v>21.311</v>
      </c>
      <c r="AL356" s="5">
        <v>27.838000000000001</v>
      </c>
      <c r="AM356" s="5">
        <v>66.131</v>
      </c>
      <c r="AN356" s="5">
        <v>75.891000000000005</v>
      </c>
      <c r="AO356" s="5">
        <v>55.424999999999997</v>
      </c>
      <c r="AP356" s="5">
        <v>49.758000000000003</v>
      </c>
      <c r="AQ356" s="5">
        <v>55.796999999999997</v>
      </c>
      <c r="AR356" s="5">
        <v>57.720999999999997</v>
      </c>
      <c r="AS356" s="5">
        <v>45</v>
      </c>
      <c r="AT356" s="5">
        <v>45</v>
      </c>
    </row>
    <row r="357" spans="1:46" x14ac:dyDescent="0.25">
      <c r="A357" s="4" t="s">
        <v>197</v>
      </c>
      <c r="B357" s="4" t="s">
        <v>207</v>
      </c>
      <c r="C357" s="4" t="s">
        <v>246</v>
      </c>
      <c r="D357" s="4" t="s">
        <v>247</v>
      </c>
      <c r="E357" s="4" t="s">
        <v>248</v>
      </c>
      <c r="F357" s="4" t="s">
        <v>202</v>
      </c>
      <c r="G357" s="4" t="s">
        <v>113</v>
      </c>
      <c r="H357" s="4" t="s">
        <v>205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14705.066000000001</v>
      </c>
      <c r="Q357" s="6">
        <v>16058.865</v>
      </c>
      <c r="R357" s="6">
        <v>10438.262000000001</v>
      </c>
      <c r="S357" s="10">
        <v>0</v>
      </c>
      <c r="T357" s="9">
        <v>0</v>
      </c>
      <c r="U357" s="9">
        <v>0</v>
      </c>
      <c r="V357" s="9">
        <v>0</v>
      </c>
      <c r="W357" s="9">
        <v>0</v>
      </c>
      <c r="X357" s="6">
        <v>0</v>
      </c>
      <c r="Y357" s="6">
        <v>0</v>
      </c>
      <c r="Z357" s="6">
        <v>423</v>
      </c>
      <c r="AA357" s="6">
        <v>7129.335</v>
      </c>
      <c r="AB357" s="10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6">
        <v>4515.0339999999997</v>
      </c>
      <c r="AK357" s="6">
        <v>8183.5780000000004</v>
      </c>
      <c r="AL357" s="6">
        <v>10689.823</v>
      </c>
      <c r="AM357" s="6">
        <v>25394.134999999998</v>
      </c>
      <c r="AN357" s="6">
        <v>29457.932000000001</v>
      </c>
      <c r="AO357" s="6">
        <v>21548.831999999999</v>
      </c>
      <c r="AP357" s="6">
        <v>19128.743999999999</v>
      </c>
      <c r="AQ357" s="6">
        <v>21426.094000000001</v>
      </c>
      <c r="AR357" s="6">
        <v>22164.71</v>
      </c>
      <c r="AS357" s="6">
        <v>17280</v>
      </c>
      <c r="AT357" s="6">
        <v>17280</v>
      </c>
    </row>
    <row r="358" spans="1:46" x14ac:dyDescent="0.25">
      <c r="A358" s="4" t="s">
        <v>197</v>
      </c>
      <c r="B358" s="4" t="s">
        <v>207</v>
      </c>
      <c r="C358" s="4" t="s">
        <v>246</v>
      </c>
      <c r="D358" s="4" t="s">
        <v>247</v>
      </c>
      <c r="E358" s="4" t="s">
        <v>248</v>
      </c>
      <c r="F358" s="4" t="s">
        <v>202</v>
      </c>
      <c r="G358" s="4" t="s">
        <v>113</v>
      </c>
      <c r="H358" s="4" t="s">
        <v>249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0.04</v>
      </c>
      <c r="Q358" s="7">
        <v>4.7E-2</v>
      </c>
      <c r="R358" s="7">
        <v>0.04</v>
      </c>
      <c r="S358" s="11">
        <v>0</v>
      </c>
      <c r="T358" s="9">
        <v>0</v>
      </c>
      <c r="U358" s="9">
        <v>0</v>
      </c>
      <c r="V358" s="9">
        <v>0</v>
      </c>
      <c r="W358" s="9">
        <v>0</v>
      </c>
      <c r="X358" s="7">
        <v>0</v>
      </c>
      <c r="Y358" s="7">
        <v>0</v>
      </c>
      <c r="Z358" s="7">
        <v>1E-3</v>
      </c>
      <c r="AA358" s="7">
        <v>2.5999999999999999E-2</v>
      </c>
      <c r="AB358" s="11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7">
        <v>1.2999999999999999E-2</v>
      </c>
      <c r="AK358" s="7">
        <v>0.02</v>
      </c>
      <c r="AL358" s="7">
        <v>2.3E-2</v>
      </c>
      <c r="AM358" s="7">
        <v>4.8000000000000001E-2</v>
      </c>
      <c r="AN358" s="7">
        <v>5.1999999999999998E-2</v>
      </c>
      <c r="AO358" s="7">
        <v>4.4999999999999998E-2</v>
      </c>
      <c r="AP358" s="7">
        <v>5.3999999999999999E-2</v>
      </c>
      <c r="AQ358" s="7">
        <v>8.6999999999999994E-2</v>
      </c>
      <c r="AR358" s="7">
        <v>0.14099999999999999</v>
      </c>
      <c r="AS358" s="7">
        <v>0.16400000000000001</v>
      </c>
      <c r="AT358" s="7">
        <v>7.8E-2</v>
      </c>
    </row>
    <row r="359" spans="1:46" x14ac:dyDescent="0.25">
      <c r="A359" s="4" t="s">
        <v>197</v>
      </c>
      <c r="B359" s="4" t="s">
        <v>207</v>
      </c>
      <c r="C359" s="4" t="s">
        <v>246</v>
      </c>
      <c r="D359" s="4" t="s">
        <v>247</v>
      </c>
      <c r="E359" s="4" t="s">
        <v>248</v>
      </c>
      <c r="F359" s="4" t="s">
        <v>202</v>
      </c>
      <c r="G359" s="4" t="s">
        <v>113</v>
      </c>
      <c r="H359" s="4" t="s">
        <v>250</v>
      </c>
      <c r="I359" s="7">
        <v>10.042999999999999</v>
      </c>
      <c r="J359" s="7">
        <v>7.6319999999999997</v>
      </c>
      <c r="K359" s="7">
        <v>6.6639999999999997</v>
      </c>
      <c r="L359" s="7">
        <v>9.0350000000000001</v>
      </c>
      <c r="M359" s="7">
        <v>7.508</v>
      </c>
      <c r="N359" s="7">
        <v>7.6920000000000002</v>
      </c>
      <c r="O359" s="7">
        <v>8.11</v>
      </c>
      <c r="P359" s="7">
        <v>7.1589999999999998</v>
      </c>
      <c r="Q359" s="7">
        <v>9.859</v>
      </c>
      <c r="R359" s="7">
        <v>3.6339999999999999</v>
      </c>
      <c r="S359" s="11">
        <v>0</v>
      </c>
      <c r="T359" s="9">
        <v>0</v>
      </c>
      <c r="U359" s="9">
        <v>0</v>
      </c>
      <c r="V359" s="9">
        <v>0</v>
      </c>
      <c r="W359" s="9">
        <v>0</v>
      </c>
      <c r="X359" s="7">
        <v>7.984</v>
      </c>
      <c r="Y359" s="7">
        <v>7.9880000000000004</v>
      </c>
      <c r="Z359" s="7">
        <v>6.5170000000000003</v>
      </c>
      <c r="AA359" s="7">
        <v>8.4930000000000003</v>
      </c>
      <c r="AB359" s="11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7">
        <v>2.069</v>
      </c>
      <c r="AK359" s="7">
        <v>2.165</v>
      </c>
      <c r="AL359" s="7">
        <v>2.4020000000000001</v>
      </c>
      <c r="AM359" s="7">
        <v>3.0009999999999999</v>
      </c>
      <c r="AN359" s="7">
        <v>2.6459999999999999</v>
      </c>
      <c r="AO359" s="7">
        <v>3.4540000000000002</v>
      </c>
      <c r="AP359" s="7">
        <v>4.0529999999999999</v>
      </c>
      <c r="AQ359" s="7">
        <v>5.1420000000000003</v>
      </c>
      <c r="AR359" s="7">
        <v>7.52</v>
      </c>
      <c r="AS359" s="7">
        <v>8.7669999999999995</v>
      </c>
      <c r="AT359" s="5">
        <v>0</v>
      </c>
    </row>
    <row r="360" spans="1:46" x14ac:dyDescent="0.25">
      <c r="A360" s="4" t="s">
        <v>197</v>
      </c>
      <c r="B360" s="4" t="s">
        <v>207</v>
      </c>
      <c r="C360" s="4" t="s">
        <v>246</v>
      </c>
      <c r="D360" s="4" t="s">
        <v>247</v>
      </c>
      <c r="E360" s="4" t="s">
        <v>248</v>
      </c>
      <c r="F360" s="4" t="s">
        <v>202</v>
      </c>
      <c r="G360" s="4" t="s">
        <v>113</v>
      </c>
      <c r="H360" s="4" t="s">
        <v>251</v>
      </c>
      <c r="I360" s="7">
        <v>0.13341049999999999</v>
      </c>
      <c r="J360" s="7">
        <v>0.1333905</v>
      </c>
      <c r="K360" s="7">
        <v>0.13337540000000001</v>
      </c>
      <c r="L360" s="7">
        <v>0.24257500000000001</v>
      </c>
      <c r="M360" s="7">
        <v>0.2424664</v>
      </c>
      <c r="N360" s="7">
        <v>0.2424663</v>
      </c>
      <c r="O360" s="7">
        <v>0.24246619999999999</v>
      </c>
      <c r="P360" s="7">
        <v>0.24246609999999999</v>
      </c>
      <c r="Q360" s="7">
        <v>0.2506157</v>
      </c>
      <c r="R360" s="7">
        <v>0.25058859999999999</v>
      </c>
      <c r="S360" s="7">
        <v>0</v>
      </c>
      <c r="T360" s="9">
        <v>0</v>
      </c>
      <c r="U360" s="9">
        <v>0</v>
      </c>
      <c r="V360" s="9">
        <v>0</v>
      </c>
      <c r="W360" s="9">
        <v>0</v>
      </c>
      <c r="X360" s="7">
        <v>0.25191429999999998</v>
      </c>
      <c r="Y360" s="7">
        <v>0.25190610000000002</v>
      </c>
      <c r="Z360" s="7">
        <v>0.26362059999999998</v>
      </c>
      <c r="AA360" s="7">
        <v>0.25190410000000002</v>
      </c>
      <c r="AB360" s="7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7">
        <v>0.13328509999999999</v>
      </c>
      <c r="AK360" s="7">
        <v>0.1332518</v>
      </c>
      <c r="AL360" s="7">
        <v>0.1205874</v>
      </c>
      <c r="AM360" s="7">
        <v>0.1205273</v>
      </c>
      <c r="AN360" s="7">
        <v>0.13308229999999999</v>
      </c>
      <c r="AO360" s="7">
        <v>0.13308220000000001</v>
      </c>
      <c r="AP360" s="7">
        <v>0.13308229999999999</v>
      </c>
      <c r="AQ360" s="7">
        <v>0.12052640000000001</v>
      </c>
      <c r="AR360" s="7">
        <v>0.11788559999999999</v>
      </c>
      <c r="AS360" s="7">
        <v>0.1178473</v>
      </c>
      <c r="AT360" s="7">
        <v>8.7669999999999995</v>
      </c>
    </row>
    <row r="361" spans="1:46" x14ac:dyDescent="0.25">
      <c r="A361" s="4" t="s">
        <v>197</v>
      </c>
      <c r="B361" s="4" t="s">
        <v>207</v>
      </c>
      <c r="C361" s="4" t="s">
        <v>246</v>
      </c>
      <c r="D361" s="4" t="s">
        <v>247</v>
      </c>
      <c r="E361" s="4" t="s">
        <v>248</v>
      </c>
      <c r="F361" s="4" t="s">
        <v>202</v>
      </c>
      <c r="G361" s="4" t="s">
        <v>113</v>
      </c>
      <c r="H361" s="4" t="s">
        <v>252</v>
      </c>
      <c r="I361" s="16">
        <v>0.27200000000000002</v>
      </c>
      <c r="J361" s="16">
        <v>0.29099999999999998</v>
      </c>
      <c r="K361" s="16">
        <v>0.23699999999999999</v>
      </c>
      <c r="L361" s="16">
        <v>0.372</v>
      </c>
      <c r="M361" s="16">
        <v>0.39800000000000002</v>
      </c>
      <c r="N361" s="16">
        <v>0.41199999999999998</v>
      </c>
      <c r="O361" s="16">
        <v>0.39300000000000002</v>
      </c>
      <c r="P361" s="16">
        <v>7.8E-2</v>
      </c>
      <c r="Q361" s="17">
        <v>0</v>
      </c>
      <c r="R361" s="17">
        <v>0</v>
      </c>
      <c r="S361" s="17">
        <v>0</v>
      </c>
      <c r="T361" s="9">
        <v>0</v>
      </c>
      <c r="U361" s="9">
        <v>0</v>
      </c>
      <c r="V361" s="9">
        <v>0</v>
      </c>
      <c r="W361" s="9">
        <v>0</v>
      </c>
      <c r="X361" s="16">
        <v>4.2000000000000003E-2</v>
      </c>
      <c r="Y361" s="16">
        <v>4.2000000000000003E-2</v>
      </c>
      <c r="Z361" s="16">
        <v>4.1000000000000002E-2</v>
      </c>
      <c r="AA361" s="17">
        <v>0</v>
      </c>
      <c r="AB361" s="17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16">
        <v>0.02</v>
      </c>
      <c r="AK361" s="16">
        <v>2.1000000000000001E-2</v>
      </c>
      <c r="AL361" s="16">
        <v>1.9E-2</v>
      </c>
      <c r="AM361" s="16">
        <v>2.1999999999999999E-2</v>
      </c>
      <c r="AN361" s="16">
        <v>2.1999999999999999E-2</v>
      </c>
      <c r="AO361" s="16">
        <v>2.4E-2</v>
      </c>
      <c r="AP361" s="16">
        <v>2.4E-2</v>
      </c>
      <c r="AQ361" s="16">
        <v>2.5999999999999999E-2</v>
      </c>
      <c r="AR361" s="17">
        <v>0</v>
      </c>
      <c r="AS361" s="17">
        <v>0</v>
      </c>
      <c r="AT361" s="7">
        <v>0.1178473</v>
      </c>
    </row>
    <row r="362" spans="1:46" x14ac:dyDescent="0.25">
      <c r="A362" s="4" t="s">
        <v>197</v>
      </c>
      <c r="B362" s="4" t="s">
        <v>207</v>
      </c>
      <c r="C362" s="4" t="s">
        <v>246</v>
      </c>
      <c r="D362" s="4" t="s">
        <v>247</v>
      </c>
      <c r="E362" s="4" t="s">
        <v>248</v>
      </c>
      <c r="F362" s="4" t="s">
        <v>202</v>
      </c>
      <c r="G362" s="4" t="s">
        <v>116</v>
      </c>
      <c r="H362" s="4" t="s">
        <v>151</v>
      </c>
      <c r="I362" s="5">
        <v>0</v>
      </c>
      <c r="J362" s="5">
        <v>0</v>
      </c>
      <c r="K362" s="5">
        <v>0</v>
      </c>
      <c r="L362" s="5">
        <v>0</v>
      </c>
      <c r="M362" s="5">
        <v>1</v>
      </c>
      <c r="N362" s="5">
        <v>46.738999999999997</v>
      </c>
      <c r="O362" s="5">
        <v>258.75799999999998</v>
      </c>
      <c r="P362" s="5">
        <v>161.767</v>
      </c>
      <c r="Q362" s="5">
        <v>106.337</v>
      </c>
      <c r="R362" s="5">
        <v>92.984999999999999</v>
      </c>
      <c r="S362" s="5">
        <v>79.057000000000002</v>
      </c>
      <c r="T362" s="5">
        <v>27.963999999999999</v>
      </c>
      <c r="U362" s="5">
        <v>0</v>
      </c>
      <c r="V362" s="5">
        <v>0</v>
      </c>
      <c r="W362" s="5">
        <v>0</v>
      </c>
      <c r="X362" s="5">
        <v>68.084999999999994</v>
      </c>
      <c r="Y362" s="5">
        <v>148.79300000000001</v>
      </c>
      <c r="Z362" s="5">
        <v>148.78100000000001</v>
      </c>
      <c r="AA362" s="5">
        <v>285.72500000000002</v>
      </c>
      <c r="AB362" s="5">
        <v>105.06699999999999</v>
      </c>
      <c r="AC362" s="5">
        <v>234.601</v>
      </c>
      <c r="AD362" s="5">
        <v>0</v>
      </c>
      <c r="AE362" s="5">
        <v>1</v>
      </c>
      <c r="AF362" s="5">
        <v>36.606000000000002</v>
      </c>
      <c r="AG362" s="5">
        <v>30.69</v>
      </c>
      <c r="AH362" s="5">
        <v>37.741999999999997</v>
      </c>
      <c r="AI362" s="5">
        <v>33.337000000000003</v>
      </c>
      <c r="AJ362" s="5">
        <v>132.51599999999999</v>
      </c>
      <c r="AK362" s="5">
        <v>167.19300000000001</v>
      </c>
      <c r="AL362" s="5">
        <v>42.524000000000001</v>
      </c>
      <c r="AM362" s="5">
        <v>108.994</v>
      </c>
      <c r="AN362" s="5">
        <v>16.419</v>
      </c>
      <c r="AO362" s="5">
        <v>167.21299999999999</v>
      </c>
      <c r="AP362" s="5">
        <v>73.733000000000004</v>
      </c>
      <c r="AQ362" s="5">
        <v>4.0330000000000004</v>
      </c>
      <c r="AR362" s="5">
        <v>0</v>
      </c>
      <c r="AS362" s="5">
        <v>0</v>
      </c>
      <c r="AT362" s="5">
        <v>0</v>
      </c>
    </row>
    <row r="363" spans="1:46" x14ac:dyDescent="0.25">
      <c r="A363" s="4" t="s">
        <v>197</v>
      </c>
      <c r="B363" s="4" t="s">
        <v>207</v>
      </c>
      <c r="C363" s="4" t="s">
        <v>246</v>
      </c>
      <c r="D363" s="4" t="s">
        <v>247</v>
      </c>
      <c r="E363" s="4" t="s">
        <v>248</v>
      </c>
      <c r="F363" s="4" t="s">
        <v>202</v>
      </c>
      <c r="G363" s="4" t="s">
        <v>116</v>
      </c>
      <c r="H363" s="4" t="s">
        <v>205</v>
      </c>
      <c r="I363" s="6">
        <v>0</v>
      </c>
      <c r="J363" s="6">
        <v>0</v>
      </c>
      <c r="K363" s="6">
        <v>0</v>
      </c>
      <c r="L363" s="6">
        <v>0</v>
      </c>
      <c r="M363" s="6">
        <v>463</v>
      </c>
      <c r="N363" s="6">
        <v>17666.003000000001</v>
      </c>
      <c r="O363" s="6">
        <v>81558.81</v>
      </c>
      <c r="P363" s="6">
        <v>47124.675999999999</v>
      </c>
      <c r="Q363" s="6">
        <v>28389.564999999999</v>
      </c>
      <c r="R363" s="6">
        <v>24107.824000000001</v>
      </c>
      <c r="S363" s="6">
        <v>21094.55</v>
      </c>
      <c r="T363" s="6">
        <v>5732.6949999999997</v>
      </c>
      <c r="U363" s="6">
        <v>0</v>
      </c>
      <c r="V363" s="6">
        <v>0</v>
      </c>
      <c r="W363" s="6">
        <v>0</v>
      </c>
      <c r="X363" s="6">
        <v>23350.133999999998</v>
      </c>
      <c r="Y363" s="6">
        <v>53333.216999999997</v>
      </c>
      <c r="Z363" s="6">
        <v>53049.841999999997</v>
      </c>
      <c r="AA363" s="6">
        <v>99531.069000000003</v>
      </c>
      <c r="AB363" s="6">
        <v>30232.06</v>
      </c>
      <c r="AC363" s="6">
        <v>90764.294999999998</v>
      </c>
      <c r="AD363" s="6">
        <v>0</v>
      </c>
      <c r="AE363" s="6">
        <v>431</v>
      </c>
      <c r="AF363" s="6">
        <v>7504.2280000000001</v>
      </c>
      <c r="AG363" s="6">
        <v>7365.72</v>
      </c>
      <c r="AH363" s="6">
        <v>15172.44</v>
      </c>
      <c r="AI363" s="6">
        <v>6834.1540000000005</v>
      </c>
      <c r="AJ363" s="6">
        <v>35610.957000000002</v>
      </c>
      <c r="AK363" s="6">
        <v>43395.987000000001</v>
      </c>
      <c r="AL363" s="6">
        <v>9155.1730000000007</v>
      </c>
      <c r="AM363" s="6">
        <v>31125.263999999999</v>
      </c>
      <c r="AN363" s="6">
        <v>5764.37</v>
      </c>
      <c r="AO363" s="6">
        <v>51752.993000000002</v>
      </c>
      <c r="AP363" s="6">
        <v>19439.845000000001</v>
      </c>
      <c r="AQ363" s="6">
        <v>1309.42</v>
      </c>
      <c r="AR363" s="6">
        <v>0</v>
      </c>
      <c r="AS363" s="6">
        <v>0</v>
      </c>
      <c r="AT363" s="6">
        <v>0</v>
      </c>
    </row>
    <row r="364" spans="1:46" x14ac:dyDescent="0.25">
      <c r="A364" s="4" t="s">
        <v>197</v>
      </c>
      <c r="B364" s="4" t="s">
        <v>207</v>
      </c>
      <c r="C364" s="4" t="s">
        <v>246</v>
      </c>
      <c r="D364" s="4" t="s">
        <v>247</v>
      </c>
      <c r="E364" s="4" t="s">
        <v>248</v>
      </c>
      <c r="F364" s="4" t="s">
        <v>202</v>
      </c>
      <c r="G364" s="4" t="s">
        <v>116</v>
      </c>
      <c r="H364" s="4" t="s">
        <v>249</v>
      </c>
      <c r="I364" s="7">
        <v>0</v>
      </c>
      <c r="J364" s="7">
        <v>0</v>
      </c>
      <c r="K364" s="7">
        <v>0</v>
      </c>
      <c r="L364" s="7">
        <v>0</v>
      </c>
      <c r="M364" s="7">
        <v>2E-3</v>
      </c>
      <c r="N364" s="7">
        <v>7.1999999999999995E-2</v>
      </c>
      <c r="O364" s="7">
        <v>0.42099999999999999</v>
      </c>
      <c r="P364" s="7">
        <v>0.34699999999999998</v>
      </c>
      <c r="Q364" s="7">
        <v>0.25</v>
      </c>
      <c r="R364" s="7">
        <v>0.28100000000000003</v>
      </c>
      <c r="S364" s="7">
        <v>0.27600000000000002</v>
      </c>
      <c r="T364" s="7">
        <v>0.10299999999999999</v>
      </c>
      <c r="U364" s="7">
        <v>0</v>
      </c>
      <c r="V364" s="7">
        <v>0</v>
      </c>
      <c r="W364" s="7">
        <v>0</v>
      </c>
      <c r="X364" s="7">
        <v>0.16500000000000001</v>
      </c>
      <c r="Y364" s="7">
        <v>0.33900000000000002</v>
      </c>
      <c r="Z364" s="7">
        <v>0.34599999999999997</v>
      </c>
      <c r="AA364" s="7">
        <v>0.64400000000000002</v>
      </c>
      <c r="AB364" s="7">
        <v>0.251</v>
      </c>
      <c r="AC364" s="7">
        <v>0.66700000000000004</v>
      </c>
      <c r="AD364" s="7">
        <v>0</v>
      </c>
      <c r="AE364" s="7">
        <v>2E-3</v>
      </c>
      <c r="AF364" s="7">
        <v>0.16400000000000001</v>
      </c>
      <c r="AG364" s="7">
        <v>0.123</v>
      </c>
      <c r="AH364" s="7">
        <v>0.111</v>
      </c>
      <c r="AI364" s="7">
        <v>9.5000000000000001E-2</v>
      </c>
      <c r="AJ364" s="7">
        <v>0.27500000000000002</v>
      </c>
      <c r="AK364" s="7">
        <v>0.3</v>
      </c>
      <c r="AL364" s="7">
        <v>7.0999999999999994E-2</v>
      </c>
      <c r="AM364" s="7">
        <v>0.14699999999999999</v>
      </c>
      <c r="AN364" s="7">
        <v>2.1999999999999999E-2</v>
      </c>
      <c r="AO364" s="7">
        <v>0.24</v>
      </c>
      <c r="AP364" s="7">
        <v>0.151</v>
      </c>
      <c r="AQ364" s="7">
        <v>1.0999999999999999E-2</v>
      </c>
      <c r="AR364" s="7">
        <v>0</v>
      </c>
      <c r="AS364" s="7">
        <v>0</v>
      </c>
      <c r="AT364" s="7">
        <v>0</v>
      </c>
    </row>
    <row r="365" spans="1:46" x14ac:dyDescent="0.25">
      <c r="A365" s="4" t="s">
        <v>197</v>
      </c>
      <c r="B365" s="4" t="s">
        <v>207</v>
      </c>
      <c r="C365" s="4" t="s">
        <v>246</v>
      </c>
      <c r="D365" s="4" t="s">
        <v>247</v>
      </c>
      <c r="E365" s="4" t="s">
        <v>248</v>
      </c>
      <c r="F365" s="4" t="s">
        <v>202</v>
      </c>
      <c r="G365" s="4" t="s">
        <v>116</v>
      </c>
      <c r="H365" s="4" t="s">
        <v>250</v>
      </c>
      <c r="I365" s="7">
        <v>0</v>
      </c>
      <c r="J365" s="7">
        <v>0</v>
      </c>
      <c r="K365" s="7">
        <v>0</v>
      </c>
      <c r="L365" s="7">
        <v>2.4E-2</v>
      </c>
      <c r="M365" s="7">
        <v>9.5000000000000001E-2</v>
      </c>
      <c r="N365" s="7">
        <v>0.879</v>
      </c>
      <c r="O365" s="7">
        <v>1.9059999999999999</v>
      </c>
      <c r="P365" s="7">
        <v>1.2110000000000001</v>
      </c>
      <c r="Q365" s="7">
        <v>0.67600000000000005</v>
      </c>
      <c r="R365" s="7">
        <v>0.75700000000000001</v>
      </c>
      <c r="S365" s="7">
        <v>1.2310000000000001</v>
      </c>
      <c r="T365" s="7">
        <v>0.223</v>
      </c>
      <c r="U365" s="7">
        <v>0.05</v>
      </c>
      <c r="V365" s="7">
        <v>1.1339999999999999</v>
      </c>
      <c r="W365" s="7">
        <v>0.64500000000000002</v>
      </c>
      <c r="X365" s="7">
        <v>9.3699999999999992</v>
      </c>
      <c r="Y365" s="7">
        <v>10.683</v>
      </c>
      <c r="Z365" s="7">
        <v>8.8940000000000001</v>
      </c>
      <c r="AA365" s="7">
        <v>12.425000000000001</v>
      </c>
      <c r="AB365" s="7">
        <v>8.5570000000000004</v>
      </c>
      <c r="AC365" s="7">
        <v>11.802</v>
      </c>
      <c r="AD365" s="7">
        <v>5.52</v>
      </c>
      <c r="AE365" s="7">
        <v>4.8929999999999998</v>
      </c>
      <c r="AF365" s="7">
        <v>6.3979999999999997</v>
      </c>
      <c r="AG365" s="7">
        <v>5.0179999999999998</v>
      </c>
      <c r="AH365" s="7">
        <v>13.000999999999999</v>
      </c>
      <c r="AI365" s="7">
        <v>0.67500000000000004</v>
      </c>
      <c r="AJ365" s="7">
        <v>7.641</v>
      </c>
      <c r="AK365" s="7">
        <v>7.444</v>
      </c>
      <c r="AL365" s="7">
        <v>5.2439999999999998</v>
      </c>
      <c r="AM365" s="7">
        <v>4.9930000000000003</v>
      </c>
      <c r="AN365" s="7">
        <v>1.413</v>
      </c>
      <c r="AO365" s="7">
        <v>2.2090000000000001</v>
      </c>
      <c r="AP365" s="7">
        <v>1.4750000000000001</v>
      </c>
      <c r="AQ365" s="7">
        <v>0.372</v>
      </c>
      <c r="AR365" s="7">
        <v>0</v>
      </c>
      <c r="AS365" s="7">
        <v>0.30599999999999999</v>
      </c>
      <c r="AT365" s="5">
        <v>46.454999999999998</v>
      </c>
    </row>
    <row r="366" spans="1:46" x14ac:dyDescent="0.25">
      <c r="A366" s="4" t="s">
        <v>197</v>
      </c>
      <c r="B366" s="4" t="s">
        <v>207</v>
      </c>
      <c r="C366" s="4" t="s">
        <v>246</v>
      </c>
      <c r="D366" s="4" t="s">
        <v>247</v>
      </c>
      <c r="E366" s="4" t="s">
        <v>248</v>
      </c>
      <c r="F366" s="4" t="s">
        <v>202</v>
      </c>
      <c r="G366" s="4" t="s">
        <v>116</v>
      </c>
      <c r="H366" s="4" t="s">
        <v>251</v>
      </c>
      <c r="I366" s="7">
        <v>7.9547499999999993E-2</v>
      </c>
      <c r="J366" s="7">
        <v>7.9535499999999995E-2</v>
      </c>
      <c r="K366" s="7">
        <v>7.95265E-2</v>
      </c>
      <c r="L366" s="7">
        <v>6.9307099999999996E-2</v>
      </c>
      <c r="M366" s="7">
        <v>0.55805369999999999</v>
      </c>
      <c r="N366" s="7">
        <v>0.84926710000000005</v>
      </c>
      <c r="O366" s="7">
        <v>1.1263711000000001</v>
      </c>
      <c r="P366" s="7">
        <v>1.0972515</v>
      </c>
      <c r="Q366" s="7">
        <v>1.3358401</v>
      </c>
      <c r="R366" s="7">
        <v>1.3356954999999999</v>
      </c>
      <c r="S366" s="7">
        <v>1.3261476000000001</v>
      </c>
      <c r="T366" s="7">
        <v>1.8089219000000001</v>
      </c>
      <c r="U366" s="7">
        <v>1.8087605</v>
      </c>
      <c r="V366" s="7">
        <v>2.4363402000000001</v>
      </c>
      <c r="W366" s="7">
        <v>2.2176089999999999</v>
      </c>
      <c r="X366" s="7">
        <v>2.5121953000000001</v>
      </c>
      <c r="Y366" s="7">
        <v>2.5060905999999998</v>
      </c>
      <c r="Z366" s="7">
        <v>2.4943544000000002</v>
      </c>
      <c r="AA366" s="7">
        <v>2.6460127</v>
      </c>
      <c r="AB366" s="7">
        <v>2.2136277999999998</v>
      </c>
      <c r="AC366" s="7">
        <v>2.2249443000000002</v>
      </c>
      <c r="AD366" s="7">
        <v>1.5700817</v>
      </c>
      <c r="AE366" s="7">
        <v>1.6436512000000001</v>
      </c>
      <c r="AF366" s="7">
        <v>2.3108355999999999</v>
      </c>
      <c r="AG366" s="7">
        <v>2.2912387999999999</v>
      </c>
      <c r="AH366" s="7">
        <v>1.810341</v>
      </c>
      <c r="AI366" s="7">
        <v>1.7155237000000001</v>
      </c>
      <c r="AJ366" s="7">
        <v>1.9431875999999999</v>
      </c>
      <c r="AK366" s="7">
        <v>1.9427026999999999</v>
      </c>
      <c r="AL366" s="7">
        <v>2.1228400999999999</v>
      </c>
      <c r="AM366" s="7">
        <v>2.1217831</v>
      </c>
      <c r="AN366" s="7">
        <v>1.6315131</v>
      </c>
      <c r="AO366" s="7">
        <v>1.6553666</v>
      </c>
      <c r="AP366" s="7">
        <v>1.6804777</v>
      </c>
      <c r="AQ366" s="7">
        <v>0.97237209999999996</v>
      </c>
      <c r="AR366" s="7">
        <v>0.85401590000000005</v>
      </c>
      <c r="AS366" s="7">
        <v>0.85373790000000005</v>
      </c>
      <c r="AT366" s="7">
        <v>0.30599999999999999</v>
      </c>
    </row>
    <row r="367" spans="1:46" x14ac:dyDescent="0.25">
      <c r="A367" s="4" t="s">
        <v>197</v>
      </c>
      <c r="B367" s="4" t="s">
        <v>207</v>
      </c>
      <c r="C367" s="4" t="s">
        <v>246</v>
      </c>
      <c r="D367" s="4" t="s">
        <v>247</v>
      </c>
      <c r="E367" s="4" t="s">
        <v>248</v>
      </c>
      <c r="F367" s="4" t="s">
        <v>202</v>
      </c>
      <c r="G367" s="4" t="s">
        <v>116</v>
      </c>
      <c r="H367" s="4" t="s">
        <v>252</v>
      </c>
      <c r="I367" s="16">
        <v>1.4999999999999999E-2</v>
      </c>
      <c r="J367" s="16">
        <v>1.6E-2</v>
      </c>
      <c r="K367" s="16">
        <v>1.2999999999999999E-2</v>
      </c>
      <c r="L367" s="16">
        <v>0.01</v>
      </c>
      <c r="M367" s="16">
        <v>0.32300000000000001</v>
      </c>
      <c r="N367" s="16">
        <v>0.32400000000000001</v>
      </c>
      <c r="O367" s="16">
        <v>0.36499999999999999</v>
      </c>
      <c r="P367" s="16">
        <v>0.433</v>
      </c>
      <c r="Q367" s="16">
        <v>0.53500000000000003</v>
      </c>
      <c r="R367" s="16">
        <v>0.92100000000000004</v>
      </c>
      <c r="S367" s="16">
        <v>0.89800000000000002</v>
      </c>
      <c r="T367" s="16">
        <v>1.044</v>
      </c>
      <c r="U367" s="16">
        <v>0.97399999999999998</v>
      </c>
      <c r="V367" s="16">
        <v>1.4590000000000001</v>
      </c>
      <c r="W367" s="16">
        <v>1.4039999999999999</v>
      </c>
      <c r="X367" s="16">
        <v>1.4770000000000001</v>
      </c>
      <c r="Y367" s="16">
        <v>1.74</v>
      </c>
      <c r="Z367" s="16">
        <v>1.556</v>
      </c>
      <c r="AA367" s="16">
        <v>0.93</v>
      </c>
      <c r="AB367" s="16">
        <v>0.93600000000000005</v>
      </c>
      <c r="AC367" s="16">
        <v>0.91600000000000004</v>
      </c>
      <c r="AD367" s="16">
        <v>0.53500000000000003</v>
      </c>
      <c r="AE367" s="16">
        <v>0.56499999999999995</v>
      </c>
      <c r="AF367" s="16">
        <v>0.61499999999999999</v>
      </c>
      <c r="AG367" s="16">
        <v>0.56899999999999995</v>
      </c>
      <c r="AH367" s="16">
        <v>0.38600000000000001</v>
      </c>
      <c r="AI367" s="16">
        <v>0.32800000000000001</v>
      </c>
      <c r="AJ367" s="16">
        <v>0.50700000000000001</v>
      </c>
      <c r="AK367" s="16">
        <v>0.28699999999999998</v>
      </c>
      <c r="AL367" s="16">
        <v>0.29099999999999998</v>
      </c>
      <c r="AM367" s="16">
        <v>0.20499999999999999</v>
      </c>
      <c r="AN367" s="16">
        <v>0.21199999999999999</v>
      </c>
      <c r="AO367" s="16">
        <v>0.216</v>
      </c>
      <c r="AP367" s="16">
        <v>0.109</v>
      </c>
      <c r="AQ367" s="16">
        <v>0.11799999999999999</v>
      </c>
      <c r="AR367" s="16">
        <v>0.127</v>
      </c>
      <c r="AS367" s="16">
        <v>0.11600000000000001</v>
      </c>
      <c r="AT367" s="7">
        <v>0.85373790000000005</v>
      </c>
    </row>
    <row r="368" spans="1:46" x14ac:dyDescent="0.25">
      <c r="A368" s="4" t="s">
        <v>197</v>
      </c>
      <c r="B368" s="4" t="s">
        <v>207</v>
      </c>
      <c r="C368" s="4" t="s">
        <v>246</v>
      </c>
      <c r="D368" s="4" t="s">
        <v>247</v>
      </c>
      <c r="E368" s="4" t="s">
        <v>248</v>
      </c>
      <c r="F368" s="4" t="s">
        <v>202</v>
      </c>
      <c r="G368" s="4" t="s">
        <v>103</v>
      </c>
      <c r="H368" s="4" t="s">
        <v>151</v>
      </c>
      <c r="I368" s="5">
        <v>2140.7820000000002</v>
      </c>
      <c r="J368" s="5">
        <v>2145.694</v>
      </c>
      <c r="K368" s="5">
        <v>2993.4490000000001</v>
      </c>
      <c r="L368" s="5">
        <v>2498.654</v>
      </c>
      <c r="M368" s="5">
        <v>4002.7950000000001</v>
      </c>
      <c r="N368" s="5">
        <v>3497.6460000000002</v>
      </c>
      <c r="O368" s="5">
        <v>2589.9169999999999</v>
      </c>
      <c r="P368" s="5">
        <v>1515.183</v>
      </c>
      <c r="Q368" s="5">
        <v>1274.2729999999999</v>
      </c>
      <c r="R368" s="5">
        <v>864.41800000000001</v>
      </c>
      <c r="S368" s="5">
        <v>758.63199999999995</v>
      </c>
      <c r="T368" s="5">
        <v>617.83000000000004</v>
      </c>
      <c r="U368" s="5">
        <v>652.43799999999999</v>
      </c>
      <c r="V368" s="5">
        <v>591.90700000000004</v>
      </c>
      <c r="W368" s="5">
        <v>894.49</v>
      </c>
      <c r="X368" s="5">
        <v>1392.393</v>
      </c>
      <c r="Y368" s="5">
        <v>1842.875</v>
      </c>
      <c r="Z368" s="5">
        <v>2314.2460000000001</v>
      </c>
      <c r="AA368" s="5">
        <v>2273.23</v>
      </c>
      <c r="AB368" s="5">
        <v>1664.2260000000001</v>
      </c>
      <c r="AC368" s="5">
        <v>1288.453</v>
      </c>
      <c r="AD368" s="5">
        <v>1162.8130000000001</v>
      </c>
      <c r="AE368" s="5">
        <v>979.505</v>
      </c>
      <c r="AF368" s="5">
        <v>794.78399999999999</v>
      </c>
      <c r="AG368" s="5">
        <v>654.59</v>
      </c>
      <c r="AH368" s="5">
        <v>1119.2180000000001</v>
      </c>
      <c r="AI368" s="5">
        <v>1111.252</v>
      </c>
      <c r="AJ368" s="5">
        <v>2323.8029999999999</v>
      </c>
      <c r="AK368" s="5">
        <v>4109.7979999999998</v>
      </c>
      <c r="AL368" s="5">
        <v>6359.0659999999998</v>
      </c>
      <c r="AM368" s="5">
        <v>7210.6170000000002</v>
      </c>
      <c r="AN368" s="5">
        <v>6276.3249999999998</v>
      </c>
      <c r="AO368" s="5">
        <v>4354.5439999999999</v>
      </c>
      <c r="AP368" s="5">
        <v>2852.4380000000001</v>
      </c>
      <c r="AQ368" s="5">
        <v>2626.1460000000002</v>
      </c>
      <c r="AR368" s="5">
        <v>1561.8510000000001</v>
      </c>
      <c r="AS368" s="5">
        <v>815.89700000000005</v>
      </c>
      <c r="AT368" s="5">
        <v>815.89700000000005</v>
      </c>
    </row>
    <row r="369" spans="1:46" x14ac:dyDescent="0.25">
      <c r="A369" s="4" t="s">
        <v>197</v>
      </c>
      <c r="B369" s="4" t="s">
        <v>207</v>
      </c>
      <c r="C369" s="4" t="s">
        <v>246</v>
      </c>
      <c r="D369" s="4" t="s">
        <v>247</v>
      </c>
      <c r="E369" s="4" t="s">
        <v>248</v>
      </c>
      <c r="F369" s="4" t="s">
        <v>202</v>
      </c>
      <c r="G369" s="4" t="s">
        <v>103</v>
      </c>
      <c r="H369" s="4" t="s">
        <v>205</v>
      </c>
      <c r="I369" s="6">
        <v>206385.56599999999</v>
      </c>
      <c r="J369" s="6">
        <v>225871.40400000001</v>
      </c>
      <c r="K369" s="6">
        <v>343703.61300000001</v>
      </c>
      <c r="L369" s="6">
        <v>302971.99599999998</v>
      </c>
      <c r="M369" s="6">
        <v>519723.69799999997</v>
      </c>
      <c r="N369" s="6">
        <v>410032.88</v>
      </c>
      <c r="O369" s="6">
        <v>301289.63</v>
      </c>
      <c r="P369" s="6">
        <v>187050.80600000001</v>
      </c>
      <c r="Q369" s="6">
        <v>164208.34</v>
      </c>
      <c r="R369" s="6">
        <v>106675.31600000001</v>
      </c>
      <c r="S369" s="6">
        <v>98921.827000000005</v>
      </c>
      <c r="T369" s="6">
        <v>80983.206999999995</v>
      </c>
      <c r="U369" s="6">
        <v>81443.929999999993</v>
      </c>
      <c r="V369" s="6">
        <v>76180.566000000006</v>
      </c>
      <c r="W369" s="6">
        <v>128402.008</v>
      </c>
      <c r="X369" s="6">
        <v>191573.74100000001</v>
      </c>
      <c r="Y369" s="6">
        <v>270329.38099999999</v>
      </c>
      <c r="Z369" s="6">
        <v>310031.929</v>
      </c>
      <c r="AA369" s="6">
        <v>314212.66399999999</v>
      </c>
      <c r="AB369" s="6">
        <v>211733.641</v>
      </c>
      <c r="AC369" s="6">
        <v>162621.63200000001</v>
      </c>
      <c r="AD369" s="6">
        <v>140559.88099999999</v>
      </c>
      <c r="AE369" s="6">
        <v>120744.55</v>
      </c>
      <c r="AF369" s="6">
        <v>109916.474</v>
      </c>
      <c r="AG369" s="6">
        <v>98847.650999999998</v>
      </c>
      <c r="AH369" s="6">
        <v>210483.42499999999</v>
      </c>
      <c r="AI369" s="6">
        <v>227669.342</v>
      </c>
      <c r="AJ369" s="6">
        <v>356151.685</v>
      </c>
      <c r="AK369" s="6">
        <v>629622.42700000003</v>
      </c>
      <c r="AL369" s="6">
        <v>836000.38699999999</v>
      </c>
      <c r="AM369" s="6">
        <v>934558.01699999999</v>
      </c>
      <c r="AN369" s="6">
        <v>1061888.8400000001</v>
      </c>
      <c r="AO369" s="6">
        <v>772533.56200000003</v>
      </c>
      <c r="AP369" s="6">
        <v>416323.88799999998</v>
      </c>
      <c r="AQ369" s="6">
        <v>364610.18400000001</v>
      </c>
      <c r="AR369" s="6">
        <v>235411.79800000001</v>
      </c>
      <c r="AS369" s="6">
        <v>114566.515</v>
      </c>
      <c r="AT369" s="6">
        <v>114566.515</v>
      </c>
    </row>
    <row r="370" spans="1:46" x14ac:dyDescent="0.25">
      <c r="A370" s="4" t="s">
        <v>197</v>
      </c>
      <c r="B370" s="4" t="s">
        <v>207</v>
      </c>
      <c r="C370" s="4" t="s">
        <v>246</v>
      </c>
      <c r="D370" s="4" t="s">
        <v>247</v>
      </c>
      <c r="E370" s="4" t="s">
        <v>248</v>
      </c>
      <c r="F370" s="4" t="s">
        <v>202</v>
      </c>
      <c r="G370" s="4" t="s">
        <v>103</v>
      </c>
      <c r="H370" s="4" t="s">
        <v>249</v>
      </c>
      <c r="I370" s="7">
        <v>2.2050000000000001</v>
      </c>
      <c r="J370" s="7">
        <v>2.0680000000000001</v>
      </c>
      <c r="K370" s="7">
        <v>2.2589999999999999</v>
      </c>
      <c r="L370" s="7">
        <v>1.502</v>
      </c>
      <c r="M370" s="7">
        <v>2.4710000000000001</v>
      </c>
      <c r="N370" s="7">
        <v>2.0489999999999999</v>
      </c>
      <c r="O370" s="7">
        <v>1.5</v>
      </c>
      <c r="P370" s="7">
        <v>1.2410000000000001</v>
      </c>
      <c r="Q370" s="7">
        <v>1.1379999999999999</v>
      </c>
      <c r="R370" s="7">
        <v>1.042</v>
      </c>
      <c r="S370" s="7">
        <v>1.145</v>
      </c>
      <c r="T370" s="7">
        <v>0.98399999999999999</v>
      </c>
      <c r="U370" s="7">
        <v>0.92</v>
      </c>
      <c r="V370" s="7">
        <v>0.83799999999999997</v>
      </c>
      <c r="W370" s="7">
        <v>1.127</v>
      </c>
      <c r="X370" s="7">
        <v>1.2669999999999999</v>
      </c>
      <c r="Y370" s="7">
        <v>1.69</v>
      </c>
      <c r="Z370" s="7">
        <v>2.0779999999999998</v>
      </c>
      <c r="AA370" s="7">
        <v>2.0680000000000001</v>
      </c>
      <c r="AB370" s="7">
        <v>1.5349999999999999</v>
      </c>
      <c r="AC370" s="7">
        <v>1.3149999999999999</v>
      </c>
      <c r="AD370" s="7">
        <v>1.341</v>
      </c>
      <c r="AE370" s="7">
        <v>1.3919999999999999</v>
      </c>
      <c r="AF370" s="7">
        <v>1.5389999999999999</v>
      </c>
      <c r="AG370" s="7">
        <v>1.296</v>
      </c>
      <c r="AH370" s="7">
        <v>1.9670000000000001</v>
      </c>
      <c r="AI370" s="7">
        <v>1.712</v>
      </c>
      <c r="AJ370" s="7">
        <v>2.3029999999999999</v>
      </c>
      <c r="AK370" s="7">
        <v>3.153</v>
      </c>
      <c r="AL370" s="7">
        <v>3.71</v>
      </c>
      <c r="AM370" s="7">
        <v>3.65</v>
      </c>
      <c r="AN370" s="7">
        <v>3.4220000000000002</v>
      </c>
      <c r="AO370" s="7">
        <v>3.0139999999999998</v>
      </c>
      <c r="AP370" s="7">
        <v>2.3450000000000002</v>
      </c>
      <c r="AQ370" s="7">
        <v>3.165</v>
      </c>
      <c r="AR370" s="7">
        <v>3.101</v>
      </c>
      <c r="AS370" s="7">
        <v>2.1019999999999999</v>
      </c>
      <c r="AT370" s="7">
        <v>1.409</v>
      </c>
    </row>
    <row r="371" spans="1:46" x14ac:dyDescent="0.25">
      <c r="A371" s="4" t="s">
        <v>197</v>
      </c>
      <c r="B371" s="4" t="s">
        <v>207</v>
      </c>
      <c r="C371" s="4" t="s">
        <v>246</v>
      </c>
      <c r="D371" s="4" t="s">
        <v>247</v>
      </c>
      <c r="E371" s="4" t="s">
        <v>248</v>
      </c>
      <c r="F371" s="4" t="s">
        <v>202</v>
      </c>
      <c r="G371" s="4" t="s">
        <v>103</v>
      </c>
      <c r="H371" s="4" t="s">
        <v>250</v>
      </c>
      <c r="I371" s="7">
        <v>74.600999999999999</v>
      </c>
      <c r="J371" s="7">
        <v>64.656000000000006</v>
      </c>
      <c r="K371" s="7">
        <v>62.889000000000003</v>
      </c>
      <c r="L371" s="7">
        <v>60.167999999999999</v>
      </c>
      <c r="M371" s="7">
        <v>62.313000000000002</v>
      </c>
      <c r="N371" s="7">
        <v>62.18</v>
      </c>
      <c r="O371" s="7">
        <v>62.286000000000001</v>
      </c>
      <c r="P371" s="7">
        <v>51.991999999999997</v>
      </c>
      <c r="Q371" s="7">
        <v>54.82</v>
      </c>
      <c r="R371" s="7">
        <v>45.045000000000002</v>
      </c>
      <c r="S371" s="7">
        <v>49.661000000000001</v>
      </c>
      <c r="T371" s="7">
        <v>32.130000000000003</v>
      </c>
      <c r="U371" s="7">
        <v>27.356999999999999</v>
      </c>
      <c r="V371" s="7">
        <v>29.366</v>
      </c>
      <c r="W371" s="7">
        <v>39.453000000000003</v>
      </c>
      <c r="X371" s="7">
        <v>47.3</v>
      </c>
      <c r="Y371" s="7">
        <v>56.834000000000003</v>
      </c>
      <c r="Z371" s="7">
        <v>51.04</v>
      </c>
      <c r="AA371" s="7">
        <v>50.798999999999999</v>
      </c>
      <c r="AB371" s="7">
        <v>46.804000000000002</v>
      </c>
      <c r="AC371" s="7">
        <v>64.331999999999994</v>
      </c>
      <c r="AD371" s="7">
        <v>69.134</v>
      </c>
      <c r="AE371" s="7">
        <v>69.706000000000003</v>
      </c>
      <c r="AF371" s="7">
        <v>67.358999999999995</v>
      </c>
      <c r="AG371" s="7">
        <v>70.462999999999994</v>
      </c>
      <c r="AH371" s="7">
        <v>69.613</v>
      </c>
      <c r="AI371" s="7">
        <v>60.377000000000002</v>
      </c>
      <c r="AJ371" s="7">
        <v>58.539000000000001</v>
      </c>
      <c r="AK371" s="7">
        <v>58.179000000000002</v>
      </c>
      <c r="AL371" s="7">
        <v>56.612000000000002</v>
      </c>
      <c r="AM371" s="7">
        <v>52.494999999999997</v>
      </c>
      <c r="AN371" s="7">
        <v>53.268000000000001</v>
      </c>
      <c r="AO371" s="7">
        <v>57.643999999999998</v>
      </c>
      <c r="AP371" s="7">
        <v>50.889000000000003</v>
      </c>
      <c r="AQ371" s="7">
        <v>41.405999999999999</v>
      </c>
      <c r="AR371" s="7">
        <v>44.750999999999998</v>
      </c>
      <c r="AS371" s="7">
        <v>33.773000000000003</v>
      </c>
      <c r="AT371" s="5">
        <v>3196.643</v>
      </c>
    </row>
    <row r="372" spans="1:46" x14ac:dyDescent="0.25">
      <c r="A372" s="4" t="s">
        <v>197</v>
      </c>
      <c r="B372" s="4" t="s">
        <v>207</v>
      </c>
      <c r="C372" s="4" t="s">
        <v>246</v>
      </c>
      <c r="D372" s="4" t="s">
        <v>247</v>
      </c>
      <c r="E372" s="4" t="s">
        <v>248</v>
      </c>
      <c r="F372" s="4" t="s">
        <v>202</v>
      </c>
      <c r="G372" s="4" t="s">
        <v>103</v>
      </c>
      <c r="H372" s="4" t="s">
        <v>251</v>
      </c>
      <c r="I372" s="7">
        <v>18.805356700000001</v>
      </c>
      <c r="J372" s="7">
        <v>16.064114700000001</v>
      </c>
      <c r="K372" s="7">
        <v>16.434933699999998</v>
      </c>
      <c r="L372" s="7">
        <v>19.8189767</v>
      </c>
      <c r="M372" s="7">
        <v>20.354592100000001</v>
      </c>
      <c r="N372" s="7">
        <v>18.530764999999999</v>
      </c>
      <c r="O372" s="7">
        <v>20.7183697</v>
      </c>
      <c r="P372" s="7">
        <v>19.0169408</v>
      </c>
      <c r="Q372" s="7">
        <v>19.3130658</v>
      </c>
      <c r="R372" s="7">
        <v>18.053765800000001</v>
      </c>
      <c r="S372" s="7">
        <v>18.167691600000001</v>
      </c>
      <c r="T372" s="7">
        <v>18.6980921</v>
      </c>
      <c r="U372" s="7">
        <v>18.5303006</v>
      </c>
      <c r="V372" s="7">
        <v>18.0016125</v>
      </c>
      <c r="W372" s="7">
        <v>18.104215100000001</v>
      </c>
      <c r="X372" s="7">
        <v>19.620811499999999</v>
      </c>
      <c r="Y372" s="7">
        <v>20.182820499999998</v>
      </c>
      <c r="Z372" s="7">
        <v>17.8269135</v>
      </c>
      <c r="AA372" s="7">
        <v>18.655176399999998</v>
      </c>
      <c r="AB372" s="7">
        <v>18.3146819</v>
      </c>
      <c r="AC372" s="7">
        <v>20.7740832</v>
      </c>
      <c r="AD372" s="7">
        <v>21.439072800000002</v>
      </c>
      <c r="AE372" s="7">
        <v>21.020569800000001</v>
      </c>
      <c r="AF372" s="7">
        <v>20.4736203</v>
      </c>
      <c r="AG372" s="7">
        <v>21.444468199999999</v>
      </c>
      <c r="AH372" s="7">
        <v>21.338598600000001</v>
      </c>
      <c r="AI372" s="7">
        <v>22.012484000000001</v>
      </c>
      <c r="AJ372" s="7">
        <v>22.116698100000001</v>
      </c>
      <c r="AK372" s="7">
        <v>22.7984677</v>
      </c>
      <c r="AL372" s="7">
        <v>25.161244799999999</v>
      </c>
      <c r="AM372" s="7">
        <v>25.333876400000001</v>
      </c>
      <c r="AN372" s="7">
        <v>22.2964749</v>
      </c>
      <c r="AO372" s="7">
        <v>18.713464399999999</v>
      </c>
      <c r="AP372" s="7">
        <v>17.889686600000001</v>
      </c>
      <c r="AQ372" s="7">
        <v>15.5844942</v>
      </c>
      <c r="AR372" s="7">
        <v>14.019798</v>
      </c>
      <c r="AS372" s="7">
        <v>12.8491225</v>
      </c>
      <c r="AT372" s="7">
        <v>33.773000000000003</v>
      </c>
    </row>
    <row r="373" spans="1:46" x14ac:dyDescent="0.25">
      <c r="A373" s="4" t="s">
        <v>197</v>
      </c>
      <c r="B373" s="4" t="s">
        <v>207</v>
      </c>
      <c r="C373" s="4" t="s">
        <v>246</v>
      </c>
      <c r="D373" s="4" t="s">
        <v>247</v>
      </c>
      <c r="E373" s="4" t="s">
        <v>248</v>
      </c>
      <c r="F373" s="4" t="s">
        <v>202</v>
      </c>
      <c r="G373" s="4" t="s">
        <v>103</v>
      </c>
      <c r="H373" s="4" t="s">
        <v>252</v>
      </c>
      <c r="I373" s="16">
        <v>11.379</v>
      </c>
      <c r="J373" s="16">
        <v>12.026</v>
      </c>
      <c r="K373" s="16">
        <v>10.42</v>
      </c>
      <c r="L373" s="16">
        <v>9.8640000000000008</v>
      </c>
      <c r="M373" s="16">
        <v>11.068</v>
      </c>
      <c r="N373" s="16">
        <v>10.177</v>
      </c>
      <c r="O373" s="16">
        <v>9.0790000000000006</v>
      </c>
      <c r="P373" s="16">
        <v>8.2910000000000004</v>
      </c>
      <c r="Q373" s="16">
        <v>9.3569999999999993</v>
      </c>
      <c r="R373" s="16">
        <v>11.074999999999999</v>
      </c>
      <c r="S373" s="16">
        <v>11.238</v>
      </c>
      <c r="T373" s="16">
        <v>11.978</v>
      </c>
      <c r="U373" s="16">
        <v>11.717000000000001</v>
      </c>
      <c r="V373" s="16">
        <v>12.673999999999999</v>
      </c>
      <c r="W373" s="16">
        <v>9.4290000000000003</v>
      </c>
      <c r="X373" s="16">
        <v>10.318</v>
      </c>
      <c r="Y373" s="16">
        <v>8.6530000000000005</v>
      </c>
      <c r="Z373" s="16">
        <v>15.911</v>
      </c>
      <c r="AA373" s="16">
        <v>14.358000000000001</v>
      </c>
      <c r="AB373" s="16">
        <v>15.121</v>
      </c>
      <c r="AC373" s="16">
        <v>12.945</v>
      </c>
      <c r="AD373" s="16">
        <v>12.195</v>
      </c>
      <c r="AE373" s="16">
        <v>13.532</v>
      </c>
      <c r="AF373" s="16">
        <v>12.709</v>
      </c>
      <c r="AG373" s="16">
        <v>12.929</v>
      </c>
      <c r="AH373" s="16">
        <v>11.555</v>
      </c>
      <c r="AI373" s="16">
        <v>11.452999999999999</v>
      </c>
      <c r="AJ373" s="16">
        <v>9.6760000000000002</v>
      </c>
      <c r="AK373" s="16">
        <v>11.236000000000001</v>
      </c>
      <c r="AL373" s="16">
        <v>9.1</v>
      </c>
      <c r="AM373" s="16">
        <v>10.571</v>
      </c>
      <c r="AN373" s="16">
        <v>10.734999999999999</v>
      </c>
      <c r="AO373" s="16">
        <v>9.6199999999999992</v>
      </c>
      <c r="AP373" s="16">
        <v>8.18</v>
      </c>
      <c r="AQ373" s="16">
        <v>9.9179999999999993</v>
      </c>
      <c r="AR373" s="16">
        <v>8.6</v>
      </c>
      <c r="AS373" s="16">
        <v>7.7779999999999996</v>
      </c>
      <c r="AT373" s="7">
        <v>12.8491225</v>
      </c>
    </row>
    <row r="374" spans="1:46" x14ac:dyDescent="0.25">
      <c r="A374" s="4" t="s">
        <v>197</v>
      </c>
      <c r="B374" s="4" t="s">
        <v>207</v>
      </c>
      <c r="C374" s="4" t="s">
        <v>246</v>
      </c>
      <c r="D374" s="4" t="s">
        <v>254</v>
      </c>
      <c r="E374" s="4" t="s">
        <v>255</v>
      </c>
      <c r="F374" s="4" t="s">
        <v>203</v>
      </c>
      <c r="G374" s="4" t="s">
        <v>138</v>
      </c>
      <c r="H374" s="4" t="s">
        <v>151</v>
      </c>
      <c r="I374" s="5">
        <v>0</v>
      </c>
      <c r="J374" s="5">
        <v>0</v>
      </c>
      <c r="K374" s="5">
        <v>35.206000000000003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20.794</v>
      </c>
      <c r="R374" s="8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0</v>
      </c>
      <c r="AP374" s="9">
        <v>0</v>
      </c>
      <c r="AQ374" s="9">
        <v>0</v>
      </c>
      <c r="AR374" s="9">
        <v>0</v>
      </c>
      <c r="AS374" s="9">
        <v>0</v>
      </c>
      <c r="AT374" s="9">
        <v>0</v>
      </c>
    </row>
    <row r="375" spans="1:46" x14ac:dyDescent="0.25">
      <c r="A375" s="4" t="s">
        <v>197</v>
      </c>
      <c r="B375" s="4" t="s">
        <v>207</v>
      </c>
      <c r="C375" s="4" t="s">
        <v>246</v>
      </c>
      <c r="D375" s="4" t="s">
        <v>254</v>
      </c>
      <c r="E375" s="4" t="s">
        <v>255</v>
      </c>
      <c r="F375" s="4" t="s">
        <v>203</v>
      </c>
      <c r="G375" s="4" t="s">
        <v>138</v>
      </c>
      <c r="H375" s="4" t="s">
        <v>205</v>
      </c>
      <c r="I375" s="6">
        <v>0</v>
      </c>
      <c r="J375" s="6">
        <v>0</v>
      </c>
      <c r="K375" s="6">
        <v>7463.7430000000004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4408.3320000000003</v>
      </c>
      <c r="R375" s="10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9">
        <v>0</v>
      </c>
      <c r="AO375" s="9">
        <v>0</v>
      </c>
      <c r="AP375" s="9">
        <v>0</v>
      </c>
      <c r="AQ375" s="9">
        <v>0</v>
      </c>
      <c r="AR375" s="9">
        <v>0</v>
      </c>
      <c r="AS375" s="9">
        <v>0</v>
      </c>
      <c r="AT375" s="9">
        <v>0</v>
      </c>
    </row>
    <row r="376" spans="1:46" x14ac:dyDescent="0.25">
      <c r="A376" s="4" t="s">
        <v>197</v>
      </c>
      <c r="B376" s="4" t="s">
        <v>207</v>
      </c>
      <c r="C376" s="4" t="s">
        <v>246</v>
      </c>
      <c r="D376" s="4" t="s">
        <v>254</v>
      </c>
      <c r="E376" s="4" t="s">
        <v>255</v>
      </c>
      <c r="F376" s="4" t="s">
        <v>203</v>
      </c>
      <c r="G376" s="4" t="s">
        <v>138</v>
      </c>
      <c r="H376" s="4" t="s">
        <v>249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11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9">
        <v>0</v>
      </c>
    </row>
    <row r="377" spans="1:46" x14ac:dyDescent="0.25">
      <c r="A377" s="4" t="s">
        <v>197</v>
      </c>
      <c r="B377" s="4" t="s">
        <v>207</v>
      </c>
      <c r="C377" s="4" t="s">
        <v>246</v>
      </c>
      <c r="D377" s="4" t="s">
        <v>254</v>
      </c>
      <c r="E377" s="4" t="s">
        <v>255</v>
      </c>
      <c r="F377" s="4" t="s">
        <v>203</v>
      </c>
      <c r="G377" s="4" t="s">
        <v>138</v>
      </c>
      <c r="H377" s="4" t="s">
        <v>250</v>
      </c>
      <c r="I377" s="7">
        <v>4.8819999999999997</v>
      </c>
      <c r="J377" s="7">
        <v>2.9580000000000002</v>
      </c>
      <c r="K377" s="7">
        <v>6.55</v>
      </c>
      <c r="L377" s="7">
        <v>6.2089999999999996</v>
      </c>
      <c r="M377" s="7">
        <v>6.4969999999999999</v>
      </c>
      <c r="N377" s="7">
        <v>6.61</v>
      </c>
      <c r="O377" s="7">
        <v>7.9450000000000003</v>
      </c>
      <c r="P377" s="7">
        <v>3.8439999999999999</v>
      </c>
      <c r="Q377" s="7">
        <v>1.5149999999999999</v>
      </c>
      <c r="R377" s="11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  <c r="AT377" s="9">
        <v>0</v>
      </c>
    </row>
    <row r="378" spans="1:46" x14ac:dyDescent="0.25">
      <c r="A378" s="4" t="s">
        <v>197</v>
      </c>
      <c r="B378" s="4" t="s">
        <v>207</v>
      </c>
      <c r="C378" s="4" t="s">
        <v>246</v>
      </c>
      <c r="D378" s="4" t="s">
        <v>254</v>
      </c>
      <c r="E378" s="4" t="s">
        <v>255</v>
      </c>
      <c r="F378" s="4" t="s">
        <v>203</v>
      </c>
      <c r="G378" s="4" t="s">
        <v>138</v>
      </c>
      <c r="H378" s="4" t="s">
        <v>251</v>
      </c>
      <c r="I378" s="7">
        <v>0.13341049999999999</v>
      </c>
      <c r="J378" s="7">
        <v>0.1333905</v>
      </c>
      <c r="K378" s="7">
        <v>0.13337540000000001</v>
      </c>
      <c r="L378" s="7">
        <v>0.24257500000000001</v>
      </c>
      <c r="M378" s="7">
        <v>0.2424664</v>
      </c>
      <c r="N378" s="7">
        <v>0.2424663</v>
      </c>
      <c r="O378" s="7">
        <v>0.24246619999999999</v>
      </c>
      <c r="P378" s="7">
        <v>0.24246609999999999</v>
      </c>
      <c r="Q378" s="7">
        <v>0.2506157</v>
      </c>
      <c r="R378" s="7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0</v>
      </c>
      <c r="AR378" s="9">
        <v>0</v>
      </c>
      <c r="AS378" s="9">
        <v>0</v>
      </c>
      <c r="AT378" s="9">
        <v>0</v>
      </c>
    </row>
    <row r="379" spans="1:46" x14ac:dyDescent="0.25">
      <c r="A379" s="4" t="s">
        <v>197</v>
      </c>
      <c r="B379" s="4" t="s">
        <v>207</v>
      </c>
      <c r="C379" s="4" t="s">
        <v>246</v>
      </c>
      <c r="D379" s="4" t="s">
        <v>254</v>
      </c>
      <c r="E379" s="4" t="s">
        <v>255</v>
      </c>
      <c r="F379" s="4" t="s">
        <v>203</v>
      </c>
      <c r="G379" s="4" t="s">
        <v>138</v>
      </c>
      <c r="H379" s="4" t="s">
        <v>252</v>
      </c>
      <c r="I379" s="16">
        <v>6.8000000000000005E-2</v>
      </c>
      <c r="J379" s="16">
        <v>7.2999999999999995E-2</v>
      </c>
      <c r="K379" s="17">
        <v>0</v>
      </c>
      <c r="L379" s="16">
        <v>9.2999999999999999E-2</v>
      </c>
      <c r="M379" s="16">
        <v>0.1</v>
      </c>
      <c r="N379" s="16">
        <v>0.10299999999999999</v>
      </c>
      <c r="O379" s="16">
        <v>9.8000000000000004E-2</v>
      </c>
      <c r="P379" s="16">
        <v>3.9E-2</v>
      </c>
      <c r="Q379" s="17">
        <v>0</v>
      </c>
      <c r="R379" s="17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9">
        <v>0</v>
      </c>
    </row>
    <row r="380" spans="1:46" x14ac:dyDescent="0.25">
      <c r="A380" s="4" t="s">
        <v>197</v>
      </c>
      <c r="B380" s="4" t="s">
        <v>207</v>
      </c>
      <c r="C380" s="4" t="s">
        <v>246</v>
      </c>
      <c r="D380" s="4" t="s">
        <v>254</v>
      </c>
      <c r="E380" s="4" t="s">
        <v>255</v>
      </c>
      <c r="F380" s="4" t="s">
        <v>195</v>
      </c>
      <c r="G380" s="4" t="s">
        <v>93</v>
      </c>
      <c r="H380" s="4" t="s">
        <v>151</v>
      </c>
      <c r="I380" s="5">
        <v>765.75</v>
      </c>
      <c r="J380" s="5">
        <v>515.18899999999996</v>
      </c>
      <c r="K380" s="5">
        <v>1126.308</v>
      </c>
      <c r="L380" s="5">
        <v>2335.9760000000001</v>
      </c>
      <c r="M380" s="5">
        <v>2155.9270000000001</v>
      </c>
      <c r="N380" s="5">
        <v>1868.279</v>
      </c>
      <c r="O380" s="5">
        <v>1640.8520000000001</v>
      </c>
      <c r="P380" s="5">
        <v>1154.6500000000001</v>
      </c>
      <c r="Q380" s="5">
        <v>1104.8910000000001</v>
      </c>
      <c r="R380" s="5">
        <v>714.79100000000005</v>
      </c>
      <c r="S380" s="5">
        <v>576.29899999999998</v>
      </c>
      <c r="T380" s="5">
        <v>497.91899999999998</v>
      </c>
      <c r="U380" s="5">
        <v>153.85300000000001</v>
      </c>
      <c r="V380" s="5">
        <v>229.14099999999999</v>
      </c>
      <c r="W380" s="5">
        <v>482.79300000000001</v>
      </c>
      <c r="X380" s="5">
        <v>703.53200000000004</v>
      </c>
      <c r="Y380" s="5">
        <v>762.80100000000004</v>
      </c>
      <c r="Z380" s="5">
        <v>666.81299999999999</v>
      </c>
      <c r="AA380" s="5">
        <v>1002.5069999999999</v>
      </c>
      <c r="AB380" s="5">
        <v>732.048</v>
      </c>
      <c r="AC380" s="5">
        <v>400.41399999999999</v>
      </c>
      <c r="AD380" s="5">
        <v>141.328</v>
      </c>
      <c r="AE380" s="5">
        <v>177.744</v>
      </c>
      <c r="AF380" s="5">
        <v>575.66099999999994</v>
      </c>
      <c r="AG380" s="5">
        <v>582.40099999999995</v>
      </c>
      <c r="AH380" s="5">
        <v>927.61699999999996</v>
      </c>
      <c r="AI380" s="5">
        <v>1005.096</v>
      </c>
      <c r="AJ380" s="5">
        <v>660.58199999999999</v>
      </c>
      <c r="AK380" s="5">
        <v>498.29500000000002</v>
      </c>
      <c r="AL380" s="5">
        <v>512.76</v>
      </c>
      <c r="AM380" s="5">
        <v>923.15599999999995</v>
      </c>
      <c r="AN380" s="5">
        <v>679.24</v>
      </c>
      <c r="AO380" s="5">
        <v>484.16300000000001</v>
      </c>
      <c r="AP380" s="5">
        <v>511.89</v>
      </c>
      <c r="AQ380" s="5">
        <v>150.17599999999999</v>
      </c>
      <c r="AR380" s="5">
        <v>46.633000000000003</v>
      </c>
      <c r="AS380" s="5">
        <v>49.682000000000002</v>
      </c>
      <c r="AT380" s="5">
        <v>49.682000000000002</v>
      </c>
    </row>
    <row r="381" spans="1:46" x14ac:dyDescent="0.25">
      <c r="A381" s="4" t="s">
        <v>197</v>
      </c>
      <c r="B381" s="4" t="s">
        <v>207</v>
      </c>
      <c r="C381" s="4" t="s">
        <v>246</v>
      </c>
      <c r="D381" s="4" t="s">
        <v>254</v>
      </c>
      <c r="E381" s="4" t="s">
        <v>255</v>
      </c>
      <c r="F381" s="4" t="s">
        <v>195</v>
      </c>
      <c r="G381" s="4" t="s">
        <v>93</v>
      </c>
      <c r="H381" s="4" t="s">
        <v>205</v>
      </c>
      <c r="I381" s="6">
        <v>155740.07699999999</v>
      </c>
      <c r="J381" s="6">
        <v>112534.315</v>
      </c>
      <c r="K381" s="6">
        <v>230480.19</v>
      </c>
      <c r="L381" s="6">
        <v>464915.01500000001</v>
      </c>
      <c r="M381" s="6">
        <v>444179.00400000002</v>
      </c>
      <c r="N381" s="6">
        <v>397194.65299999999</v>
      </c>
      <c r="O381" s="6">
        <v>363443.375</v>
      </c>
      <c r="P381" s="6">
        <v>243823.80499999999</v>
      </c>
      <c r="Q381" s="6">
        <v>242037.777</v>
      </c>
      <c r="R381" s="6">
        <v>145797.565</v>
      </c>
      <c r="S381" s="6">
        <v>116211.106</v>
      </c>
      <c r="T381" s="6">
        <v>100717.306</v>
      </c>
      <c r="U381" s="6">
        <v>38882.898999999998</v>
      </c>
      <c r="V381" s="6">
        <v>53978.44</v>
      </c>
      <c r="W381" s="6">
        <v>114375.42</v>
      </c>
      <c r="X381" s="6">
        <v>171835.54300000001</v>
      </c>
      <c r="Y381" s="6">
        <v>178071.921</v>
      </c>
      <c r="Z381" s="6">
        <v>169135.80100000001</v>
      </c>
      <c r="AA381" s="6">
        <v>241474.44399999999</v>
      </c>
      <c r="AB381" s="6">
        <v>187328.85699999999</v>
      </c>
      <c r="AC381" s="6">
        <v>98755.084000000003</v>
      </c>
      <c r="AD381" s="6">
        <v>34018.258000000002</v>
      </c>
      <c r="AE381" s="6">
        <v>43623.023999999998</v>
      </c>
      <c r="AF381" s="6">
        <v>107416.495</v>
      </c>
      <c r="AG381" s="6">
        <v>107313.92200000001</v>
      </c>
      <c r="AH381" s="6">
        <v>188535.416</v>
      </c>
      <c r="AI381" s="6">
        <v>203972.95499999999</v>
      </c>
      <c r="AJ381" s="6">
        <v>117773.495</v>
      </c>
      <c r="AK381" s="6">
        <v>112530.92</v>
      </c>
      <c r="AL381" s="6">
        <v>95567.724000000002</v>
      </c>
      <c r="AM381" s="6">
        <v>170390.63</v>
      </c>
      <c r="AN381" s="6">
        <v>156409.046</v>
      </c>
      <c r="AO381" s="6">
        <v>105102.836</v>
      </c>
      <c r="AP381" s="6">
        <v>104719.74800000001</v>
      </c>
      <c r="AQ381" s="6">
        <v>35784.050000000003</v>
      </c>
      <c r="AR381" s="6">
        <v>12040.335999999999</v>
      </c>
      <c r="AS381" s="6">
        <v>11858.896000000001</v>
      </c>
      <c r="AT381" s="6">
        <v>11858.896000000001</v>
      </c>
    </row>
    <row r="382" spans="1:46" x14ac:dyDescent="0.25">
      <c r="A382" s="4" t="s">
        <v>197</v>
      </c>
      <c r="B382" s="4" t="s">
        <v>207</v>
      </c>
      <c r="C382" s="4" t="s">
        <v>246</v>
      </c>
      <c r="D382" s="4" t="s">
        <v>254</v>
      </c>
      <c r="E382" s="4" t="s">
        <v>255</v>
      </c>
      <c r="F382" s="4" t="s">
        <v>195</v>
      </c>
      <c r="G382" s="4" t="s">
        <v>93</v>
      </c>
      <c r="H382" s="4" t="s">
        <v>249</v>
      </c>
      <c r="I382" s="7">
        <v>4.7460000000000004</v>
      </c>
      <c r="J382" s="7">
        <v>2.8879999999999999</v>
      </c>
      <c r="K382" s="7">
        <v>4.9279999999999999</v>
      </c>
      <c r="L382" s="7">
        <v>7.4889999999999999</v>
      </c>
      <c r="M382" s="7">
        <v>6.0670000000000002</v>
      </c>
      <c r="N382" s="7">
        <v>5.3550000000000004</v>
      </c>
      <c r="O382" s="7">
        <v>4.9980000000000002</v>
      </c>
      <c r="P382" s="7">
        <v>4.6619999999999999</v>
      </c>
      <c r="Q382" s="7">
        <v>4.8769999999999998</v>
      </c>
      <c r="R382" s="7">
        <v>4.0860000000000003</v>
      </c>
      <c r="S382" s="7">
        <v>3.85</v>
      </c>
      <c r="T382" s="7">
        <v>3.4910000000000001</v>
      </c>
      <c r="U382" s="7">
        <v>1.026</v>
      </c>
      <c r="V382" s="7">
        <v>1.4750000000000001</v>
      </c>
      <c r="W382" s="7">
        <v>2.649</v>
      </c>
      <c r="X382" s="7">
        <v>3.0990000000000002</v>
      </c>
      <c r="Y382" s="7">
        <v>3.1589999999999998</v>
      </c>
      <c r="Z382" s="7">
        <v>2.8079999999999998</v>
      </c>
      <c r="AA382" s="7">
        <v>4.1710000000000003</v>
      </c>
      <c r="AB382" s="7">
        <v>3.3050000000000002</v>
      </c>
      <c r="AC382" s="7">
        <v>2.0640000000000001</v>
      </c>
      <c r="AD382" s="7">
        <v>0.84299999999999997</v>
      </c>
      <c r="AE382" s="7">
        <v>1.264</v>
      </c>
      <c r="AF382" s="7">
        <v>4.649</v>
      </c>
      <c r="AG382" s="7">
        <v>4.1929999999999996</v>
      </c>
      <c r="AH382" s="7">
        <v>5.7370000000000001</v>
      </c>
      <c r="AI382" s="7">
        <v>5.2430000000000003</v>
      </c>
      <c r="AJ382" s="7">
        <v>2.597</v>
      </c>
      <c r="AK382" s="7">
        <v>1.6850000000000001</v>
      </c>
      <c r="AL382" s="7">
        <v>1.5669999999999999</v>
      </c>
      <c r="AM382" s="7">
        <v>2.4079999999999999</v>
      </c>
      <c r="AN382" s="7">
        <v>1.69</v>
      </c>
      <c r="AO382" s="7">
        <v>1.43</v>
      </c>
      <c r="AP382" s="7">
        <v>2.008</v>
      </c>
      <c r="AQ382" s="7">
        <v>0.84799999999999998</v>
      </c>
      <c r="AR382" s="7">
        <v>0.41</v>
      </c>
      <c r="AS382" s="7">
        <v>0.66300000000000003</v>
      </c>
      <c r="AT382" s="7">
        <v>8.5999999999999993E-2</v>
      </c>
    </row>
    <row r="383" spans="1:46" x14ac:dyDescent="0.25">
      <c r="A383" s="4" t="s">
        <v>197</v>
      </c>
      <c r="B383" s="4" t="s">
        <v>207</v>
      </c>
      <c r="C383" s="4" t="s">
        <v>246</v>
      </c>
      <c r="D383" s="4" t="s">
        <v>254</v>
      </c>
      <c r="E383" s="4" t="s">
        <v>255</v>
      </c>
      <c r="F383" s="4" t="s">
        <v>195</v>
      </c>
      <c r="G383" s="4" t="s">
        <v>93</v>
      </c>
      <c r="H383" s="4" t="s">
        <v>250</v>
      </c>
      <c r="I383" s="7">
        <v>57.210999999999999</v>
      </c>
      <c r="J383" s="7">
        <v>50.802</v>
      </c>
      <c r="K383" s="7">
        <v>49.305999999999997</v>
      </c>
      <c r="L383" s="7">
        <v>44.253999999999998</v>
      </c>
      <c r="M383" s="7">
        <v>38.405000000000001</v>
      </c>
      <c r="N383" s="7">
        <v>36.472999999999999</v>
      </c>
      <c r="O383" s="7">
        <v>38.247999999999998</v>
      </c>
      <c r="P383" s="7">
        <v>33.482999999999997</v>
      </c>
      <c r="Q383" s="7">
        <v>31.062000000000001</v>
      </c>
      <c r="R383" s="7">
        <v>32.116999999999997</v>
      </c>
      <c r="S383" s="7">
        <v>34.341000000000001</v>
      </c>
      <c r="T383" s="7">
        <v>35.155999999999999</v>
      </c>
      <c r="U383" s="7">
        <v>24.344000000000001</v>
      </c>
      <c r="V383" s="7">
        <v>29.376000000000001</v>
      </c>
      <c r="W383" s="7">
        <v>34.027999999999999</v>
      </c>
      <c r="X383" s="7">
        <v>33.338999999999999</v>
      </c>
      <c r="Y383" s="7">
        <v>29.449000000000002</v>
      </c>
      <c r="Z383" s="7">
        <v>29.745999999999999</v>
      </c>
      <c r="AA383" s="7">
        <v>34.792999999999999</v>
      </c>
      <c r="AB383" s="7">
        <v>34.329000000000001</v>
      </c>
      <c r="AC383" s="7">
        <v>34.003999999999998</v>
      </c>
      <c r="AD383" s="7">
        <v>29.068000000000001</v>
      </c>
      <c r="AE383" s="7">
        <v>30.33</v>
      </c>
      <c r="AF383" s="7">
        <v>31.314</v>
      </c>
      <c r="AG383" s="7">
        <v>26.545999999999999</v>
      </c>
      <c r="AH383" s="7">
        <v>30.811</v>
      </c>
      <c r="AI383" s="7">
        <v>28.276</v>
      </c>
      <c r="AJ383" s="7">
        <v>21.713999999999999</v>
      </c>
      <c r="AK383" s="7">
        <v>20.571999999999999</v>
      </c>
      <c r="AL383" s="7">
        <v>23.398</v>
      </c>
      <c r="AM383" s="7">
        <v>28.381</v>
      </c>
      <c r="AN383" s="7">
        <v>32.698</v>
      </c>
      <c r="AO383" s="7">
        <v>28.951000000000001</v>
      </c>
      <c r="AP383" s="7">
        <v>19.631</v>
      </c>
      <c r="AQ383" s="7">
        <v>23.952000000000002</v>
      </c>
      <c r="AR383" s="7">
        <v>19.516999999999999</v>
      </c>
      <c r="AS383" s="7">
        <v>30.547999999999998</v>
      </c>
      <c r="AT383" s="5">
        <v>326.63</v>
      </c>
    </row>
    <row r="384" spans="1:46" x14ac:dyDescent="0.25">
      <c r="A384" s="4" t="s">
        <v>197</v>
      </c>
      <c r="B384" s="4" t="s">
        <v>207</v>
      </c>
      <c r="C384" s="4" t="s">
        <v>246</v>
      </c>
      <c r="D384" s="4" t="s">
        <v>254</v>
      </c>
      <c r="E384" s="4" t="s">
        <v>255</v>
      </c>
      <c r="F384" s="4" t="s">
        <v>195</v>
      </c>
      <c r="G384" s="4" t="s">
        <v>93</v>
      </c>
      <c r="H384" s="4" t="s">
        <v>251</v>
      </c>
      <c r="I384" s="7">
        <v>7.8844322</v>
      </c>
      <c r="J384" s="7">
        <v>6.4940183999999999</v>
      </c>
      <c r="K384" s="7">
        <v>6.6486938000000002</v>
      </c>
      <c r="L384" s="7">
        <v>7.8107411999999998</v>
      </c>
      <c r="M384" s="7">
        <v>5.9580228000000002</v>
      </c>
      <c r="N384" s="7">
        <v>8.4962850999999997</v>
      </c>
      <c r="O384" s="7">
        <v>6.6717931000000004</v>
      </c>
      <c r="P384" s="7">
        <v>8.3591809999999995</v>
      </c>
      <c r="Q384" s="7">
        <v>7.1303321999999998</v>
      </c>
      <c r="R384" s="7">
        <v>6.1317746</v>
      </c>
      <c r="S384" s="7">
        <v>4.5808641999999997</v>
      </c>
      <c r="T384" s="7">
        <v>4.1124708999999999</v>
      </c>
      <c r="U384" s="7">
        <v>2.9797647</v>
      </c>
      <c r="V384" s="7">
        <v>3.0636062000000002</v>
      </c>
      <c r="W384" s="7">
        <v>3.8874189000000001</v>
      </c>
      <c r="X384" s="7">
        <v>5.3767543</v>
      </c>
      <c r="Y384" s="7">
        <v>4.2558536</v>
      </c>
      <c r="Z384" s="7">
        <v>2.8654853</v>
      </c>
      <c r="AA384" s="7">
        <v>5.3970402000000002</v>
      </c>
      <c r="AB384" s="7">
        <v>4.9739344000000001</v>
      </c>
      <c r="AC384" s="7">
        <v>5.2317165000000001</v>
      </c>
      <c r="AD384" s="7">
        <v>3.7115345</v>
      </c>
      <c r="AE384" s="7">
        <v>3.7230805</v>
      </c>
      <c r="AF384" s="7">
        <v>3.5560426000000001</v>
      </c>
      <c r="AG384" s="7">
        <v>3.4855432999999998</v>
      </c>
      <c r="AH384" s="7">
        <v>3.2635005000000001</v>
      </c>
      <c r="AI384" s="7">
        <v>3.2725107000000002</v>
      </c>
      <c r="AJ384" s="7">
        <v>3.3224338000000002</v>
      </c>
      <c r="AK384" s="7">
        <v>3.3474919000000001</v>
      </c>
      <c r="AL384" s="7">
        <v>3.6052482000000001</v>
      </c>
      <c r="AM384" s="7">
        <v>5.6520910999999998</v>
      </c>
      <c r="AN384" s="7">
        <v>5.2989335000000004</v>
      </c>
      <c r="AO384" s="7">
        <v>3.5144242999999999</v>
      </c>
      <c r="AP384" s="7">
        <v>3.1497061</v>
      </c>
      <c r="AQ384" s="7">
        <v>3.3380046000000001</v>
      </c>
      <c r="AR384" s="7">
        <v>2.513754</v>
      </c>
      <c r="AS384" s="7">
        <v>3.9490354999999999</v>
      </c>
      <c r="AT384" s="7">
        <v>30.547999999999998</v>
      </c>
    </row>
    <row r="385" spans="1:46" x14ac:dyDescent="0.25">
      <c r="A385" s="4" t="s">
        <v>197</v>
      </c>
      <c r="B385" s="4" t="s">
        <v>207</v>
      </c>
      <c r="C385" s="4" t="s">
        <v>246</v>
      </c>
      <c r="D385" s="4" t="s">
        <v>254</v>
      </c>
      <c r="E385" s="4" t="s">
        <v>255</v>
      </c>
      <c r="F385" s="4" t="s">
        <v>195</v>
      </c>
      <c r="G385" s="4" t="s">
        <v>93</v>
      </c>
      <c r="H385" s="4" t="s">
        <v>252</v>
      </c>
      <c r="I385" s="16">
        <v>3.54</v>
      </c>
      <c r="J385" s="16">
        <v>3.5870000000000002</v>
      </c>
      <c r="K385" s="16">
        <v>2.347</v>
      </c>
      <c r="L385" s="16">
        <v>1.97</v>
      </c>
      <c r="M385" s="16">
        <v>2.2469999999999999</v>
      </c>
      <c r="N385" s="16">
        <v>1.458</v>
      </c>
      <c r="O385" s="16">
        <v>1.1539999999999999</v>
      </c>
      <c r="P385" s="16">
        <v>2.0990000000000002</v>
      </c>
      <c r="Q385" s="16">
        <v>2.0859999999999999</v>
      </c>
      <c r="R385" s="16">
        <v>1.7749999999999999</v>
      </c>
      <c r="S385" s="16">
        <v>0.97199999999999998</v>
      </c>
      <c r="T385" s="16">
        <v>0.96899999999999997</v>
      </c>
      <c r="U385" s="16">
        <v>2.0590000000000002</v>
      </c>
      <c r="V385" s="16">
        <v>1.58</v>
      </c>
      <c r="W385" s="16">
        <v>2.544</v>
      </c>
      <c r="X385" s="16">
        <v>2.6920000000000002</v>
      </c>
      <c r="Y385" s="16">
        <v>2.012</v>
      </c>
      <c r="Z385" s="16">
        <v>1.9390000000000001</v>
      </c>
      <c r="AA385" s="16">
        <v>2.8159999999999998</v>
      </c>
      <c r="AB385" s="16">
        <v>2.6459999999999999</v>
      </c>
      <c r="AC385" s="16">
        <v>2.4049999999999998</v>
      </c>
      <c r="AD385" s="16">
        <v>2.3879999999999999</v>
      </c>
      <c r="AE385" s="16">
        <v>2.9390000000000001</v>
      </c>
      <c r="AF385" s="16">
        <v>3.028</v>
      </c>
      <c r="AG385" s="16">
        <v>2.8740000000000001</v>
      </c>
      <c r="AH385" s="16">
        <v>2.2109999999999999</v>
      </c>
      <c r="AI385" s="16">
        <v>1.649</v>
      </c>
      <c r="AJ385" s="16">
        <v>2.23</v>
      </c>
      <c r="AK385" s="16">
        <v>1.913</v>
      </c>
      <c r="AL385" s="16">
        <v>1.391</v>
      </c>
      <c r="AM385" s="16">
        <v>1.17</v>
      </c>
      <c r="AN385" s="16">
        <v>1.2949999999999999</v>
      </c>
      <c r="AO385" s="16">
        <v>1.3979999999999999</v>
      </c>
      <c r="AP385" s="16">
        <v>0.95399999999999996</v>
      </c>
      <c r="AQ385" s="16">
        <v>0.80900000000000005</v>
      </c>
      <c r="AR385" s="16">
        <v>0.58499999999999996</v>
      </c>
      <c r="AS385" s="16">
        <v>0.81399999999999995</v>
      </c>
      <c r="AT385" s="7">
        <v>3.9490354999999999</v>
      </c>
    </row>
    <row r="386" spans="1:46" x14ac:dyDescent="0.25">
      <c r="A386" s="4" t="s">
        <v>197</v>
      </c>
      <c r="B386" s="4" t="s">
        <v>207</v>
      </c>
      <c r="C386" s="4" t="s">
        <v>246</v>
      </c>
      <c r="D386" s="4" t="s">
        <v>254</v>
      </c>
      <c r="E386" s="4" t="s">
        <v>255</v>
      </c>
      <c r="F386" s="4" t="s">
        <v>195</v>
      </c>
      <c r="G386" s="4" t="s">
        <v>138</v>
      </c>
      <c r="H386" s="4" t="s">
        <v>151</v>
      </c>
      <c r="I386" s="5">
        <v>0</v>
      </c>
      <c r="J386" s="5">
        <v>0</v>
      </c>
      <c r="K386" s="5">
        <v>105.619</v>
      </c>
      <c r="L386" s="5">
        <v>185.54400000000001</v>
      </c>
      <c r="M386" s="5">
        <v>158.25700000000001</v>
      </c>
      <c r="N386" s="5">
        <v>57.860999999999997</v>
      </c>
      <c r="O386" s="5">
        <v>140.744</v>
      </c>
      <c r="P386" s="5">
        <v>106.07599999999999</v>
      </c>
      <c r="Q386" s="5">
        <v>132.92500000000001</v>
      </c>
      <c r="R386" s="5">
        <v>151.77199999999999</v>
      </c>
      <c r="S386" s="5">
        <v>96.131</v>
      </c>
      <c r="T386" s="5">
        <v>165.55699999999999</v>
      </c>
      <c r="U386" s="5">
        <v>0</v>
      </c>
      <c r="V386" s="5">
        <v>103.809</v>
      </c>
      <c r="W386" s="5">
        <v>0</v>
      </c>
      <c r="X386" s="5">
        <v>133.59</v>
      </c>
      <c r="Y386" s="5">
        <v>22.279</v>
      </c>
      <c r="Z386" s="5">
        <v>16.099</v>
      </c>
      <c r="AA386" s="5">
        <v>0</v>
      </c>
      <c r="AB386" s="5">
        <v>1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18.946999999999999</v>
      </c>
      <c r="AI386" s="5">
        <v>0</v>
      </c>
      <c r="AJ386" s="5">
        <v>0</v>
      </c>
      <c r="AK386" s="5">
        <v>0</v>
      </c>
      <c r="AL386" s="5">
        <v>0</v>
      </c>
      <c r="AM386" s="5">
        <v>0.77100000000000002</v>
      </c>
      <c r="AN386" s="5">
        <v>0.22900000000000001</v>
      </c>
      <c r="AO386" s="5">
        <v>129.89599999999999</v>
      </c>
      <c r="AP386" s="5">
        <v>0</v>
      </c>
      <c r="AQ386" s="5">
        <v>0</v>
      </c>
      <c r="AR386" s="5">
        <v>20.332999999999998</v>
      </c>
      <c r="AS386" s="5">
        <v>132.768</v>
      </c>
      <c r="AT386" s="5">
        <v>132.768</v>
      </c>
    </row>
    <row r="387" spans="1:46" x14ac:dyDescent="0.25">
      <c r="A387" s="4" t="s">
        <v>197</v>
      </c>
      <c r="B387" s="4" t="s">
        <v>207</v>
      </c>
      <c r="C387" s="4" t="s">
        <v>246</v>
      </c>
      <c r="D387" s="4" t="s">
        <v>254</v>
      </c>
      <c r="E387" s="4" t="s">
        <v>255</v>
      </c>
      <c r="F387" s="4" t="s">
        <v>195</v>
      </c>
      <c r="G387" s="4" t="s">
        <v>138</v>
      </c>
      <c r="H387" s="4" t="s">
        <v>205</v>
      </c>
      <c r="I387" s="6">
        <v>0</v>
      </c>
      <c r="J387" s="6">
        <v>0</v>
      </c>
      <c r="K387" s="6">
        <v>24714.846000000001</v>
      </c>
      <c r="L387" s="6">
        <v>43417.328000000001</v>
      </c>
      <c r="M387" s="6">
        <v>37032.067999999999</v>
      </c>
      <c r="N387" s="6">
        <v>15333.27</v>
      </c>
      <c r="O387" s="6">
        <v>37702.006999999998</v>
      </c>
      <c r="P387" s="6">
        <v>29058.184000000001</v>
      </c>
      <c r="Q387" s="6">
        <v>35785.794999999998</v>
      </c>
      <c r="R387" s="6">
        <v>53120.156999999999</v>
      </c>
      <c r="S387" s="6">
        <v>33645.906999999999</v>
      </c>
      <c r="T387" s="6">
        <v>57944.981</v>
      </c>
      <c r="U387" s="6">
        <v>0</v>
      </c>
      <c r="V387" s="6">
        <v>36333.165000000001</v>
      </c>
      <c r="W387" s="6">
        <v>0</v>
      </c>
      <c r="X387" s="6">
        <v>45323.758999999998</v>
      </c>
      <c r="Y387" s="6">
        <v>6238.1679999999997</v>
      </c>
      <c r="Z387" s="6">
        <v>4507.7539999999999</v>
      </c>
      <c r="AA387" s="6">
        <v>0</v>
      </c>
      <c r="AB387" s="6">
        <v>470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6157.93</v>
      </c>
      <c r="AI387" s="6">
        <v>0</v>
      </c>
      <c r="AJ387" s="6">
        <v>0</v>
      </c>
      <c r="AK387" s="6">
        <v>0</v>
      </c>
      <c r="AL387" s="6">
        <v>0</v>
      </c>
      <c r="AM387" s="6">
        <v>353.31</v>
      </c>
      <c r="AN387" s="6">
        <v>104.69</v>
      </c>
      <c r="AO387" s="6">
        <v>51308.909</v>
      </c>
      <c r="AP387" s="6">
        <v>0</v>
      </c>
      <c r="AQ387" s="6">
        <v>0</v>
      </c>
      <c r="AR387" s="6">
        <v>6079.49</v>
      </c>
      <c r="AS387" s="6">
        <v>52974.531999999999</v>
      </c>
      <c r="AT387" s="6">
        <v>52974.531999999999</v>
      </c>
    </row>
    <row r="388" spans="1:46" x14ac:dyDescent="0.25">
      <c r="A388" s="4" t="s">
        <v>197</v>
      </c>
      <c r="B388" s="4" t="s">
        <v>207</v>
      </c>
      <c r="C388" s="4" t="s">
        <v>246</v>
      </c>
      <c r="D388" s="4" t="s">
        <v>254</v>
      </c>
      <c r="E388" s="4" t="s">
        <v>255</v>
      </c>
      <c r="F388" s="4" t="s">
        <v>195</v>
      </c>
      <c r="G388" s="4" t="s">
        <v>138</v>
      </c>
      <c r="H388" s="4" t="s">
        <v>249</v>
      </c>
      <c r="I388" s="7">
        <v>0</v>
      </c>
      <c r="J388" s="7">
        <v>0</v>
      </c>
      <c r="K388" s="7">
        <v>1E-3</v>
      </c>
      <c r="L388" s="7">
        <v>2E-3</v>
      </c>
      <c r="M388" s="7">
        <v>1E-3</v>
      </c>
      <c r="N388" s="7">
        <v>0</v>
      </c>
      <c r="O388" s="7">
        <v>1E-3</v>
      </c>
      <c r="P388" s="7">
        <v>1E-3</v>
      </c>
      <c r="Q388" s="7">
        <v>2E-3</v>
      </c>
      <c r="R388" s="7">
        <v>2E-3</v>
      </c>
      <c r="S388" s="7">
        <v>2E-3</v>
      </c>
      <c r="T388" s="7">
        <v>3.0000000000000001E-3</v>
      </c>
      <c r="U388" s="7">
        <v>0</v>
      </c>
      <c r="V388" s="7">
        <v>2E-3</v>
      </c>
      <c r="W388" s="7">
        <v>0</v>
      </c>
      <c r="X388" s="7">
        <v>2E-3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1E-3</v>
      </c>
      <c r="AP388" s="7">
        <v>0</v>
      </c>
      <c r="AQ388" s="7">
        <v>0</v>
      </c>
      <c r="AR388" s="7">
        <v>0</v>
      </c>
      <c r="AS388" s="7">
        <v>5.0000000000000001E-3</v>
      </c>
      <c r="AT388" s="7">
        <v>0.22900000000000001</v>
      </c>
    </row>
    <row r="389" spans="1:46" x14ac:dyDescent="0.25">
      <c r="A389" s="4" t="s">
        <v>197</v>
      </c>
      <c r="B389" s="4" t="s">
        <v>207</v>
      </c>
      <c r="C389" s="4" t="s">
        <v>246</v>
      </c>
      <c r="D389" s="4" t="s">
        <v>254</v>
      </c>
      <c r="E389" s="4" t="s">
        <v>255</v>
      </c>
      <c r="F389" s="4" t="s">
        <v>195</v>
      </c>
      <c r="G389" s="4" t="s">
        <v>138</v>
      </c>
      <c r="H389" s="4" t="s">
        <v>250</v>
      </c>
      <c r="I389" s="7">
        <v>4.8819999999999997</v>
      </c>
      <c r="J389" s="7">
        <v>2.9580000000000002</v>
      </c>
      <c r="K389" s="7">
        <v>6.55</v>
      </c>
      <c r="L389" s="7">
        <v>6.2089999999999996</v>
      </c>
      <c r="M389" s="7">
        <v>6.4969999999999999</v>
      </c>
      <c r="N389" s="7">
        <v>6.61</v>
      </c>
      <c r="O389" s="7">
        <v>12.618</v>
      </c>
      <c r="P389" s="7">
        <v>17.553000000000001</v>
      </c>
      <c r="Q389" s="7">
        <v>19.82</v>
      </c>
      <c r="R389" s="7">
        <v>18.925000000000001</v>
      </c>
      <c r="S389" s="7">
        <v>22.431000000000001</v>
      </c>
      <c r="T389" s="7">
        <v>23.024000000000001</v>
      </c>
      <c r="U389" s="7">
        <v>17.521999999999998</v>
      </c>
      <c r="V389" s="7">
        <v>19.742999999999999</v>
      </c>
      <c r="W389" s="7">
        <v>18.997</v>
      </c>
      <c r="X389" s="7">
        <v>19.024000000000001</v>
      </c>
      <c r="Y389" s="7">
        <v>8.1349999999999998</v>
      </c>
      <c r="Z389" s="7">
        <v>6.57</v>
      </c>
      <c r="AA389" s="7">
        <v>8.5950000000000006</v>
      </c>
      <c r="AB389" s="7">
        <v>6.9009999999999998</v>
      </c>
      <c r="AC389" s="7">
        <v>21.596</v>
      </c>
      <c r="AD389" s="7">
        <v>21.988</v>
      </c>
      <c r="AE389" s="7">
        <v>20.27</v>
      </c>
      <c r="AF389" s="7">
        <v>22.757000000000001</v>
      </c>
      <c r="AG389" s="7">
        <v>19.568000000000001</v>
      </c>
      <c r="AH389" s="7">
        <v>23.97</v>
      </c>
      <c r="AI389" s="7">
        <v>8.8840000000000003</v>
      </c>
      <c r="AJ389" s="7">
        <v>7.1619999999999999</v>
      </c>
      <c r="AK389" s="7">
        <v>6.4669999999999996</v>
      </c>
      <c r="AL389" s="7">
        <v>6.9249999999999998</v>
      </c>
      <c r="AM389" s="7">
        <v>8.4380000000000006</v>
      </c>
      <c r="AN389" s="7">
        <v>10.632999999999999</v>
      </c>
      <c r="AO389" s="7">
        <v>8.8309999999999995</v>
      </c>
      <c r="AP389" s="7">
        <v>0.32300000000000001</v>
      </c>
      <c r="AQ389" s="7">
        <v>11.231</v>
      </c>
      <c r="AR389" s="7">
        <v>13.510999999999999</v>
      </c>
      <c r="AS389" s="7">
        <v>21.99</v>
      </c>
      <c r="AT389" s="5">
        <v>0</v>
      </c>
    </row>
    <row r="390" spans="1:46" x14ac:dyDescent="0.25">
      <c r="A390" s="4" t="s">
        <v>197</v>
      </c>
      <c r="B390" s="4" t="s">
        <v>207</v>
      </c>
      <c r="C390" s="4" t="s">
        <v>246</v>
      </c>
      <c r="D390" s="4" t="s">
        <v>254</v>
      </c>
      <c r="E390" s="4" t="s">
        <v>255</v>
      </c>
      <c r="F390" s="4" t="s">
        <v>195</v>
      </c>
      <c r="G390" s="4" t="s">
        <v>138</v>
      </c>
      <c r="H390" s="4" t="s">
        <v>251</v>
      </c>
      <c r="I390" s="7">
        <v>0.13341049999999999</v>
      </c>
      <c r="J390" s="7">
        <v>0.1333905</v>
      </c>
      <c r="K390" s="7">
        <v>0.13337540000000001</v>
      </c>
      <c r="L390" s="7">
        <v>0.24257500000000001</v>
      </c>
      <c r="M390" s="7">
        <v>0.2424664</v>
      </c>
      <c r="N390" s="7">
        <v>0.2424663</v>
      </c>
      <c r="O390" s="7">
        <v>1.4650618</v>
      </c>
      <c r="P390" s="7">
        <v>1.6784082</v>
      </c>
      <c r="Q390" s="7">
        <v>1.8483434000000001</v>
      </c>
      <c r="R390" s="7">
        <v>1.4332617999999999</v>
      </c>
      <c r="S390" s="7">
        <v>1.4237017999999999</v>
      </c>
      <c r="T390" s="7">
        <v>1.4147931</v>
      </c>
      <c r="U390" s="7">
        <v>1.4146668</v>
      </c>
      <c r="V390" s="7">
        <v>1.5790412</v>
      </c>
      <c r="W390" s="7">
        <v>1.5790497999999999</v>
      </c>
      <c r="X390" s="7">
        <v>1.6639820999999999</v>
      </c>
      <c r="Y390" s="7">
        <v>0.45666469999999998</v>
      </c>
      <c r="Z390" s="7">
        <v>0.45666109999999999</v>
      </c>
      <c r="AA390" s="7">
        <v>0.45666119999999999</v>
      </c>
      <c r="AB390" s="7">
        <v>0.47861779999999998</v>
      </c>
      <c r="AC390" s="7">
        <v>1.5109432</v>
      </c>
      <c r="AD390" s="7">
        <v>1.5108356999999999</v>
      </c>
      <c r="AE390" s="7">
        <v>1.5107668999999999</v>
      </c>
      <c r="AF390" s="7">
        <v>1.6026910000000001</v>
      </c>
      <c r="AG390" s="7">
        <v>1.5830938999999999</v>
      </c>
      <c r="AH390" s="7">
        <v>1.4861374000000001</v>
      </c>
      <c r="AI390" s="7">
        <v>1.1756047000000001</v>
      </c>
      <c r="AJ390" s="7">
        <v>1.090163</v>
      </c>
      <c r="AK390" s="7">
        <v>1.0200670000000001</v>
      </c>
      <c r="AL390" s="7">
        <v>1.0864545000000001</v>
      </c>
      <c r="AM390" s="7">
        <v>1.0984684</v>
      </c>
      <c r="AN390" s="7">
        <v>1.0984684</v>
      </c>
      <c r="AO390" s="7">
        <v>1.1620459999999999</v>
      </c>
      <c r="AP390" s="7">
        <v>0.3246329</v>
      </c>
      <c r="AQ390" s="7">
        <v>1.1620379999999999</v>
      </c>
      <c r="AR390" s="7">
        <v>1.3427567</v>
      </c>
      <c r="AS390" s="7">
        <v>0.9506346</v>
      </c>
      <c r="AT390" s="7">
        <v>21.99</v>
      </c>
    </row>
    <row r="391" spans="1:46" x14ac:dyDescent="0.25">
      <c r="A391" s="4" t="s">
        <v>197</v>
      </c>
      <c r="B391" s="4" t="s">
        <v>207</v>
      </c>
      <c r="C391" s="4" t="s">
        <v>246</v>
      </c>
      <c r="D391" s="4" t="s">
        <v>254</v>
      </c>
      <c r="E391" s="4" t="s">
        <v>255</v>
      </c>
      <c r="F391" s="4" t="s">
        <v>195</v>
      </c>
      <c r="G391" s="4" t="s">
        <v>138</v>
      </c>
      <c r="H391" s="4" t="s">
        <v>252</v>
      </c>
      <c r="I391" s="16">
        <v>0.20399999999999999</v>
      </c>
      <c r="J391" s="16">
        <v>0.218</v>
      </c>
      <c r="K391" s="17">
        <v>0</v>
      </c>
      <c r="L391" s="16">
        <v>0.27900000000000003</v>
      </c>
      <c r="M391" s="16">
        <v>0.19900000000000001</v>
      </c>
      <c r="N391" s="16">
        <v>0.10299999999999999</v>
      </c>
      <c r="O391" s="16">
        <v>0.81</v>
      </c>
      <c r="P391" s="16">
        <v>0.13100000000000001</v>
      </c>
      <c r="Q391" s="16">
        <v>7.0999999999999994E-2</v>
      </c>
      <c r="R391" s="16">
        <v>0.27100000000000002</v>
      </c>
      <c r="S391" s="16">
        <v>0.28699999999999998</v>
      </c>
      <c r="T391" s="16">
        <v>0.27700000000000002</v>
      </c>
      <c r="U391" s="16">
        <v>0.25900000000000001</v>
      </c>
      <c r="V391" s="16">
        <v>8.2000000000000003E-2</v>
      </c>
      <c r="W391" s="16">
        <v>0.26500000000000001</v>
      </c>
      <c r="X391" s="16">
        <v>4.5999999999999999E-2</v>
      </c>
      <c r="Y391" s="16">
        <v>4.7E-2</v>
      </c>
      <c r="Z391" s="16">
        <v>4.4999999999999998E-2</v>
      </c>
      <c r="AA391" s="16">
        <v>8.1000000000000003E-2</v>
      </c>
      <c r="AB391" s="16">
        <v>9.1999999999999998E-2</v>
      </c>
      <c r="AC391" s="16">
        <v>0.32700000000000001</v>
      </c>
      <c r="AD391" s="16">
        <v>0.32200000000000001</v>
      </c>
      <c r="AE391" s="16">
        <v>0.32400000000000001</v>
      </c>
      <c r="AF391" s="16">
        <v>0.36199999999999999</v>
      </c>
      <c r="AG391" s="16">
        <v>0.374</v>
      </c>
      <c r="AH391" s="16">
        <v>0.29199999999999998</v>
      </c>
      <c r="AI391" s="16">
        <v>0.29499999999999998</v>
      </c>
      <c r="AJ391" s="16">
        <v>0.27</v>
      </c>
      <c r="AK391" s="16">
        <v>0.252</v>
      </c>
      <c r="AL391" s="16">
        <v>0.27400000000000002</v>
      </c>
      <c r="AM391" s="16">
        <v>0.313</v>
      </c>
      <c r="AN391" s="16">
        <v>0.32600000000000001</v>
      </c>
      <c r="AO391" s="16">
        <v>6.7000000000000004E-2</v>
      </c>
      <c r="AP391" s="16">
        <v>6.6000000000000003E-2</v>
      </c>
      <c r="AQ391" s="16">
        <v>0.39800000000000002</v>
      </c>
      <c r="AR391" s="16">
        <v>0.377</v>
      </c>
      <c r="AS391" s="17">
        <v>0</v>
      </c>
      <c r="AT391" s="7">
        <v>0.9506346</v>
      </c>
    </row>
    <row r="392" spans="1:46" x14ac:dyDescent="0.25">
      <c r="A392" s="4" t="s">
        <v>197</v>
      </c>
      <c r="B392" s="4" t="s">
        <v>207</v>
      </c>
      <c r="C392" s="4" t="s">
        <v>246</v>
      </c>
      <c r="D392" s="4" t="s">
        <v>254</v>
      </c>
      <c r="E392" s="4" t="s">
        <v>255</v>
      </c>
      <c r="F392" s="4" t="s">
        <v>195</v>
      </c>
      <c r="G392" s="4" t="s">
        <v>140</v>
      </c>
      <c r="H392" s="4" t="s">
        <v>151</v>
      </c>
      <c r="I392" s="9">
        <v>0</v>
      </c>
      <c r="J392" s="9">
        <v>0</v>
      </c>
      <c r="K392" s="9">
        <v>0</v>
      </c>
      <c r="L392" s="9">
        <v>0</v>
      </c>
      <c r="M392" s="5">
        <v>9.3640000000000008</v>
      </c>
      <c r="N392" s="5">
        <v>43.655000000000001</v>
      </c>
      <c r="O392" s="5">
        <v>0</v>
      </c>
      <c r="P392" s="5">
        <v>0</v>
      </c>
      <c r="Q392" s="5">
        <v>40.247999999999998</v>
      </c>
      <c r="R392" s="5">
        <v>114.223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41.588000000000001</v>
      </c>
      <c r="Y392" s="5">
        <v>51.844000000000001</v>
      </c>
      <c r="Z392" s="5">
        <v>34.765999999999998</v>
      </c>
      <c r="AA392" s="5">
        <v>0</v>
      </c>
      <c r="AB392" s="5">
        <v>1</v>
      </c>
      <c r="AC392" s="5">
        <v>0</v>
      </c>
      <c r="AD392" s="5">
        <v>0</v>
      </c>
      <c r="AE392" s="5">
        <v>55.82</v>
      </c>
      <c r="AF392" s="5">
        <v>76.635000000000005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112.807</v>
      </c>
      <c r="AN392" s="5">
        <v>223.874</v>
      </c>
      <c r="AO392" s="5">
        <v>224.6</v>
      </c>
      <c r="AP392" s="5">
        <v>13.622999999999999</v>
      </c>
      <c r="AQ392" s="5">
        <v>0</v>
      </c>
      <c r="AR392" s="5">
        <v>10.166</v>
      </c>
      <c r="AS392" s="5">
        <v>287.78800000000001</v>
      </c>
      <c r="AT392" s="5">
        <v>1726.7280000000001</v>
      </c>
    </row>
    <row r="393" spans="1:46" x14ac:dyDescent="0.25">
      <c r="A393" s="4" t="s">
        <v>197</v>
      </c>
      <c r="B393" s="4" t="s">
        <v>207</v>
      </c>
      <c r="C393" s="4" t="s">
        <v>246</v>
      </c>
      <c r="D393" s="4" t="s">
        <v>254</v>
      </c>
      <c r="E393" s="4" t="s">
        <v>255</v>
      </c>
      <c r="F393" s="4" t="s">
        <v>195</v>
      </c>
      <c r="G393" s="4" t="s">
        <v>140</v>
      </c>
      <c r="H393" s="4" t="s">
        <v>205</v>
      </c>
      <c r="I393" s="9">
        <v>0</v>
      </c>
      <c r="J393" s="9">
        <v>0</v>
      </c>
      <c r="K393" s="9">
        <v>0</v>
      </c>
      <c r="L393" s="9">
        <v>0</v>
      </c>
      <c r="M393" s="6">
        <v>2799.875</v>
      </c>
      <c r="N393" s="6">
        <v>13052.786</v>
      </c>
      <c r="O393" s="6">
        <v>0</v>
      </c>
      <c r="P393" s="6">
        <v>0</v>
      </c>
      <c r="Q393" s="6">
        <v>12879.29</v>
      </c>
      <c r="R393" s="6">
        <v>38835.836000000003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12226.888000000001</v>
      </c>
      <c r="Y393" s="6">
        <v>15253.787</v>
      </c>
      <c r="Z393" s="6">
        <v>10221.218999999999</v>
      </c>
      <c r="AA393" s="6">
        <v>0</v>
      </c>
      <c r="AB393" s="6">
        <v>422</v>
      </c>
      <c r="AC393" s="6">
        <v>0</v>
      </c>
      <c r="AD393" s="6">
        <v>0</v>
      </c>
      <c r="AE393" s="6">
        <v>16690.22</v>
      </c>
      <c r="AF393" s="6">
        <v>21410.857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42866.697999999997</v>
      </c>
      <c r="AN393" s="6">
        <v>67100.284</v>
      </c>
      <c r="AO393" s="6">
        <v>67311.733999999997</v>
      </c>
      <c r="AP393" s="6">
        <v>4018.8919999999998</v>
      </c>
      <c r="AQ393" s="6">
        <v>0</v>
      </c>
      <c r="AR393" s="6">
        <v>2999.0790000000002</v>
      </c>
      <c r="AS393" s="6">
        <v>87870.793999999994</v>
      </c>
      <c r="AT393" s="6">
        <v>87870.793999999994</v>
      </c>
    </row>
    <row r="394" spans="1:46" x14ac:dyDescent="0.25">
      <c r="A394" s="4" t="s">
        <v>197</v>
      </c>
      <c r="B394" s="4" t="s">
        <v>207</v>
      </c>
      <c r="C394" s="4" t="s">
        <v>246</v>
      </c>
      <c r="D394" s="4" t="s">
        <v>254</v>
      </c>
      <c r="E394" s="4" t="s">
        <v>255</v>
      </c>
      <c r="F394" s="4" t="s">
        <v>195</v>
      </c>
      <c r="G394" s="4" t="s">
        <v>140</v>
      </c>
      <c r="H394" s="4" t="s">
        <v>249</v>
      </c>
      <c r="I394" s="9">
        <v>0</v>
      </c>
      <c r="J394" s="9">
        <v>0</v>
      </c>
      <c r="K394" s="9">
        <v>0</v>
      </c>
      <c r="L394" s="9">
        <v>0</v>
      </c>
      <c r="M394" s="7">
        <v>0</v>
      </c>
      <c r="N394" s="7">
        <v>2E-3</v>
      </c>
      <c r="O394" s="7">
        <v>0</v>
      </c>
      <c r="P394" s="7">
        <v>0</v>
      </c>
      <c r="Q394" s="7">
        <v>3.0000000000000001E-3</v>
      </c>
      <c r="R394" s="7">
        <v>0.01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3.0000000000000001E-3</v>
      </c>
      <c r="Y394" s="7">
        <v>4.0000000000000001E-3</v>
      </c>
      <c r="Z394" s="7">
        <v>2E-3</v>
      </c>
      <c r="AA394" s="7">
        <v>0</v>
      </c>
      <c r="AB394" s="7">
        <v>0</v>
      </c>
      <c r="AC394" s="7">
        <v>0</v>
      </c>
      <c r="AD394" s="7">
        <v>0</v>
      </c>
      <c r="AE394" s="7">
        <v>7.0000000000000001E-3</v>
      </c>
      <c r="AF394" s="7">
        <v>0.01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5.0000000000000001E-3</v>
      </c>
      <c r="AN394" s="7">
        <v>8.9999999999999993E-3</v>
      </c>
      <c r="AO394" s="7">
        <v>1.0999999999999999E-2</v>
      </c>
      <c r="AP394" s="7">
        <v>1E-3</v>
      </c>
      <c r="AQ394" s="7">
        <v>0</v>
      </c>
      <c r="AR394" s="7">
        <v>1E-3</v>
      </c>
      <c r="AS394" s="7">
        <v>6.3E-2</v>
      </c>
      <c r="AT394" s="7">
        <v>2.9830000000000001</v>
      </c>
    </row>
    <row r="395" spans="1:46" x14ac:dyDescent="0.25">
      <c r="A395" s="4" t="s">
        <v>197</v>
      </c>
      <c r="B395" s="4" t="s">
        <v>207</v>
      </c>
      <c r="C395" s="4" t="s">
        <v>246</v>
      </c>
      <c r="D395" s="4" t="s">
        <v>254</v>
      </c>
      <c r="E395" s="4" t="s">
        <v>255</v>
      </c>
      <c r="F395" s="4" t="s">
        <v>195</v>
      </c>
      <c r="G395" s="4" t="s">
        <v>140</v>
      </c>
      <c r="H395" s="4" t="s">
        <v>250</v>
      </c>
      <c r="I395" s="9">
        <v>0</v>
      </c>
      <c r="J395" s="9">
        <v>0</v>
      </c>
      <c r="K395" s="9">
        <v>0</v>
      </c>
      <c r="L395" s="9">
        <v>0</v>
      </c>
      <c r="M395" s="7">
        <v>1.5529999999999999</v>
      </c>
      <c r="N395" s="7">
        <v>1.026</v>
      </c>
      <c r="O395" s="7">
        <v>4.399</v>
      </c>
      <c r="P395" s="7">
        <v>13.709</v>
      </c>
      <c r="Q395" s="7">
        <v>18.305</v>
      </c>
      <c r="R395" s="7">
        <v>15.291</v>
      </c>
      <c r="S395" s="7">
        <v>0</v>
      </c>
      <c r="T395" s="7">
        <v>0.71399999999999997</v>
      </c>
      <c r="U395" s="7">
        <v>0</v>
      </c>
      <c r="V395" s="7">
        <v>6.6000000000000003E-2</v>
      </c>
      <c r="W395" s="7">
        <v>9.5000000000000001E-2</v>
      </c>
      <c r="X395" s="7">
        <v>2.0019999999999998</v>
      </c>
      <c r="Y395" s="7">
        <v>1.4770000000000001</v>
      </c>
      <c r="Z395" s="7">
        <v>1.9530000000000001</v>
      </c>
      <c r="AA395" s="7">
        <v>8.5950000000000006</v>
      </c>
      <c r="AB395" s="7">
        <v>9.4459999999999997</v>
      </c>
      <c r="AC395" s="7">
        <v>23.265000000000001</v>
      </c>
      <c r="AD395" s="7">
        <v>23.667000000000002</v>
      </c>
      <c r="AE395" s="7">
        <v>23.242000000000001</v>
      </c>
      <c r="AF395" s="7">
        <v>25.690999999999999</v>
      </c>
      <c r="AG395" s="7">
        <v>15.481999999999999</v>
      </c>
      <c r="AH395" s="7">
        <v>11.225</v>
      </c>
      <c r="AI395" s="7">
        <v>8.8840000000000003</v>
      </c>
      <c r="AJ395" s="7">
        <v>7.1619999999999999</v>
      </c>
      <c r="AK395" s="7">
        <v>6.4669999999999996</v>
      </c>
      <c r="AL395" s="7">
        <v>6.9249999999999998</v>
      </c>
      <c r="AM395" s="7">
        <v>8.2680000000000007</v>
      </c>
      <c r="AN395" s="7">
        <v>10.422000000000001</v>
      </c>
      <c r="AO395" s="7">
        <v>8.8309999999999995</v>
      </c>
      <c r="AP395" s="7">
        <v>8.8420000000000005</v>
      </c>
      <c r="AQ395" s="7">
        <v>11.231</v>
      </c>
      <c r="AR395" s="7">
        <v>13.510999999999999</v>
      </c>
      <c r="AS395" s="7">
        <v>25.254999999999999</v>
      </c>
      <c r="AT395" s="5">
        <v>0</v>
      </c>
    </row>
    <row r="396" spans="1:46" x14ac:dyDescent="0.25">
      <c r="A396" s="4" t="s">
        <v>197</v>
      </c>
      <c r="B396" s="4" t="s">
        <v>207</v>
      </c>
      <c r="C396" s="4" t="s">
        <v>246</v>
      </c>
      <c r="D396" s="4" t="s">
        <v>254</v>
      </c>
      <c r="E396" s="4" t="s">
        <v>255</v>
      </c>
      <c r="F396" s="4" t="s">
        <v>195</v>
      </c>
      <c r="G396" s="4" t="s">
        <v>140</v>
      </c>
      <c r="H396" s="4" t="s">
        <v>251</v>
      </c>
      <c r="I396" s="9">
        <v>0</v>
      </c>
      <c r="J396" s="9">
        <v>0</v>
      </c>
      <c r="K396" s="9">
        <v>0</v>
      </c>
      <c r="L396" s="9">
        <v>0</v>
      </c>
      <c r="M396" s="7">
        <v>0.1116154</v>
      </c>
      <c r="N396" s="7">
        <v>0.1116153</v>
      </c>
      <c r="O396" s="7">
        <v>0.93138209999999999</v>
      </c>
      <c r="P396" s="7">
        <v>1.4359421000000001</v>
      </c>
      <c r="Q396" s="7">
        <v>1.5977277000000001</v>
      </c>
      <c r="R396" s="7">
        <v>1.1826733</v>
      </c>
      <c r="S396" s="7">
        <v>0.1875684</v>
      </c>
      <c r="T396" s="7">
        <v>0.1790001</v>
      </c>
      <c r="U396" s="7">
        <v>0.17898420000000001</v>
      </c>
      <c r="V396" s="7">
        <v>0.17900250000000001</v>
      </c>
      <c r="W396" s="7">
        <v>0.17900350000000001</v>
      </c>
      <c r="X396" s="7">
        <v>0.44737640000000001</v>
      </c>
      <c r="Y396" s="7">
        <v>0.45666469999999998</v>
      </c>
      <c r="Z396" s="7">
        <v>0.45666109999999999</v>
      </c>
      <c r="AA396" s="7">
        <v>0.45666119999999999</v>
      </c>
      <c r="AB396" s="7">
        <v>0.58406599999999997</v>
      </c>
      <c r="AC396" s="7">
        <v>1.6163913000000001</v>
      </c>
      <c r="AD396" s="7">
        <v>1.6162764000000001</v>
      </c>
      <c r="AE396" s="7">
        <v>1.6162027000000001</v>
      </c>
      <c r="AF396" s="7">
        <v>1.7117686999999999</v>
      </c>
      <c r="AG396" s="7">
        <v>1.3794820999999999</v>
      </c>
      <c r="AH396" s="7">
        <v>1.2825253999999999</v>
      </c>
      <c r="AI396" s="7">
        <v>1.1756047000000001</v>
      </c>
      <c r="AJ396" s="7">
        <v>1.090163</v>
      </c>
      <c r="AK396" s="7">
        <v>1.0200670000000001</v>
      </c>
      <c r="AL396" s="7">
        <v>1.0864545000000001</v>
      </c>
      <c r="AM396" s="7">
        <v>1.0859135</v>
      </c>
      <c r="AN396" s="7">
        <v>1.0859135</v>
      </c>
      <c r="AO396" s="7">
        <v>1.1620459999999999</v>
      </c>
      <c r="AP396" s="7">
        <v>1.1620469</v>
      </c>
      <c r="AQ396" s="7">
        <v>1.1620379999999999</v>
      </c>
      <c r="AR396" s="7">
        <v>1.3427567</v>
      </c>
      <c r="AS396" s="7">
        <v>1.2517997999999999</v>
      </c>
      <c r="AT396" s="7">
        <v>25.254999999999999</v>
      </c>
    </row>
    <row r="397" spans="1:46" x14ac:dyDescent="0.25">
      <c r="A397" s="4" t="s">
        <v>197</v>
      </c>
      <c r="B397" s="4" t="s">
        <v>207</v>
      </c>
      <c r="C397" s="4" t="s">
        <v>246</v>
      </c>
      <c r="D397" s="4" t="s">
        <v>254</v>
      </c>
      <c r="E397" s="4" t="s">
        <v>255</v>
      </c>
      <c r="F397" s="4" t="s">
        <v>195</v>
      </c>
      <c r="G397" s="4" t="s">
        <v>140</v>
      </c>
      <c r="H397" s="4" t="s">
        <v>252</v>
      </c>
      <c r="I397" s="9">
        <v>0</v>
      </c>
      <c r="J397" s="9">
        <v>0</v>
      </c>
      <c r="K397" s="9">
        <v>0</v>
      </c>
      <c r="L397" s="9">
        <v>0</v>
      </c>
      <c r="M397" s="16">
        <v>8.3000000000000004E-2</v>
      </c>
      <c r="N397" s="17">
        <v>0</v>
      </c>
      <c r="O397" s="16">
        <v>0.55000000000000004</v>
      </c>
      <c r="P397" s="16">
        <v>0.77400000000000002</v>
      </c>
      <c r="Q397" s="16">
        <v>0.72899999999999998</v>
      </c>
      <c r="R397" s="16">
        <v>0.04</v>
      </c>
      <c r="S397" s="16">
        <v>4.2000000000000003E-2</v>
      </c>
      <c r="T397" s="16">
        <v>3.9E-2</v>
      </c>
      <c r="U397" s="16">
        <v>3.6999999999999998E-2</v>
      </c>
      <c r="V397" s="16">
        <v>0.04</v>
      </c>
      <c r="W397" s="16">
        <v>3.5999999999999997E-2</v>
      </c>
      <c r="X397" s="16">
        <v>4.5999999999999999E-2</v>
      </c>
      <c r="Y397" s="16">
        <v>6.5000000000000002E-2</v>
      </c>
      <c r="Z397" s="16">
        <v>2.3E-2</v>
      </c>
      <c r="AA397" s="16">
        <v>9.8000000000000004E-2</v>
      </c>
      <c r="AB397" s="16">
        <v>0.16900000000000001</v>
      </c>
      <c r="AC397" s="16">
        <v>0.39300000000000002</v>
      </c>
      <c r="AD397" s="16">
        <v>0.38700000000000001</v>
      </c>
      <c r="AE397" s="16">
        <v>0.40600000000000003</v>
      </c>
      <c r="AF397" s="16">
        <v>0.29799999999999999</v>
      </c>
      <c r="AG397" s="16">
        <v>0.308</v>
      </c>
      <c r="AH397" s="16">
        <v>0.26500000000000001</v>
      </c>
      <c r="AI397" s="16">
        <v>0.26700000000000002</v>
      </c>
      <c r="AJ397" s="16">
        <v>0.247</v>
      </c>
      <c r="AK397" s="16">
        <v>0.43099999999999999</v>
      </c>
      <c r="AL397" s="16">
        <v>0.47099999999999997</v>
      </c>
      <c r="AM397" s="16">
        <v>0.28299999999999997</v>
      </c>
      <c r="AN397" s="16">
        <v>0.59</v>
      </c>
      <c r="AO397" s="16">
        <v>0.64900000000000002</v>
      </c>
      <c r="AP397" s="16">
        <v>0.64100000000000001</v>
      </c>
      <c r="AQ397" s="16">
        <v>0.68899999999999995</v>
      </c>
      <c r="AR397" s="16">
        <v>0.754</v>
      </c>
      <c r="AS397" s="17">
        <v>0</v>
      </c>
      <c r="AT397" s="7">
        <v>1.2517997999999999</v>
      </c>
    </row>
    <row r="398" spans="1:46" x14ac:dyDescent="0.25">
      <c r="A398" s="4" t="s">
        <v>197</v>
      </c>
      <c r="B398" s="4" t="s">
        <v>207</v>
      </c>
      <c r="C398" s="4" t="s">
        <v>246</v>
      </c>
      <c r="D398" s="4" t="s">
        <v>254</v>
      </c>
      <c r="E398" s="4" t="s">
        <v>256</v>
      </c>
      <c r="F398" s="4" t="s">
        <v>195</v>
      </c>
      <c r="G398" s="4" t="s">
        <v>93</v>
      </c>
      <c r="H398" s="4" t="s">
        <v>151</v>
      </c>
      <c r="I398" s="5">
        <v>0</v>
      </c>
      <c r="J398" s="5">
        <v>11.135999999999999</v>
      </c>
      <c r="K398" s="5">
        <v>64.070999999999998</v>
      </c>
      <c r="L398" s="5">
        <v>0</v>
      </c>
      <c r="M398" s="5">
        <v>4.75</v>
      </c>
      <c r="N398" s="5">
        <v>15.541</v>
      </c>
      <c r="O398" s="5">
        <v>34.295000000000002</v>
      </c>
      <c r="P398" s="5">
        <v>32.4</v>
      </c>
      <c r="Q398" s="5">
        <v>6.6120000000000001</v>
      </c>
      <c r="R398" s="5">
        <v>0</v>
      </c>
      <c r="S398" s="5">
        <v>0</v>
      </c>
      <c r="T398" s="5">
        <v>9.9309999999999992</v>
      </c>
      <c r="U398" s="5">
        <v>96.131</v>
      </c>
      <c r="V398" s="5">
        <v>111.93600000000001</v>
      </c>
      <c r="W398" s="5">
        <v>119.515</v>
      </c>
      <c r="X398" s="5">
        <v>7.1870000000000003</v>
      </c>
      <c r="Y398" s="5">
        <v>1</v>
      </c>
      <c r="Z398" s="5">
        <v>66.972999999999999</v>
      </c>
      <c r="AA398" s="5">
        <v>95.897000000000006</v>
      </c>
      <c r="AB398" s="5">
        <v>46.661999999999999</v>
      </c>
      <c r="AC398" s="5">
        <v>14.233000000000001</v>
      </c>
      <c r="AD398" s="5">
        <v>7.2930000000000001</v>
      </c>
      <c r="AE398" s="5">
        <v>0</v>
      </c>
      <c r="AF398" s="5">
        <v>137.74600000000001</v>
      </c>
      <c r="AG398" s="5">
        <v>118.985</v>
      </c>
      <c r="AH398" s="5">
        <v>159.565</v>
      </c>
      <c r="AI398" s="5">
        <v>210.262</v>
      </c>
      <c r="AJ398" s="5">
        <v>200.88900000000001</v>
      </c>
      <c r="AK398" s="5">
        <v>387.28300000000002</v>
      </c>
      <c r="AL398" s="5">
        <v>198.24299999999999</v>
      </c>
      <c r="AM398" s="5">
        <v>401.11</v>
      </c>
      <c r="AN398" s="5">
        <v>69.213999999999999</v>
      </c>
      <c r="AO398" s="5">
        <v>70.227000000000004</v>
      </c>
      <c r="AP398" s="5">
        <v>59.581000000000003</v>
      </c>
      <c r="AQ398" s="5">
        <v>55.796999999999997</v>
      </c>
      <c r="AR398" s="5">
        <v>48.100999999999999</v>
      </c>
      <c r="AS398" s="5">
        <v>72</v>
      </c>
      <c r="AT398" s="5">
        <v>72</v>
      </c>
    </row>
    <row r="399" spans="1:46" x14ac:dyDescent="0.25">
      <c r="A399" s="4" t="s">
        <v>197</v>
      </c>
      <c r="B399" s="4" t="s">
        <v>207</v>
      </c>
      <c r="C399" s="4" t="s">
        <v>246</v>
      </c>
      <c r="D399" s="4" t="s">
        <v>254</v>
      </c>
      <c r="E399" s="4" t="s">
        <v>256</v>
      </c>
      <c r="F399" s="4" t="s">
        <v>195</v>
      </c>
      <c r="G399" s="4" t="s">
        <v>93</v>
      </c>
      <c r="H399" s="4" t="s">
        <v>205</v>
      </c>
      <c r="I399" s="6">
        <v>0</v>
      </c>
      <c r="J399" s="6">
        <v>3218.1759999999999</v>
      </c>
      <c r="K399" s="6">
        <v>16313.474</v>
      </c>
      <c r="L399" s="6">
        <v>0</v>
      </c>
      <c r="M399" s="6">
        <v>997.56</v>
      </c>
      <c r="N399" s="6">
        <v>4467.826</v>
      </c>
      <c r="O399" s="6">
        <v>8474.41</v>
      </c>
      <c r="P399" s="6">
        <v>7778.06</v>
      </c>
      <c r="Q399" s="6">
        <v>1910.9449999999999</v>
      </c>
      <c r="R399" s="6">
        <v>0</v>
      </c>
      <c r="S399" s="6">
        <v>0</v>
      </c>
      <c r="T399" s="6">
        <v>2105.3159999999998</v>
      </c>
      <c r="U399" s="6">
        <v>29800.66</v>
      </c>
      <c r="V399" s="6">
        <v>34529.546999999999</v>
      </c>
      <c r="W399" s="6">
        <v>37049.758999999998</v>
      </c>
      <c r="X399" s="6">
        <v>2077.04</v>
      </c>
      <c r="Y399" s="6">
        <v>295</v>
      </c>
      <c r="Z399" s="6">
        <v>21679.241000000002</v>
      </c>
      <c r="AA399" s="6">
        <v>29301.97</v>
      </c>
      <c r="AB399" s="6">
        <v>14389.352999999999</v>
      </c>
      <c r="AC399" s="6">
        <v>3003.16</v>
      </c>
      <c r="AD399" s="6">
        <v>1538.729</v>
      </c>
      <c r="AE399" s="6">
        <v>0</v>
      </c>
      <c r="AF399" s="6">
        <v>42701.105000000003</v>
      </c>
      <c r="AG399" s="6">
        <v>36883.078999999998</v>
      </c>
      <c r="AH399" s="6">
        <v>46614.178999999996</v>
      </c>
      <c r="AI399" s="6">
        <v>63614.241000000002</v>
      </c>
      <c r="AJ399" s="6">
        <v>54882.449000000001</v>
      </c>
      <c r="AK399" s="6">
        <v>111685.94</v>
      </c>
      <c r="AL399" s="6">
        <v>53275.468999999997</v>
      </c>
      <c r="AM399" s="6">
        <v>117476.63</v>
      </c>
      <c r="AN399" s="6">
        <v>14980.035</v>
      </c>
      <c r="AO399" s="6">
        <v>14351.806</v>
      </c>
      <c r="AP399" s="6">
        <v>11856.707</v>
      </c>
      <c r="AQ399" s="6">
        <v>11103.627</v>
      </c>
      <c r="AR399" s="6">
        <v>9572</v>
      </c>
      <c r="AS399" s="6">
        <v>14328</v>
      </c>
      <c r="AT399" s="6">
        <v>14328</v>
      </c>
    </row>
    <row r="400" spans="1:46" x14ac:dyDescent="0.25">
      <c r="A400" s="4" t="s">
        <v>197</v>
      </c>
      <c r="B400" s="4" t="s">
        <v>207</v>
      </c>
      <c r="C400" s="4" t="s">
        <v>246</v>
      </c>
      <c r="D400" s="4" t="s">
        <v>254</v>
      </c>
      <c r="E400" s="4" t="s">
        <v>256</v>
      </c>
      <c r="F400" s="4" t="s">
        <v>195</v>
      </c>
      <c r="G400" s="4" t="s">
        <v>93</v>
      </c>
      <c r="H400" s="4" t="s">
        <v>249</v>
      </c>
      <c r="I400" s="7">
        <v>0</v>
      </c>
      <c r="J400" s="7">
        <v>6.7000000000000004E-2</v>
      </c>
      <c r="K400" s="7">
        <v>0.29599999999999999</v>
      </c>
      <c r="L400" s="7">
        <v>0</v>
      </c>
      <c r="M400" s="7">
        <v>1.4E-2</v>
      </c>
      <c r="N400" s="7">
        <v>4.7E-2</v>
      </c>
      <c r="O400" s="7">
        <v>0.109</v>
      </c>
      <c r="P400" s="7">
        <v>0.13600000000000001</v>
      </c>
      <c r="Q400" s="7">
        <v>0.03</v>
      </c>
      <c r="R400" s="7">
        <v>0</v>
      </c>
      <c r="S400" s="7">
        <v>0</v>
      </c>
      <c r="T400" s="7">
        <v>7.1999999999999995E-2</v>
      </c>
      <c r="U400" s="7">
        <v>0.68899999999999995</v>
      </c>
      <c r="V400" s="7">
        <v>0.77700000000000002</v>
      </c>
      <c r="W400" s="7">
        <v>0.70799999999999996</v>
      </c>
      <c r="X400" s="7">
        <v>3.4000000000000002E-2</v>
      </c>
      <c r="Y400" s="7">
        <v>4.0000000000000001E-3</v>
      </c>
      <c r="Z400" s="7">
        <v>0.30399999999999999</v>
      </c>
      <c r="AA400" s="7">
        <v>0.42899999999999999</v>
      </c>
      <c r="AB400" s="7">
        <v>0.22700000000000001</v>
      </c>
      <c r="AC400" s="7">
        <v>7.9000000000000001E-2</v>
      </c>
      <c r="AD400" s="7">
        <v>4.7E-2</v>
      </c>
      <c r="AE400" s="7">
        <v>0</v>
      </c>
      <c r="AF400" s="7">
        <v>1.2050000000000001</v>
      </c>
      <c r="AG400" s="7">
        <v>0.92800000000000005</v>
      </c>
      <c r="AH400" s="7">
        <v>1.0349999999999999</v>
      </c>
      <c r="AI400" s="7">
        <v>1.1719999999999999</v>
      </c>
      <c r="AJ400" s="7">
        <v>0.82499999999999996</v>
      </c>
      <c r="AK400" s="7">
        <v>1.39</v>
      </c>
      <c r="AL400" s="7">
        <v>0.64200000000000002</v>
      </c>
      <c r="AM400" s="7">
        <v>1.1200000000000001</v>
      </c>
      <c r="AN400" s="7">
        <v>0.17499999999999999</v>
      </c>
      <c r="AO400" s="7">
        <v>0.20799999999999999</v>
      </c>
      <c r="AP400" s="7">
        <v>0.23300000000000001</v>
      </c>
      <c r="AQ400" s="7">
        <v>0.314</v>
      </c>
      <c r="AR400" s="7">
        <v>0.42299999999999999</v>
      </c>
      <c r="AS400" s="7">
        <v>0.94499999999999995</v>
      </c>
      <c r="AT400" s="7">
        <v>0.124</v>
      </c>
    </row>
    <row r="401" spans="1:46" x14ac:dyDescent="0.25">
      <c r="A401" s="4" t="s">
        <v>197</v>
      </c>
      <c r="B401" s="4" t="s">
        <v>207</v>
      </c>
      <c r="C401" s="4" t="s">
        <v>246</v>
      </c>
      <c r="D401" s="4" t="s">
        <v>254</v>
      </c>
      <c r="E401" s="4" t="s">
        <v>256</v>
      </c>
      <c r="F401" s="4" t="s">
        <v>195</v>
      </c>
      <c r="G401" s="4" t="s">
        <v>93</v>
      </c>
      <c r="H401" s="4" t="s">
        <v>250</v>
      </c>
      <c r="I401" s="7">
        <v>5.399</v>
      </c>
      <c r="J401" s="7">
        <v>4.327</v>
      </c>
      <c r="K401" s="7">
        <v>7.9059999999999997</v>
      </c>
      <c r="L401" s="7">
        <v>1.4730000000000001</v>
      </c>
      <c r="M401" s="7">
        <v>2.851</v>
      </c>
      <c r="N401" s="7">
        <v>2.0179999999999998</v>
      </c>
      <c r="O401" s="7">
        <v>1.6359999999999999</v>
      </c>
      <c r="P401" s="7">
        <v>8.2119999999999997</v>
      </c>
      <c r="Q401" s="7">
        <v>10.391999999999999</v>
      </c>
      <c r="R401" s="7">
        <v>6.4630000000000001</v>
      </c>
      <c r="S401" s="7">
        <v>4.4550000000000001</v>
      </c>
      <c r="T401" s="7">
        <v>3.96</v>
      </c>
      <c r="U401" s="7">
        <v>18.05</v>
      </c>
      <c r="V401" s="7">
        <v>20.048999999999999</v>
      </c>
      <c r="W401" s="7">
        <v>19.431999999999999</v>
      </c>
      <c r="X401" s="7">
        <v>19.521000000000001</v>
      </c>
      <c r="Y401" s="7">
        <v>17.995000000000001</v>
      </c>
      <c r="Z401" s="7">
        <v>19.382000000000001</v>
      </c>
      <c r="AA401" s="7">
        <v>22.167999999999999</v>
      </c>
      <c r="AB401" s="7">
        <v>21.050999999999998</v>
      </c>
      <c r="AC401" s="7">
        <v>15.349</v>
      </c>
      <c r="AD401" s="7">
        <v>16.971</v>
      </c>
      <c r="AE401" s="7">
        <v>15.404</v>
      </c>
      <c r="AF401" s="7">
        <v>22.757000000000001</v>
      </c>
      <c r="AG401" s="7">
        <v>19.568000000000001</v>
      </c>
      <c r="AH401" s="7">
        <v>24.149000000000001</v>
      </c>
      <c r="AI401" s="7">
        <v>9.24</v>
      </c>
      <c r="AJ401" s="7">
        <v>9.4429999999999996</v>
      </c>
      <c r="AK401" s="7">
        <v>11.23</v>
      </c>
      <c r="AL401" s="7">
        <v>11.185</v>
      </c>
      <c r="AM401" s="7">
        <v>11.63</v>
      </c>
      <c r="AN401" s="7">
        <v>12.836</v>
      </c>
      <c r="AO401" s="7">
        <v>12.117000000000001</v>
      </c>
      <c r="AP401" s="7">
        <v>12.795</v>
      </c>
      <c r="AQ401" s="7">
        <v>16.402000000000001</v>
      </c>
      <c r="AR401" s="7">
        <v>21.03</v>
      </c>
      <c r="AS401" s="7">
        <v>31.126999999999999</v>
      </c>
      <c r="AT401" s="5">
        <v>389.59199999999998</v>
      </c>
    </row>
    <row r="402" spans="1:46" x14ac:dyDescent="0.25">
      <c r="A402" s="4" t="s">
        <v>197</v>
      </c>
      <c r="B402" s="4" t="s">
        <v>207</v>
      </c>
      <c r="C402" s="4" t="s">
        <v>246</v>
      </c>
      <c r="D402" s="4" t="s">
        <v>254</v>
      </c>
      <c r="E402" s="4" t="s">
        <v>256</v>
      </c>
      <c r="F402" s="4" t="s">
        <v>195</v>
      </c>
      <c r="G402" s="4" t="s">
        <v>93</v>
      </c>
      <c r="H402" s="4" t="s">
        <v>251</v>
      </c>
      <c r="I402" s="7">
        <v>1.2418891999999999</v>
      </c>
      <c r="J402" s="7">
        <v>1.2417033</v>
      </c>
      <c r="K402" s="7">
        <v>1.2415626</v>
      </c>
      <c r="L402" s="7">
        <v>1.2185812</v>
      </c>
      <c r="M402" s="7">
        <v>1.2180356999999999</v>
      </c>
      <c r="N402" s="7">
        <v>1.0627413999999999</v>
      </c>
      <c r="O402" s="7">
        <v>1.0511950000000001</v>
      </c>
      <c r="P402" s="7">
        <v>0.83593079999999997</v>
      </c>
      <c r="Q402" s="7">
        <v>0.51755059999999997</v>
      </c>
      <c r="R402" s="7">
        <v>1.1323108</v>
      </c>
      <c r="S402" s="7">
        <v>1.1344421</v>
      </c>
      <c r="T402" s="7">
        <v>1.002699</v>
      </c>
      <c r="U402" s="7">
        <v>1.9878262</v>
      </c>
      <c r="V402" s="7">
        <v>2.2751749999999999</v>
      </c>
      <c r="W402" s="7">
        <v>2.9756941000000001</v>
      </c>
      <c r="X402" s="7">
        <v>2.9953200999999998</v>
      </c>
      <c r="Y402" s="7">
        <v>2.9342253999999999</v>
      </c>
      <c r="Z402" s="7">
        <v>2.8323863</v>
      </c>
      <c r="AA402" s="7">
        <v>1.8233055</v>
      </c>
      <c r="AB402" s="7">
        <v>1.7044535000000001</v>
      </c>
      <c r="AC402" s="7">
        <v>1.3410545</v>
      </c>
      <c r="AD402" s="7">
        <v>1.357361</v>
      </c>
      <c r="AE402" s="7">
        <v>1.3572991000000001</v>
      </c>
      <c r="AF402" s="7">
        <v>1.7020729000000001</v>
      </c>
      <c r="AG402" s="7">
        <v>1.6824759</v>
      </c>
      <c r="AH402" s="7">
        <v>1.5855193999999999</v>
      </c>
      <c r="AI402" s="7">
        <v>1.2749702999999999</v>
      </c>
      <c r="AJ402" s="7">
        <v>1.3228061</v>
      </c>
      <c r="AK402" s="7">
        <v>1.4561639</v>
      </c>
      <c r="AL402" s="7">
        <v>1.5135346999999999</v>
      </c>
      <c r="AM402" s="7">
        <v>0.97722549999999997</v>
      </c>
      <c r="AN402" s="7">
        <v>0.97722549999999997</v>
      </c>
      <c r="AO402" s="7">
        <v>1.3779907</v>
      </c>
      <c r="AP402" s="7">
        <v>1.3779916999999999</v>
      </c>
      <c r="AQ402" s="7">
        <v>1.3779812</v>
      </c>
      <c r="AR402" s="7">
        <v>1.5601902000000001</v>
      </c>
      <c r="AS402" s="7">
        <v>1.4540519000000001</v>
      </c>
      <c r="AT402" s="7">
        <v>31.126999999999999</v>
      </c>
    </row>
    <row r="403" spans="1:46" x14ac:dyDescent="0.25">
      <c r="A403" s="4" t="s">
        <v>197</v>
      </c>
      <c r="B403" s="4" t="s">
        <v>207</v>
      </c>
      <c r="C403" s="4" t="s">
        <v>246</v>
      </c>
      <c r="D403" s="4" t="s">
        <v>254</v>
      </c>
      <c r="E403" s="4" t="s">
        <v>256</v>
      </c>
      <c r="F403" s="4" t="s">
        <v>195</v>
      </c>
      <c r="G403" s="4" t="s">
        <v>93</v>
      </c>
      <c r="H403" s="4" t="s">
        <v>252</v>
      </c>
      <c r="I403" s="16">
        <v>0.40300000000000002</v>
      </c>
      <c r="J403" s="16">
        <v>0.39900000000000002</v>
      </c>
      <c r="K403" s="16">
        <v>0.13500000000000001</v>
      </c>
      <c r="L403" s="16">
        <v>0.128</v>
      </c>
      <c r="M403" s="16">
        <v>0.13</v>
      </c>
      <c r="N403" s="16">
        <v>0.121</v>
      </c>
      <c r="O403" s="16">
        <v>8.2000000000000003E-2</v>
      </c>
      <c r="P403" s="16">
        <v>7.8E-2</v>
      </c>
      <c r="Q403" s="16">
        <v>6.3E-2</v>
      </c>
      <c r="R403" s="16">
        <v>0.20100000000000001</v>
      </c>
      <c r="S403" s="16">
        <v>0.215</v>
      </c>
      <c r="T403" s="16">
        <v>0.152</v>
      </c>
      <c r="U403" s="16">
        <v>0.52800000000000002</v>
      </c>
      <c r="V403" s="16">
        <v>0.65900000000000003</v>
      </c>
      <c r="W403" s="16">
        <v>0.625</v>
      </c>
      <c r="X403" s="16">
        <v>0.70899999999999996</v>
      </c>
      <c r="Y403" s="16">
        <v>0.70699999999999996</v>
      </c>
      <c r="Z403" s="16">
        <v>0.59299999999999997</v>
      </c>
      <c r="AA403" s="16">
        <v>0.56999999999999995</v>
      </c>
      <c r="AB403" s="16">
        <v>0.57999999999999996</v>
      </c>
      <c r="AC403" s="16">
        <v>0.53</v>
      </c>
      <c r="AD403" s="16">
        <v>0.52300000000000002</v>
      </c>
      <c r="AE403" s="16">
        <v>0.52600000000000002</v>
      </c>
      <c r="AF403" s="16">
        <v>0.90200000000000002</v>
      </c>
      <c r="AG403" s="16">
        <v>0.92600000000000005</v>
      </c>
      <c r="AH403" s="16">
        <v>0.75800000000000001</v>
      </c>
      <c r="AI403" s="16">
        <v>0.76200000000000001</v>
      </c>
      <c r="AJ403" s="16">
        <v>0.504</v>
      </c>
      <c r="AK403" s="16">
        <v>0.70799999999999996</v>
      </c>
      <c r="AL403" s="16">
        <v>0.47799999999999998</v>
      </c>
      <c r="AM403" s="16">
        <v>0.79800000000000004</v>
      </c>
      <c r="AN403" s="16">
        <v>0.83299999999999996</v>
      </c>
      <c r="AO403" s="16">
        <v>1</v>
      </c>
      <c r="AP403" s="16">
        <v>0.98699999999999999</v>
      </c>
      <c r="AQ403" s="16">
        <v>1.0609999999999999</v>
      </c>
      <c r="AR403" s="16">
        <v>1.18</v>
      </c>
      <c r="AS403" s="16">
        <v>0.97099999999999997</v>
      </c>
      <c r="AT403" s="7">
        <v>1.4540519000000001</v>
      </c>
    </row>
    <row r="404" spans="1:46" x14ac:dyDescent="0.25">
      <c r="A404" s="4" t="s">
        <v>197</v>
      </c>
      <c r="B404" s="4" t="s">
        <v>207</v>
      </c>
      <c r="C404" s="4" t="s">
        <v>246</v>
      </c>
      <c r="D404" s="4" t="s">
        <v>254</v>
      </c>
      <c r="E404" s="4" t="s">
        <v>257</v>
      </c>
      <c r="F404" s="4" t="s">
        <v>203</v>
      </c>
      <c r="G404" s="4" t="s">
        <v>93</v>
      </c>
      <c r="H404" s="4" t="s">
        <v>151</v>
      </c>
      <c r="I404" s="5">
        <v>0</v>
      </c>
      <c r="J404" s="5">
        <v>0</v>
      </c>
      <c r="K404" s="5">
        <v>22.285</v>
      </c>
      <c r="L404" s="5">
        <v>4</v>
      </c>
      <c r="M404" s="5">
        <v>3.8570000000000002</v>
      </c>
      <c r="N404" s="5">
        <v>26.062000000000001</v>
      </c>
      <c r="O404" s="5">
        <v>3</v>
      </c>
      <c r="P404" s="5">
        <v>21.887</v>
      </c>
      <c r="Q404" s="5">
        <v>24.024999999999999</v>
      </c>
      <c r="R404" s="8">
        <v>0</v>
      </c>
      <c r="S404" s="8">
        <v>0</v>
      </c>
      <c r="T404" s="5">
        <v>43.063000000000002</v>
      </c>
      <c r="U404" s="5">
        <v>160.51900000000001</v>
      </c>
      <c r="V404" s="5">
        <v>209.43</v>
      </c>
      <c r="W404" s="5">
        <v>306.96899999999999</v>
      </c>
      <c r="X404" s="5">
        <v>223.233</v>
      </c>
      <c r="Y404" s="5">
        <v>216.52799999999999</v>
      </c>
      <c r="Z404" s="5">
        <v>234.995</v>
      </c>
      <c r="AA404" s="5">
        <v>200.55600000000001</v>
      </c>
      <c r="AB404" s="5">
        <v>193.31</v>
      </c>
      <c r="AC404" s="5">
        <v>204.791</v>
      </c>
      <c r="AD404" s="5">
        <v>139.428</v>
      </c>
      <c r="AE404" s="5">
        <v>0</v>
      </c>
      <c r="AF404" s="5">
        <v>142.33199999999999</v>
      </c>
      <c r="AG404" s="5">
        <v>123.652</v>
      </c>
      <c r="AH404" s="5">
        <v>48.615000000000002</v>
      </c>
      <c r="AI404" s="5">
        <v>86.325999999999993</v>
      </c>
      <c r="AJ404" s="5">
        <v>137.29599999999999</v>
      </c>
      <c r="AK404" s="5">
        <v>39.65</v>
      </c>
      <c r="AL404" s="5">
        <v>190.95500000000001</v>
      </c>
      <c r="AM404" s="5">
        <v>267.09199999999998</v>
      </c>
      <c r="AN404" s="5">
        <v>332.93900000000002</v>
      </c>
      <c r="AO404" s="5">
        <v>36.061999999999998</v>
      </c>
      <c r="AP404" s="5">
        <v>49.155999999999999</v>
      </c>
      <c r="AQ404" s="5">
        <v>38.695</v>
      </c>
      <c r="AR404" s="5">
        <v>41.866999999999997</v>
      </c>
      <c r="AS404" s="5">
        <v>36.72</v>
      </c>
      <c r="AT404" s="5">
        <v>36.72</v>
      </c>
    </row>
    <row r="405" spans="1:46" x14ac:dyDescent="0.25">
      <c r="A405" s="4" t="s">
        <v>197</v>
      </c>
      <c r="B405" s="4" t="s">
        <v>207</v>
      </c>
      <c r="C405" s="4" t="s">
        <v>246</v>
      </c>
      <c r="D405" s="4" t="s">
        <v>254</v>
      </c>
      <c r="E405" s="4" t="s">
        <v>257</v>
      </c>
      <c r="F405" s="4" t="s">
        <v>203</v>
      </c>
      <c r="G405" s="4" t="s">
        <v>93</v>
      </c>
      <c r="H405" s="4" t="s">
        <v>205</v>
      </c>
      <c r="I405" s="6">
        <v>0</v>
      </c>
      <c r="J405" s="6">
        <v>0</v>
      </c>
      <c r="K405" s="6">
        <v>3010.6410000000001</v>
      </c>
      <c r="L405" s="6">
        <v>599.98500000000001</v>
      </c>
      <c r="M405" s="6">
        <v>568.58000000000004</v>
      </c>
      <c r="N405" s="6">
        <v>3578.364</v>
      </c>
      <c r="O405" s="6">
        <v>450</v>
      </c>
      <c r="P405" s="6">
        <v>3173.5630000000001</v>
      </c>
      <c r="Q405" s="6">
        <v>3483.625</v>
      </c>
      <c r="R405" s="10">
        <v>0</v>
      </c>
      <c r="S405" s="10">
        <v>0</v>
      </c>
      <c r="T405" s="6">
        <v>5555.1890000000003</v>
      </c>
      <c r="U405" s="6">
        <v>20706.991999999998</v>
      </c>
      <c r="V405" s="6">
        <v>26842.227999999999</v>
      </c>
      <c r="W405" s="6">
        <v>44388.298999999999</v>
      </c>
      <c r="X405" s="6">
        <v>33989.521999999997</v>
      </c>
      <c r="Y405" s="6">
        <v>37887.451999999997</v>
      </c>
      <c r="Z405" s="6">
        <v>36951.781000000003</v>
      </c>
      <c r="AA405" s="6">
        <v>32622.298999999999</v>
      </c>
      <c r="AB405" s="6">
        <v>31463.383999999998</v>
      </c>
      <c r="AC405" s="6">
        <v>35838.487000000001</v>
      </c>
      <c r="AD405" s="6">
        <v>24398.842000000001</v>
      </c>
      <c r="AE405" s="6">
        <v>0</v>
      </c>
      <c r="AF405" s="6">
        <v>24908.173999999999</v>
      </c>
      <c r="AG405" s="6">
        <v>21621.580999999998</v>
      </c>
      <c r="AH405" s="6">
        <v>7292.277</v>
      </c>
      <c r="AI405" s="6">
        <v>12948.924000000001</v>
      </c>
      <c r="AJ405" s="6">
        <v>20594.406999999999</v>
      </c>
      <c r="AK405" s="6">
        <v>4621.7160000000003</v>
      </c>
      <c r="AL405" s="6">
        <v>28830.39</v>
      </c>
      <c r="AM405" s="6">
        <v>44345.421999999999</v>
      </c>
      <c r="AN405" s="6">
        <v>58328.991999999998</v>
      </c>
      <c r="AO405" s="6">
        <v>3245.5619999999999</v>
      </c>
      <c r="AP405" s="6">
        <v>5582.7790000000005</v>
      </c>
      <c r="AQ405" s="6">
        <v>3496.2860000000001</v>
      </c>
      <c r="AR405" s="6">
        <v>3768.0279999999998</v>
      </c>
      <c r="AS405" s="6">
        <v>4769.2389999999996</v>
      </c>
      <c r="AT405" s="6">
        <v>4769.2389999999996</v>
      </c>
    </row>
    <row r="406" spans="1:46" x14ac:dyDescent="0.25">
      <c r="A406" s="4" t="s">
        <v>197</v>
      </c>
      <c r="B406" s="4" t="s">
        <v>207</v>
      </c>
      <c r="C406" s="4" t="s">
        <v>246</v>
      </c>
      <c r="D406" s="4" t="s">
        <v>254</v>
      </c>
      <c r="E406" s="4" t="s">
        <v>257</v>
      </c>
      <c r="F406" s="4" t="s">
        <v>203</v>
      </c>
      <c r="G406" s="4" t="s">
        <v>93</v>
      </c>
      <c r="H406" s="4" t="s">
        <v>249</v>
      </c>
      <c r="I406" s="7">
        <v>0</v>
      </c>
      <c r="J406" s="7">
        <v>0</v>
      </c>
      <c r="K406" s="7">
        <v>7.9000000000000001E-2</v>
      </c>
      <c r="L406" s="7">
        <v>1.0999999999999999E-2</v>
      </c>
      <c r="M406" s="7">
        <v>8.9999999999999993E-3</v>
      </c>
      <c r="N406" s="7">
        <v>6.0999999999999999E-2</v>
      </c>
      <c r="O406" s="7">
        <v>7.0000000000000001E-3</v>
      </c>
      <c r="P406" s="7">
        <v>7.0999999999999994E-2</v>
      </c>
      <c r="Q406" s="7">
        <v>8.5000000000000006E-2</v>
      </c>
      <c r="R406" s="11">
        <v>0</v>
      </c>
      <c r="S406" s="11">
        <v>0</v>
      </c>
      <c r="T406" s="7">
        <v>0.23899999999999999</v>
      </c>
      <c r="U406" s="7">
        <v>0.88500000000000001</v>
      </c>
      <c r="V406" s="7">
        <v>1.1180000000000001</v>
      </c>
      <c r="W406" s="7">
        <v>1.399</v>
      </c>
      <c r="X406" s="7">
        <v>0.81100000000000005</v>
      </c>
      <c r="Y406" s="7">
        <v>0.74099999999999999</v>
      </c>
      <c r="Z406" s="7">
        <v>0.82099999999999995</v>
      </c>
      <c r="AA406" s="7">
        <v>0.69099999999999995</v>
      </c>
      <c r="AB406" s="7">
        <v>0.72399999999999998</v>
      </c>
      <c r="AC406" s="7">
        <v>0.873</v>
      </c>
      <c r="AD406" s="7">
        <v>0.68700000000000006</v>
      </c>
      <c r="AE406" s="7">
        <v>0</v>
      </c>
      <c r="AF406" s="7">
        <v>0.95799999999999996</v>
      </c>
      <c r="AG406" s="7">
        <v>0.74199999999999999</v>
      </c>
      <c r="AH406" s="7">
        <v>0.24199999999999999</v>
      </c>
      <c r="AI406" s="7">
        <v>0.37</v>
      </c>
      <c r="AJ406" s="7">
        <v>0.44400000000000001</v>
      </c>
      <c r="AK406" s="7">
        <v>0.111</v>
      </c>
      <c r="AL406" s="7">
        <v>0.48299999999999998</v>
      </c>
      <c r="AM406" s="7">
        <v>0.57999999999999996</v>
      </c>
      <c r="AN406" s="7">
        <v>0.68400000000000005</v>
      </c>
      <c r="AO406" s="7">
        <v>8.7999999999999995E-2</v>
      </c>
      <c r="AP406" s="7">
        <v>0.16</v>
      </c>
      <c r="AQ406" s="7">
        <v>0.18099999999999999</v>
      </c>
      <c r="AR406" s="7">
        <v>0.307</v>
      </c>
      <c r="AS406" s="7">
        <v>0.40200000000000002</v>
      </c>
      <c r="AT406" s="7">
        <v>6.3E-2</v>
      </c>
    </row>
    <row r="407" spans="1:46" x14ac:dyDescent="0.25">
      <c r="A407" s="4" t="s">
        <v>197</v>
      </c>
      <c r="B407" s="4" t="s">
        <v>207</v>
      </c>
      <c r="C407" s="4" t="s">
        <v>246</v>
      </c>
      <c r="D407" s="4" t="s">
        <v>254</v>
      </c>
      <c r="E407" s="4" t="s">
        <v>257</v>
      </c>
      <c r="F407" s="4" t="s">
        <v>203</v>
      </c>
      <c r="G407" s="4" t="s">
        <v>93</v>
      </c>
      <c r="H407" s="4" t="s">
        <v>250</v>
      </c>
      <c r="I407" s="7">
        <v>0.495</v>
      </c>
      <c r="J407" s="7">
        <v>0</v>
      </c>
      <c r="K407" s="7">
        <v>0.54300000000000004</v>
      </c>
      <c r="L407" s="7">
        <v>0.67900000000000005</v>
      </c>
      <c r="M407" s="7">
        <v>0.80900000000000005</v>
      </c>
      <c r="N407" s="7">
        <v>0.64100000000000001</v>
      </c>
      <c r="O407" s="7">
        <v>0.25900000000000001</v>
      </c>
      <c r="P407" s="7">
        <v>0.16200000000000001</v>
      </c>
      <c r="Q407" s="7">
        <v>0.3</v>
      </c>
      <c r="R407" s="11">
        <v>0</v>
      </c>
      <c r="S407" s="11">
        <v>0</v>
      </c>
      <c r="T407" s="7">
        <v>21.99</v>
      </c>
      <c r="U407" s="7">
        <v>25.271999999999998</v>
      </c>
      <c r="V407" s="7">
        <v>24.472000000000001</v>
      </c>
      <c r="W407" s="7">
        <v>35.305</v>
      </c>
      <c r="X407" s="7">
        <v>25.13</v>
      </c>
      <c r="Y407" s="7">
        <v>9.3070000000000004</v>
      </c>
      <c r="Z407" s="7">
        <v>11.798999999999999</v>
      </c>
      <c r="AA407" s="7">
        <v>11.233000000000001</v>
      </c>
      <c r="AB407" s="7">
        <v>13.234</v>
      </c>
      <c r="AC407" s="7">
        <v>14.972</v>
      </c>
      <c r="AD407" s="7">
        <v>16.670999999999999</v>
      </c>
      <c r="AE407" s="7">
        <v>15.14</v>
      </c>
      <c r="AF407" s="7">
        <v>17.451000000000001</v>
      </c>
      <c r="AG407" s="7">
        <v>15.321</v>
      </c>
      <c r="AH407" s="7">
        <v>12.186999999999999</v>
      </c>
      <c r="AI407" s="7">
        <v>9.7509999999999994</v>
      </c>
      <c r="AJ407" s="7">
        <v>9.016</v>
      </c>
      <c r="AK407" s="7">
        <v>6.83</v>
      </c>
      <c r="AL407" s="7">
        <v>7.3579999999999997</v>
      </c>
      <c r="AM407" s="7">
        <v>8.5129999999999999</v>
      </c>
      <c r="AN407" s="7">
        <v>10.856</v>
      </c>
      <c r="AO407" s="7">
        <v>0.4</v>
      </c>
      <c r="AP407" s="7">
        <v>0.56999999999999995</v>
      </c>
      <c r="AQ407" s="7">
        <v>0.66500000000000004</v>
      </c>
      <c r="AR407" s="7">
        <v>0.71099999999999997</v>
      </c>
      <c r="AS407" s="7">
        <v>0.98599999999999999</v>
      </c>
      <c r="AT407" s="5">
        <v>49.662999999999997</v>
      </c>
    </row>
    <row r="408" spans="1:46" x14ac:dyDescent="0.25">
      <c r="A408" s="4" t="s">
        <v>197</v>
      </c>
      <c r="B408" s="4" t="s">
        <v>207</v>
      </c>
      <c r="C408" s="4" t="s">
        <v>246</v>
      </c>
      <c r="D408" s="4" t="s">
        <v>254</v>
      </c>
      <c r="E408" s="4" t="s">
        <v>257</v>
      </c>
      <c r="F408" s="4" t="s">
        <v>203</v>
      </c>
      <c r="G408" s="4" t="s">
        <v>93</v>
      </c>
      <c r="H408" s="4" t="s">
        <v>251</v>
      </c>
      <c r="I408" s="7">
        <v>0.45533580000000001</v>
      </c>
      <c r="J408" s="7">
        <v>0.45526759999999999</v>
      </c>
      <c r="K408" s="7">
        <v>0.4668139</v>
      </c>
      <c r="L408" s="7">
        <v>0.51114009999999999</v>
      </c>
      <c r="M408" s="7">
        <v>0.52245739999999996</v>
      </c>
      <c r="N408" s="7">
        <v>0.41103810000000002</v>
      </c>
      <c r="O408" s="7">
        <v>1.1546000000000001E-2</v>
      </c>
      <c r="P408" s="7">
        <v>0.39949180000000001</v>
      </c>
      <c r="Q408" s="7">
        <v>0.49190620000000002</v>
      </c>
      <c r="R408" s="7">
        <v>0</v>
      </c>
      <c r="S408" s="7">
        <v>0</v>
      </c>
      <c r="T408" s="7">
        <v>1.1557415</v>
      </c>
      <c r="U408" s="7">
        <v>0.96303589999999994</v>
      </c>
      <c r="V408" s="7">
        <v>1.6286851</v>
      </c>
      <c r="W408" s="7">
        <v>3.2043767999999999</v>
      </c>
      <c r="X408" s="7">
        <v>3.6166228999999999</v>
      </c>
      <c r="Y408" s="7">
        <v>1.8434018000000001</v>
      </c>
      <c r="Z408" s="7">
        <v>1.6712724000000001</v>
      </c>
      <c r="AA408" s="7">
        <v>1.0444414</v>
      </c>
      <c r="AB408" s="7">
        <v>0.90363269999999996</v>
      </c>
      <c r="AC408" s="7">
        <v>1.0327241</v>
      </c>
      <c r="AD408" s="7">
        <v>1.0326506</v>
      </c>
      <c r="AE408" s="7">
        <v>1.0326036000000001</v>
      </c>
      <c r="AF408" s="7">
        <v>1.0976975</v>
      </c>
      <c r="AG408" s="7">
        <v>1.1098177</v>
      </c>
      <c r="AH408" s="7">
        <v>1.8500817000000001</v>
      </c>
      <c r="AI408" s="7">
        <v>1.7430673000000001</v>
      </c>
      <c r="AJ408" s="7">
        <v>2.5227233</v>
      </c>
      <c r="AK408" s="7">
        <v>1.5873443</v>
      </c>
      <c r="AL408" s="7">
        <v>1.5932103</v>
      </c>
      <c r="AM408" s="7">
        <v>1.592417</v>
      </c>
      <c r="AN408" s="7">
        <v>1.9170498</v>
      </c>
      <c r="AO408" s="7">
        <v>1.1432135999999999</v>
      </c>
      <c r="AP408" s="7">
        <v>1.1557694000000001</v>
      </c>
      <c r="AQ408" s="7">
        <v>1.1557606</v>
      </c>
      <c r="AR408" s="7">
        <v>1.1846981999999999</v>
      </c>
      <c r="AS408" s="7">
        <v>1.1843125999999999</v>
      </c>
      <c r="AT408" s="7">
        <v>0.98599999999999999</v>
      </c>
    </row>
    <row r="409" spans="1:46" x14ac:dyDescent="0.25">
      <c r="A409" s="4" t="s">
        <v>197</v>
      </c>
      <c r="B409" s="4" t="s">
        <v>207</v>
      </c>
      <c r="C409" s="4" t="s">
        <v>246</v>
      </c>
      <c r="D409" s="4" t="s">
        <v>254</v>
      </c>
      <c r="E409" s="4" t="s">
        <v>257</v>
      </c>
      <c r="F409" s="4" t="s">
        <v>203</v>
      </c>
      <c r="G409" s="4" t="s">
        <v>93</v>
      </c>
      <c r="H409" s="4" t="s">
        <v>252</v>
      </c>
      <c r="I409" s="16">
        <v>9.8000000000000004E-2</v>
      </c>
      <c r="J409" s="16">
        <v>0.105</v>
      </c>
      <c r="K409" s="16">
        <v>4.2999999999999997E-2</v>
      </c>
      <c r="L409" s="16">
        <v>4.1000000000000002E-2</v>
      </c>
      <c r="M409" s="16">
        <v>4.2999999999999997E-2</v>
      </c>
      <c r="N409" s="17">
        <v>0</v>
      </c>
      <c r="O409" s="17">
        <v>0</v>
      </c>
      <c r="P409" s="16">
        <v>3.9E-2</v>
      </c>
      <c r="Q409" s="17">
        <v>0</v>
      </c>
      <c r="R409" s="17">
        <v>0</v>
      </c>
      <c r="S409" s="17">
        <v>0</v>
      </c>
      <c r="T409" s="16">
        <v>0.35199999999999998</v>
      </c>
      <c r="U409" s="16">
        <v>0.32700000000000001</v>
      </c>
      <c r="V409" s="16">
        <v>0.44500000000000001</v>
      </c>
      <c r="W409" s="16">
        <v>1.2270000000000001</v>
      </c>
      <c r="X409" s="16">
        <v>1.0049999999999999</v>
      </c>
      <c r="Y409" s="16">
        <v>0.53</v>
      </c>
      <c r="Z409" s="16">
        <v>0.434</v>
      </c>
      <c r="AA409" s="16">
        <v>0.45800000000000002</v>
      </c>
      <c r="AB409" s="16">
        <v>0.53900000000000003</v>
      </c>
      <c r="AC409" s="16">
        <v>0.495</v>
      </c>
      <c r="AD409" s="16">
        <v>0.48799999999999999</v>
      </c>
      <c r="AE409" s="16">
        <v>0.73599999999999999</v>
      </c>
      <c r="AF409" s="16">
        <v>0.54900000000000004</v>
      </c>
      <c r="AG409" s="16">
        <v>0.56299999999999994</v>
      </c>
      <c r="AH409" s="16">
        <v>0.55700000000000005</v>
      </c>
      <c r="AI409" s="16">
        <v>0.56200000000000006</v>
      </c>
      <c r="AJ409" s="16">
        <v>0.52200000000000002</v>
      </c>
      <c r="AK409" s="16">
        <v>0.48499999999999999</v>
      </c>
      <c r="AL409" s="16">
        <v>0.222</v>
      </c>
      <c r="AM409" s="16">
        <v>0.76</v>
      </c>
      <c r="AN409" s="16">
        <v>0.14899999999999999</v>
      </c>
      <c r="AO409" s="16">
        <v>0.161</v>
      </c>
      <c r="AP409" s="16">
        <v>0.126</v>
      </c>
      <c r="AQ409" s="16">
        <v>0.13600000000000001</v>
      </c>
      <c r="AR409" s="16">
        <v>0.13600000000000001</v>
      </c>
      <c r="AS409" s="16">
        <v>0.124</v>
      </c>
      <c r="AT409" s="7">
        <v>1.1843125999999999</v>
      </c>
    </row>
    <row r="410" spans="1:46" x14ac:dyDescent="0.25">
      <c r="A410" s="4" t="s">
        <v>197</v>
      </c>
      <c r="B410" s="4" t="s">
        <v>207</v>
      </c>
      <c r="C410" s="4" t="s">
        <v>246</v>
      </c>
      <c r="D410" s="4" t="s">
        <v>254</v>
      </c>
      <c r="E410" s="4" t="s">
        <v>258</v>
      </c>
      <c r="F410" s="4" t="s">
        <v>203</v>
      </c>
      <c r="G410" s="4" t="s">
        <v>93</v>
      </c>
      <c r="H410" s="4" t="s">
        <v>151</v>
      </c>
      <c r="I410" s="5">
        <v>17.381</v>
      </c>
      <c r="J410" s="5">
        <v>12.262</v>
      </c>
      <c r="K410" s="5">
        <v>20.277999999999999</v>
      </c>
      <c r="L410" s="5">
        <v>46.704000000000001</v>
      </c>
      <c r="M410" s="5">
        <v>57.741999999999997</v>
      </c>
      <c r="N410" s="5">
        <v>98.775000000000006</v>
      </c>
      <c r="O410" s="5">
        <v>169.06200000000001</v>
      </c>
      <c r="P410" s="5">
        <v>145.238</v>
      </c>
      <c r="Q410" s="5">
        <v>35.875</v>
      </c>
      <c r="R410" s="5">
        <v>0</v>
      </c>
      <c r="S410" s="5">
        <v>0</v>
      </c>
      <c r="T410" s="5">
        <v>4.3049999999999997</v>
      </c>
      <c r="U410" s="5">
        <v>4.3049999999999997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7.1870000000000003</v>
      </c>
      <c r="AC410" s="8">
        <v>0</v>
      </c>
      <c r="AD410" s="9">
        <v>0</v>
      </c>
      <c r="AE410" s="9">
        <v>0</v>
      </c>
      <c r="AF410" s="9">
        <v>0</v>
      </c>
      <c r="AG410" s="5">
        <v>0</v>
      </c>
      <c r="AH410" s="5">
        <v>0</v>
      </c>
      <c r="AI410" s="5">
        <v>130.97</v>
      </c>
      <c r="AJ410" s="5">
        <v>468.53199999999998</v>
      </c>
      <c r="AK410" s="5">
        <v>269.952</v>
      </c>
      <c r="AL410" s="5">
        <v>289.613</v>
      </c>
      <c r="AM410" s="5">
        <v>215.762</v>
      </c>
      <c r="AN410" s="5">
        <v>562.91399999999999</v>
      </c>
      <c r="AO410" s="5">
        <v>441.452</v>
      </c>
      <c r="AP410" s="5">
        <v>262.37299999999999</v>
      </c>
      <c r="AQ410" s="5">
        <v>0</v>
      </c>
      <c r="AR410" s="5">
        <v>0</v>
      </c>
      <c r="AS410" s="5">
        <v>10.156000000000001</v>
      </c>
      <c r="AT410" s="5">
        <v>10.156000000000001</v>
      </c>
    </row>
    <row r="411" spans="1:46" x14ac:dyDescent="0.25">
      <c r="A411" s="4" t="s">
        <v>197</v>
      </c>
      <c r="B411" s="4" t="s">
        <v>207</v>
      </c>
      <c r="C411" s="4" t="s">
        <v>246</v>
      </c>
      <c r="D411" s="4" t="s">
        <v>254</v>
      </c>
      <c r="E411" s="4" t="s">
        <v>258</v>
      </c>
      <c r="F411" s="4" t="s">
        <v>203</v>
      </c>
      <c r="G411" s="4" t="s">
        <v>93</v>
      </c>
      <c r="H411" s="4" t="s">
        <v>205</v>
      </c>
      <c r="I411" s="6">
        <v>1849.6079999999999</v>
      </c>
      <c r="J411" s="6">
        <v>1357.7280000000001</v>
      </c>
      <c r="K411" s="6">
        <v>2070.779</v>
      </c>
      <c r="L411" s="6">
        <v>4789.9210000000003</v>
      </c>
      <c r="M411" s="6">
        <v>5893.7060000000001</v>
      </c>
      <c r="N411" s="6">
        <v>13802.837</v>
      </c>
      <c r="O411" s="6">
        <v>21086.824000000001</v>
      </c>
      <c r="P411" s="6">
        <v>19857.09</v>
      </c>
      <c r="Q411" s="6">
        <v>4304.9399999999996</v>
      </c>
      <c r="R411" s="6">
        <v>0</v>
      </c>
      <c r="S411" s="6">
        <v>0</v>
      </c>
      <c r="T411" s="6">
        <v>516.59299999999996</v>
      </c>
      <c r="U411" s="6">
        <v>516.59299999999996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790.58699999999999</v>
      </c>
      <c r="AC411" s="10">
        <v>0</v>
      </c>
      <c r="AD411" s="9">
        <v>0</v>
      </c>
      <c r="AE411" s="9">
        <v>0</v>
      </c>
      <c r="AF411" s="9">
        <v>0</v>
      </c>
      <c r="AG411" s="6">
        <v>0</v>
      </c>
      <c r="AH411" s="6">
        <v>0</v>
      </c>
      <c r="AI411" s="6">
        <v>18602.978999999999</v>
      </c>
      <c r="AJ411" s="6">
        <v>67211.823000000004</v>
      </c>
      <c r="AK411" s="6">
        <v>40600.779000000002</v>
      </c>
      <c r="AL411" s="6">
        <v>41747.838000000003</v>
      </c>
      <c r="AM411" s="6">
        <v>30646.893</v>
      </c>
      <c r="AN411" s="6">
        <v>49354.764000000003</v>
      </c>
      <c r="AO411" s="6">
        <v>31983.274000000001</v>
      </c>
      <c r="AP411" s="6">
        <v>15742.356</v>
      </c>
      <c r="AQ411" s="6">
        <v>0</v>
      </c>
      <c r="AR411" s="6">
        <v>0</v>
      </c>
      <c r="AS411" s="6">
        <v>1828.058</v>
      </c>
      <c r="AT411" s="6">
        <v>1828.058</v>
      </c>
    </row>
    <row r="412" spans="1:46" x14ac:dyDescent="0.25">
      <c r="A412" s="4" t="s">
        <v>197</v>
      </c>
      <c r="B412" s="4" t="s">
        <v>207</v>
      </c>
      <c r="C412" s="4" t="s">
        <v>246</v>
      </c>
      <c r="D412" s="4" t="s">
        <v>254</v>
      </c>
      <c r="E412" s="4" t="s">
        <v>258</v>
      </c>
      <c r="F412" s="4" t="s">
        <v>203</v>
      </c>
      <c r="G412" s="4" t="s">
        <v>93</v>
      </c>
      <c r="H412" s="4" t="s">
        <v>249</v>
      </c>
      <c r="I412" s="7">
        <v>8.7999999999999995E-2</v>
      </c>
      <c r="J412" s="7">
        <v>5.6000000000000001E-2</v>
      </c>
      <c r="K412" s="7">
        <v>7.1999999999999995E-2</v>
      </c>
      <c r="L412" s="7">
        <v>0.123</v>
      </c>
      <c r="M412" s="7">
        <v>0.13400000000000001</v>
      </c>
      <c r="N412" s="7">
        <v>0.28199999999999997</v>
      </c>
      <c r="O412" s="7">
        <v>0.47199999999999998</v>
      </c>
      <c r="P412" s="7">
        <v>0.54900000000000004</v>
      </c>
      <c r="Q412" s="7">
        <v>0.127</v>
      </c>
      <c r="R412" s="7">
        <v>0</v>
      </c>
      <c r="S412" s="7">
        <v>0</v>
      </c>
      <c r="T412" s="7">
        <v>2.4E-2</v>
      </c>
      <c r="U412" s="7">
        <v>2.4E-2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2.7E-2</v>
      </c>
      <c r="AC412" s="11">
        <v>0</v>
      </c>
      <c r="AD412" s="9">
        <v>0</v>
      </c>
      <c r="AE412" s="9">
        <v>0</v>
      </c>
      <c r="AF412" s="9">
        <v>0</v>
      </c>
      <c r="AG412" s="7">
        <v>0</v>
      </c>
      <c r="AH412" s="7">
        <v>0</v>
      </c>
      <c r="AI412" s="7">
        <v>0.56100000000000005</v>
      </c>
      <c r="AJ412" s="7">
        <v>1.514</v>
      </c>
      <c r="AK412" s="7">
        <v>0.753</v>
      </c>
      <c r="AL412" s="7">
        <v>0.73199999999999998</v>
      </c>
      <c r="AM412" s="7">
        <v>0.46800000000000003</v>
      </c>
      <c r="AN412" s="7">
        <v>1.1559999999999999</v>
      </c>
      <c r="AO412" s="7">
        <v>1.0820000000000001</v>
      </c>
      <c r="AP412" s="7">
        <v>0.85499999999999998</v>
      </c>
      <c r="AQ412" s="7">
        <v>0</v>
      </c>
      <c r="AR412" s="7">
        <v>0</v>
      </c>
      <c r="AS412" s="7">
        <v>0.111</v>
      </c>
      <c r="AT412" s="7">
        <v>1.7999999999999999E-2</v>
      </c>
    </row>
    <row r="413" spans="1:46" x14ac:dyDescent="0.25">
      <c r="A413" s="4" t="s">
        <v>197</v>
      </c>
      <c r="B413" s="4" t="s">
        <v>207</v>
      </c>
      <c r="C413" s="4" t="s">
        <v>246</v>
      </c>
      <c r="D413" s="4" t="s">
        <v>254</v>
      </c>
      <c r="E413" s="4" t="s">
        <v>258</v>
      </c>
      <c r="F413" s="4" t="s">
        <v>203</v>
      </c>
      <c r="G413" s="4" t="s">
        <v>93</v>
      </c>
      <c r="H413" s="4" t="s">
        <v>250</v>
      </c>
      <c r="I413" s="7">
        <v>4.38</v>
      </c>
      <c r="J413" s="7">
        <v>3.5680000000000001</v>
      </c>
      <c r="K413" s="7">
        <v>0.85499999999999998</v>
      </c>
      <c r="L413" s="7">
        <v>1.359</v>
      </c>
      <c r="M413" s="7">
        <v>1.5169999999999999</v>
      </c>
      <c r="N413" s="7">
        <v>4.8040000000000003</v>
      </c>
      <c r="O413" s="7">
        <v>5.4249999999999998</v>
      </c>
      <c r="P413" s="7">
        <v>5.4029999999999996</v>
      </c>
      <c r="Q413" s="7">
        <v>1.135</v>
      </c>
      <c r="R413" s="7">
        <v>0.79300000000000004</v>
      </c>
      <c r="S413" s="7">
        <v>7.5999999999999998E-2</v>
      </c>
      <c r="T413" s="7">
        <v>0.111</v>
      </c>
      <c r="U413" s="7">
        <v>8.5999999999999993E-2</v>
      </c>
      <c r="V413" s="7">
        <v>8.5000000000000006E-2</v>
      </c>
      <c r="W413" s="7">
        <v>0.745</v>
      </c>
      <c r="X413" s="7">
        <v>0.61799999999999999</v>
      </c>
      <c r="Y413" s="7">
        <v>0.81</v>
      </c>
      <c r="Z413" s="7">
        <v>0.39400000000000002</v>
      </c>
      <c r="AA413" s="7">
        <v>0.32600000000000001</v>
      </c>
      <c r="AB413" s="7">
        <v>0.875</v>
      </c>
      <c r="AC413" s="11">
        <v>0</v>
      </c>
      <c r="AD413" s="9">
        <v>0</v>
      </c>
      <c r="AE413" s="9">
        <v>0</v>
      </c>
      <c r="AF413" s="9">
        <v>0</v>
      </c>
      <c r="AG413" s="7">
        <v>0.21299999999999999</v>
      </c>
      <c r="AH413" s="7">
        <v>7.6999999999999999E-2</v>
      </c>
      <c r="AI413" s="7">
        <v>19.859000000000002</v>
      </c>
      <c r="AJ413" s="7">
        <v>18.085999999999999</v>
      </c>
      <c r="AK413" s="7">
        <v>13.948</v>
      </c>
      <c r="AL413" s="7">
        <v>12.18</v>
      </c>
      <c r="AM413" s="7">
        <v>8.2089999999999996</v>
      </c>
      <c r="AN413" s="7">
        <v>8.1989999999999998</v>
      </c>
      <c r="AO413" s="7">
        <v>8.8460000000000001</v>
      </c>
      <c r="AP413" s="7">
        <v>11.417</v>
      </c>
      <c r="AQ413" s="7">
        <v>0.65200000000000002</v>
      </c>
      <c r="AR413" s="7">
        <v>0.79200000000000004</v>
      </c>
      <c r="AS413" s="7">
        <v>0.49199999999999999</v>
      </c>
      <c r="AT413" s="5">
        <v>20.99</v>
      </c>
    </row>
    <row r="414" spans="1:46" x14ac:dyDescent="0.25">
      <c r="A414" s="4" t="s">
        <v>197</v>
      </c>
      <c r="B414" s="4" t="s">
        <v>207</v>
      </c>
      <c r="C414" s="4" t="s">
        <v>246</v>
      </c>
      <c r="D414" s="4" t="s">
        <v>254</v>
      </c>
      <c r="E414" s="4" t="s">
        <v>258</v>
      </c>
      <c r="F414" s="4" t="s">
        <v>203</v>
      </c>
      <c r="G414" s="4" t="s">
        <v>93</v>
      </c>
      <c r="H414" s="4" t="s">
        <v>251</v>
      </c>
      <c r="I414" s="7">
        <v>0.2366586</v>
      </c>
      <c r="J414" s="7">
        <v>0.23662320000000001</v>
      </c>
      <c r="K414" s="7">
        <v>0.1229373</v>
      </c>
      <c r="L414" s="7">
        <v>0.12706310000000001</v>
      </c>
      <c r="M414" s="7">
        <v>0.12700620000000001</v>
      </c>
      <c r="N414" s="7">
        <v>0.94207399999999997</v>
      </c>
      <c r="O414" s="7">
        <v>1.0751299000000001</v>
      </c>
      <c r="P414" s="7">
        <v>1.0751294</v>
      </c>
      <c r="Q414" s="7">
        <v>0.1422099</v>
      </c>
      <c r="R414" s="7">
        <v>0.1421945</v>
      </c>
      <c r="S414" s="7">
        <v>0.14217669999999999</v>
      </c>
      <c r="T414" s="7">
        <v>0.1421376</v>
      </c>
      <c r="U414" s="7">
        <v>0.1421249</v>
      </c>
      <c r="V414" s="7">
        <v>8.15554E-2</v>
      </c>
      <c r="W414" s="7">
        <v>8.1555900000000001E-2</v>
      </c>
      <c r="X414" s="7">
        <v>8.2018599999999997E-2</v>
      </c>
      <c r="Y414" s="7">
        <v>8.2015900000000003E-2</v>
      </c>
      <c r="Z414" s="7">
        <v>6.5612199999999996E-2</v>
      </c>
      <c r="AA414" s="7">
        <v>6.5612199999999996E-2</v>
      </c>
      <c r="AB414" s="7">
        <v>6.5612199999999996E-2</v>
      </c>
      <c r="AC414" s="7">
        <v>0</v>
      </c>
      <c r="AD414" s="9">
        <v>0</v>
      </c>
      <c r="AE414" s="9">
        <v>0</v>
      </c>
      <c r="AF414" s="9">
        <v>0</v>
      </c>
      <c r="AG414" s="7">
        <v>0.28178419999999998</v>
      </c>
      <c r="AH414" s="7">
        <v>0.32203419999999999</v>
      </c>
      <c r="AI414" s="7">
        <v>1.3984382</v>
      </c>
      <c r="AJ414" s="7">
        <v>1.3983303</v>
      </c>
      <c r="AK414" s="7">
        <v>1.3979813000000001</v>
      </c>
      <c r="AL414" s="7">
        <v>1.5222899000000001</v>
      </c>
      <c r="AM414" s="7">
        <v>1.5215319</v>
      </c>
      <c r="AN414" s="7">
        <v>1.5215319</v>
      </c>
      <c r="AO414" s="7">
        <v>1.5215311</v>
      </c>
      <c r="AP414" s="7">
        <v>1.1968993999999999</v>
      </c>
      <c r="AQ414" s="7">
        <v>0.32463039999999999</v>
      </c>
      <c r="AR414" s="7">
        <v>0.2861477</v>
      </c>
      <c r="AS414" s="7">
        <v>0.28605459999999999</v>
      </c>
      <c r="AT414" s="7">
        <v>0.49199999999999999</v>
      </c>
    </row>
    <row r="415" spans="1:46" x14ac:dyDescent="0.25">
      <c r="A415" s="4" t="s">
        <v>197</v>
      </c>
      <c r="B415" s="4" t="s">
        <v>207</v>
      </c>
      <c r="C415" s="4" t="s">
        <v>246</v>
      </c>
      <c r="D415" s="4" t="s">
        <v>254</v>
      </c>
      <c r="E415" s="4" t="s">
        <v>258</v>
      </c>
      <c r="F415" s="4" t="s">
        <v>203</v>
      </c>
      <c r="G415" s="4" t="s">
        <v>93</v>
      </c>
      <c r="H415" s="4" t="s">
        <v>252</v>
      </c>
      <c r="I415" s="16">
        <v>8.6999999999999994E-2</v>
      </c>
      <c r="J415" s="16">
        <v>8.5000000000000006E-2</v>
      </c>
      <c r="K415" s="16">
        <v>0.127</v>
      </c>
      <c r="L415" s="16">
        <v>9.9000000000000005E-2</v>
      </c>
      <c r="M415" s="16">
        <v>0.14299999999999999</v>
      </c>
      <c r="N415" s="16">
        <v>0.29299999999999998</v>
      </c>
      <c r="O415" s="16">
        <v>0.29699999999999999</v>
      </c>
      <c r="P415" s="16">
        <v>0.215</v>
      </c>
      <c r="Q415" s="16">
        <v>0.189</v>
      </c>
      <c r="R415" s="16">
        <v>0.215</v>
      </c>
      <c r="S415" s="16">
        <v>0.22800000000000001</v>
      </c>
      <c r="T415" s="16">
        <v>0.192</v>
      </c>
      <c r="U415" s="16">
        <v>0.17899999999999999</v>
      </c>
      <c r="V415" s="16">
        <v>1.6E-2</v>
      </c>
      <c r="W415" s="16">
        <v>1.4E-2</v>
      </c>
      <c r="X415" s="16">
        <v>1.6E-2</v>
      </c>
      <c r="Y415" s="16">
        <v>1.6E-2</v>
      </c>
      <c r="Z415" s="16">
        <v>1.4E-2</v>
      </c>
      <c r="AA415" s="16">
        <v>1.2999999999999999E-2</v>
      </c>
      <c r="AB415" s="17">
        <v>0</v>
      </c>
      <c r="AC415" s="17">
        <v>0</v>
      </c>
      <c r="AD415" s="9">
        <v>0</v>
      </c>
      <c r="AE415" s="9">
        <v>0</v>
      </c>
      <c r="AF415" s="9">
        <v>0</v>
      </c>
      <c r="AG415" s="16">
        <v>2.5999999999999999E-2</v>
      </c>
      <c r="AH415" s="16">
        <v>2.7E-2</v>
      </c>
      <c r="AI415" s="16">
        <v>0.75600000000000001</v>
      </c>
      <c r="AJ415" s="16">
        <v>7.1999999999999995E-2</v>
      </c>
      <c r="AK415" s="16">
        <v>0.122</v>
      </c>
      <c r="AL415" s="16">
        <v>2.4319999999999999</v>
      </c>
      <c r="AM415" s="16">
        <v>0.70799999999999996</v>
      </c>
      <c r="AN415" s="16">
        <v>0.92200000000000004</v>
      </c>
      <c r="AO415" s="16">
        <v>0.66500000000000004</v>
      </c>
      <c r="AP415" s="17">
        <v>0</v>
      </c>
      <c r="AQ415" s="16">
        <v>3.5000000000000003E-2</v>
      </c>
      <c r="AR415" s="16">
        <v>2.9000000000000001E-2</v>
      </c>
      <c r="AS415" s="16">
        <v>5.1999999999999998E-2</v>
      </c>
      <c r="AT415" s="7">
        <v>0.28605459999999999</v>
      </c>
    </row>
    <row r="416" spans="1:46" x14ac:dyDescent="0.25">
      <c r="A416" s="4" t="s">
        <v>197</v>
      </c>
      <c r="B416" s="4" t="s">
        <v>207</v>
      </c>
      <c r="C416" s="4" t="s">
        <v>246</v>
      </c>
      <c r="D416" s="4" t="s">
        <v>254</v>
      </c>
      <c r="E416" s="4" t="s">
        <v>258</v>
      </c>
      <c r="F416" s="4" t="s">
        <v>195</v>
      </c>
      <c r="G416" s="4" t="s">
        <v>93</v>
      </c>
      <c r="H416" s="4" t="s">
        <v>151</v>
      </c>
      <c r="I416" s="5">
        <v>97.998999999999995</v>
      </c>
      <c r="J416" s="5">
        <v>53.103000000000002</v>
      </c>
      <c r="K416" s="5">
        <v>169.042</v>
      </c>
      <c r="L416" s="5">
        <v>85.802000000000007</v>
      </c>
      <c r="M416" s="5">
        <v>142.84</v>
      </c>
      <c r="N416" s="5">
        <v>209.90299999999999</v>
      </c>
      <c r="O416" s="5">
        <v>144.15199999999999</v>
      </c>
      <c r="P416" s="5">
        <v>67.308999999999997</v>
      </c>
      <c r="Q416" s="5">
        <v>75.391999999999996</v>
      </c>
      <c r="R416" s="5">
        <v>7.4219999999999997</v>
      </c>
      <c r="S416" s="5">
        <v>6.95</v>
      </c>
      <c r="T416" s="5">
        <v>8.4139999999999997</v>
      </c>
      <c r="U416" s="5">
        <v>6.5220000000000002</v>
      </c>
      <c r="V416" s="5">
        <v>29.274000000000001</v>
      </c>
      <c r="W416" s="5">
        <v>10.558999999999999</v>
      </c>
      <c r="X416" s="5">
        <v>11.375</v>
      </c>
      <c r="Y416" s="5">
        <v>0.875</v>
      </c>
      <c r="Z416" s="5">
        <v>124.881</v>
      </c>
      <c r="AA416" s="5">
        <v>128.77199999999999</v>
      </c>
      <c r="AB416" s="5">
        <v>77.484999999999999</v>
      </c>
      <c r="AC416" s="5">
        <v>28.707000000000001</v>
      </c>
      <c r="AD416" s="5">
        <v>27.442</v>
      </c>
      <c r="AE416" s="5">
        <v>35.572000000000003</v>
      </c>
      <c r="AF416" s="5">
        <v>169.94200000000001</v>
      </c>
      <c r="AG416" s="5">
        <v>146.506</v>
      </c>
      <c r="AH416" s="5">
        <v>144.77600000000001</v>
      </c>
      <c r="AI416" s="5">
        <v>157.21899999999999</v>
      </c>
      <c r="AJ416" s="5">
        <v>7.9</v>
      </c>
      <c r="AK416" s="5">
        <v>28.349</v>
      </c>
      <c r="AL416" s="5">
        <v>127.524</v>
      </c>
      <c r="AM416" s="5">
        <v>60.183999999999997</v>
      </c>
      <c r="AN416" s="5">
        <v>479.43299999999999</v>
      </c>
      <c r="AO416" s="5">
        <v>186.667</v>
      </c>
      <c r="AP416" s="5">
        <v>182.553</v>
      </c>
      <c r="AQ416" s="5">
        <v>25.204999999999998</v>
      </c>
      <c r="AR416" s="5">
        <v>36.505000000000003</v>
      </c>
      <c r="AS416" s="5">
        <v>7.452</v>
      </c>
      <c r="AT416" s="5">
        <v>7.452</v>
      </c>
    </row>
    <row r="417" spans="1:46" x14ac:dyDescent="0.25">
      <c r="A417" s="4" t="s">
        <v>197</v>
      </c>
      <c r="B417" s="4" t="s">
        <v>207</v>
      </c>
      <c r="C417" s="4" t="s">
        <v>246</v>
      </c>
      <c r="D417" s="4" t="s">
        <v>254</v>
      </c>
      <c r="E417" s="4" t="s">
        <v>258</v>
      </c>
      <c r="F417" s="4" t="s">
        <v>195</v>
      </c>
      <c r="G417" s="4" t="s">
        <v>93</v>
      </c>
      <c r="H417" s="4" t="s">
        <v>205</v>
      </c>
      <c r="I417" s="6">
        <v>27348.962</v>
      </c>
      <c r="J417" s="6">
        <v>14911.121999999999</v>
      </c>
      <c r="K417" s="6">
        <v>42441.385000000002</v>
      </c>
      <c r="L417" s="6">
        <v>25553.760999999999</v>
      </c>
      <c r="M417" s="6">
        <v>39173.644999999997</v>
      </c>
      <c r="N417" s="6">
        <v>57911.788999999997</v>
      </c>
      <c r="O417" s="6">
        <v>41660.256999999998</v>
      </c>
      <c r="P417" s="6">
        <v>14270.106</v>
      </c>
      <c r="Q417" s="6">
        <v>16683.749</v>
      </c>
      <c r="R417" s="6">
        <v>1113.2570000000001</v>
      </c>
      <c r="S417" s="6">
        <v>1042.549</v>
      </c>
      <c r="T417" s="6">
        <v>1411.0740000000001</v>
      </c>
      <c r="U417" s="6">
        <v>978.298</v>
      </c>
      <c r="V417" s="6">
        <v>4391.0280000000002</v>
      </c>
      <c r="W417" s="6">
        <v>3283.973</v>
      </c>
      <c r="X417" s="6">
        <v>3276.0129999999999</v>
      </c>
      <c r="Y417" s="6">
        <v>251.98699999999999</v>
      </c>
      <c r="Z417" s="6">
        <v>20286.793000000001</v>
      </c>
      <c r="AA417" s="6">
        <v>23976.963</v>
      </c>
      <c r="AB417" s="6">
        <v>13738.227000000001</v>
      </c>
      <c r="AC417" s="6">
        <v>5019.3419999999996</v>
      </c>
      <c r="AD417" s="6">
        <v>4914.7280000000001</v>
      </c>
      <c r="AE417" s="6">
        <v>5864.866</v>
      </c>
      <c r="AF417" s="6">
        <v>32317.429</v>
      </c>
      <c r="AG417" s="6">
        <v>27611.532999999999</v>
      </c>
      <c r="AH417" s="6">
        <v>27125.634999999998</v>
      </c>
      <c r="AI417" s="6">
        <v>33681.572999999997</v>
      </c>
      <c r="AJ417" s="6">
        <v>2144.723</v>
      </c>
      <c r="AK417" s="6">
        <v>7800.9390000000003</v>
      </c>
      <c r="AL417" s="6">
        <v>34582.192000000003</v>
      </c>
      <c r="AM417" s="6">
        <v>16125.447</v>
      </c>
      <c r="AN417" s="6">
        <v>117634.281</v>
      </c>
      <c r="AO417" s="6">
        <v>54814.063999999998</v>
      </c>
      <c r="AP417" s="6">
        <v>53785.472000000002</v>
      </c>
      <c r="AQ417" s="6">
        <v>5313.6260000000002</v>
      </c>
      <c r="AR417" s="6">
        <v>9325.7029999999995</v>
      </c>
      <c r="AS417" s="6">
        <v>2322.0279999999998</v>
      </c>
      <c r="AT417" s="6">
        <v>2322.0279999999998</v>
      </c>
    </row>
    <row r="418" spans="1:46" x14ac:dyDescent="0.25">
      <c r="A418" s="4" t="s">
        <v>197</v>
      </c>
      <c r="B418" s="4" t="s">
        <v>207</v>
      </c>
      <c r="C418" s="4" t="s">
        <v>246</v>
      </c>
      <c r="D418" s="4" t="s">
        <v>254</v>
      </c>
      <c r="E418" s="4" t="s">
        <v>258</v>
      </c>
      <c r="F418" s="4" t="s">
        <v>195</v>
      </c>
      <c r="G418" s="4" t="s">
        <v>93</v>
      </c>
      <c r="H418" s="4" t="s">
        <v>249</v>
      </c>
      <c r="I418" s="7">
        <v>0.59799999999999998</v>
      </c>
      <c r="J418" s="7">
        <v>0.29299999999999998</v>
      </c>
      <c r="K418" s="7">
        <v>0.72199999999999998</v>
      </c>
      <c r="L418" s="7">
        <v>0.27200000000000002</v>
      </c>
      <c r="M418" s="7">
        <v>0.39900000000000002</v>
      </c>
      <c r="N418" s="7">
        <v>0.58499999999999996</v>
      </c>
      <c r="O418" s="7">
        <v>0.42199999999999999</v>
      </c>
      <c r="P418" s="7">
        <v>0.26</v>
      </c>
      <c r="Q418" s="7">
        <v>0.31900000000000001</v>
      </c>
      <c r="R418" s="7">
        <v>0.04</v>
      </c>
      <c r="S418" s="7">
        <v>4.3999999999999997E-2</v>
      </c>
      <c r="T418" s="7">
        <v>5.6000000000000001E-2</v>
      </c>
      <c r="U418" s="7">
        <v>4.2999999999999997E-2</v>
      </c>
      <c r="V418" s="7">
        <v>0.188</v>
      </c>
      <c r="W418" s="7">
        <v>5.8000000000000003E-2</v>
      </c>
      <c r="X418" s="7">
        <v>0.05</v>
      </c>
      <c r="Y418" s="7">
        <v>4.0000000000000001E-3</v>
      </c>
      <c r="Z418" s="7">
        <v>0.52300000000000002</v>
      </c>
      <c r="AA418" s="7">
        <v>0.53200000000000003</v>
      </c>
      <c r="AB418" s="7">
        <v>0.34799999999999998</v>
      </c>
      <c r="AC418" s="7">
        <v>0.14699999999999999</v>
      </c>
      <c r="AD418" s="7">
        <v>0.16200000000000001</v>
      </c>
      <c r="AE418" s="7">
        <v>0.251</v>
      </c>
      <c r="AF418" s="7">
        <v>1.3720000000000001</v>
      </c>
      <c r="AG418" s="7">
        <v>1.0549999999999999</v>
      </c>
      <c r="AH418" s="7">
        <v>0.86699999999999999</v>
      </c>
      <c r="AI418" s="7">
        <v>0.80900000000000005</v>
      </c>
      <c r="AJ418" s="7">
        <v>3.1E-2</v>
      </c>
      <c r="AK418" s="7">
        <v>9.5000000000000001E-2</v>
      </c>
      <c r="AL418" s="7">
        <v>0.38700000000000001</v>
      </c>
      <c r="AM418" s="7">
        <v>0.157</v>
      </c>
      <c r="AN418" s="7">
        <v>1.1819999999999999</v>
      </c>
      <c r="AO418" s="7">
        <v>0.54900000000000004</v>
      </c>
      <c r="AP418" s="7">
        <v>0.71399999999999997</v>
      </c>
      <c r="AQ418" s="7">
        <v>0.14199999999999999</v>
      </c>
      <c r="AR418" s="7">
        <v>0.32100000000000001</v>
      </c>
      <c r="AS418" s="7">
        <v>9.8000000000000004E-2</v>
      </c>
      <c r="AT418" s="7">
        <v>1.2999999999999999E-2</v>
      </c>
    </row>
    <row r="419" spans="1:46" x14ac:dyDescent="0.25">
      <c r="A419" s="4" t="s">
        <v>197</v>
      </c>
      <c r="B419" s="4" t="s">
        <v>207</v>
      </c>
      <c r="C419" s="4" t="s">
        <v>246</v>
      </c>
      <c r="D419" s="4" t="s">
        <v>254</v>
      </c>
      <c r="E419" s="4" t="s">
        <v>258</v>
      </c>
      <c r="F419" s="4" t="s">
        <v>195</v>
      </c>
      <c r="G419" s="4" t="s">
        <v>93</v>
      </c>
      <c r="H419" s="4" t="s">
        <v>250</v>
      </c>
      <c r="I419" s="7">
        <v>14.925000000000001</v>
      </c>
      <c r="J419" s="7">
        <v>10.801</v>
      </c>
      <c r="K419" s="7">
        <v>13.554</v>
      </c>
      <c r="L419" s="7">
        <v>15.497999999999999</v>
      </c>
      <c r="M419" s="7">
        <v>14.378</v>
      </c>
      <c r="N419" s="7">
        <v>14.906000000000001</v>
      </c>
      <c r="O419" s="7">
        <v>16.466999999999999</v>
      </c>
      <c r="P419" s="7">
        <v>11.906000000000001</v>
      </c>
      <c r="Q419" s="7">
        <v>11.891999999999999</v>
      </c>
      <c r="R419" s="7">
        <v>0.48599999999999999</v>
      </c>
      <c r="S419" s="7">
        <v>0.55000000000000004</v>
      </c>
      <c r="T419" s="7">
        <v>0.26900000000000002</v>
      </c>
      <c r="U419" s="7">
        <v>0.28799999999999998</v>
      </c>
      <c r="V419" s="7">
        <v>1.056</v>
      </c>
      <c r="W419" s="7">
        <v>0.42599999999999999</v>
      </c>
      <c r="X419" s="7">
        <v>1.04</v>
      </c>
      <c r="Y419" s="7">
        <v>1.1890000000000001</v>
      </c>
      <c r="Z419" s="7">
        <v>2.5760000000000001</v>
      </c>
      <c r="AA419" s="7">
        <v>3.819</v>
      </c>
      <c r="AB419" s="7">
        <v>1.806</v>
      </c>
      <c r="AC419" s="7">
        <v>1.6679999999999999</v>
      </c>
      <c r="AD419" s="7">
        <v>1.4950000000000001</v>
      </c>
      <c r="AE419" s="7">
        <v>17.004000000000001</v>
      </c>
      <c r="AF419" s="7">
        <v>19.286000000000001</v>
      </c>
      <c r="AG419" s="7">
        <v>16.27</v>
      </c>
      <c r="AH419" s="7">
        <v>11.618</v>
      </c>
      <c r="AI419" s="7">
        <v>9.2769999999999992</v>
      </c>
      <c r="AJ419" s="7">
        <v>7.7519999999999998</v>
      </c>
      <c r="AK419" s="7">
        <v>9.15</v>
      </c>
      <c r="AL419" s="7">
        <v>14.067</v>
      </c>
      <c r="AM419" s="7">
        <v>15.327</v>
      </c>
      <c r="AN419" s="7">
        <v>18.265000000000001</v>
      </c>
      <c r="AO419" s="7">
        <v>16.154</v>
      </c>
      <c r="AP419" s="7">
        <v>14.943</v>
      </c>
      <c r="AQ419" s="7">
        <v>14.379</v>
      </c>
      <c r="AR419" s="7">
        <v>15.205</v>
      </c>
      <c r="AS419" s="7">
        <v>22.260999999999999</v>
      </c>
      <c r="AT419" s="5">
        <v>495.68099999999998</v>
      </c>
    </row>
    <row r="420" spans="1:46" x14ac:dyDescent="0.25">
      <c r="A420" s="4" t="s">
        <v>197</v>
      </c>
      <c r="B420" s="4" t="s">
        <v>207</v>
      </c>
      <c r="C420" s="4" t="s">
        <v>246</v>
      </c>
      <c r="D420" s="4" t="s">
        <v>254</v>
      </c>
      <c r="E420" s="4" t="s">
        <v>258</v>
      </c>
      <c r="F420" s="4" t="s">
        <v>195</v>
      </c>
      <c r="G420" s="4" t="s">
        <v>93</v>
      </c>
      <c r="H420" s="4" t="s">
        <v>251</v>
      </c>
      <c r="I420" s="7">
        <v>0.26682099999999997</v>
      </c>
      <c r="J420" s="7">
        <v>0.33173639999999999</v>
      </c>
      <c r="K420" s="7">
        <v>0.33169880000000002</v>
      </c>
      <c r="L420" s="7">
        <v>0.54521609999999998</v>
      </c>
      <c r="M420" s="7">
        <v>0.54497209999999996</v>
      </c>
      <c r="N420" s="7">
        <v>0.54497189999999995</v>
      </c>
      <c r="O420" s="7">
        <v>0.54497169999999995</v>
      </c>
      <c r="P420" s="7">
        <v>0.54497150000000005</v>
      </c>
      <c r="Q420" s="7">
        <v>0.5618455</v>
      </c>
      <c r="R420" s="7">
        <v>6.0607500000000002E-2</v>
      </c>
      <c r="S420" s="7">
        <v>6.0599899999999998E-2</v>
      </c>
      <c r="T420" s="7">
        <v>6.9227999999999998E-2</v>
      </c>
      <c r="U420" s="7">
        <v>6.0577800000000001E-2</v>
      </c>
      <c r="V420" s="7">
        <v>7.5730000000000006E-2</v>
      </c>
      <c r="W420" s="7">
        <v>0.2155405</v>
      </c>
      <c r="X420" s="7">
        <v>0.1081708</v>
      </c>
      <c r="Y420" s="7">
        <v>0.2601077</v>
      </c>
      <c r="Z420" s="7">
        <v>0.4212071</v>
      </c>
      <c r="AA420" s="7">
        <v>1.766797</v>
      </c>
      <c r="AB420" s="7">
        <v>1.7402823999999999</v>
      </c>
      <c r="AC420" s="7">
        <v>1.9291037</v>
      </c>
      <c r="AD420" s="7">
        <v>1.8797609</v>
      </c>
      <c r="AE420" s="7">
        <v>1.4674210000000001</v>
      </c>
      <c r="AF420" s="7">
        <v>1.3602961</v>
      </c>
      <c r="AG420" s="7">
        <v>1.4015036999999999</v>
      </c>
      <c r="AH420" s="7">
        <v>1.1816768</v>
      </c>
      <c r="AI420" s="7">
        <v>0.98994839999999995</v>
      </c>
      <c r="AJ420" s="7">
        <v>0.82152080000000005</v>
      </c>
      <c r="AK420" s="7">
        <v>1.1245970000000001</v>
      </c>
      <c r="AL420" s="7">
        <v>1.4566828000000001</v>
      </c>
      <c r="AM420" s="7">
        <v>1.4756562</v>
      </c>
      <c r="AN420" s="7">
        <v>1.4731452</v>
      </c>
      <c r="AO420" s="7">
        <v>1.5367226</v>
      </c>
      <c r="AP420" s="7">
        <v>1.4513502</v>
      </c>
      <c r="AQ420" s="7">
        <v>1.2146804</v>
      </c>
      <c r="AR420" s="7">
        <v>1.4786919000000001</v>
      </c>
      <c r="AS420" s="7">
        <v>1.2393604</v>
      </c>
      <c r="AT420" s="7">
        <v>22.260999999999999</v>
      </c>
    </row>
    <row r="421" spans="1:46" x14ac:dyDescent="0.25">
      <c r="A421" s="4" t="s">
        <v>197</v>
      </c>
      <c r="B421" s="4" t="s">
        <v>207</v>
      </c>
      <c r="C421" s="4" t="s">
        <v>246</v>
      </c>
      <c r="D421" s="4" t="s">
        <v>254</v>
      </c>
      <c r="E421" s="4" t="s">
        <v>258</v>
      </c>
      <c r="F421" s="4" t="s">
        <v>195</v>
      </c>
      <c r="G421" s="4" t="s">
        <v>93</v>
      </c>
      <c r="H421" s="4" t="s">
        <v>252</v>
      </c>
      <c r="I421" s="16">
        <v>0.20399999999999999</v>
      </c>
      <c r="J421" s="16">
        <v>0.218</v>
      </c>
      <c r="K421" s="17">
        <v>0</v>
      </c>
      <c r="L421" s="16">
        <v>0.186</v>
      </c>
      <c r="M421" s="16">
        <v>0.1</v>
      </c>
      <c r="N421" s="16">
        <v>0.10299999999999999</v>
      </c>
      <c r="O421" s="16">
        <v>3.6999999999999998E-2</v>
      </c>
      <c r="P421" s="16">
        <v>7.8E-2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6">
        <v>0.114</v>
      </c>
      <c r="W421" s="16">
        <v>0.75900000000000001</v>
      </c>
      <c r="X421" s="16">
        <v>0.79500000000000004</v>
      </c>
      <c r="Y421" s="16">
        <v>0.83499999999999996</v>
      </c>
      <c r="Z421" s="16">
        <v>0.52100000000000002</v>
      </c>
      <c r="AA421" s="16">
        <v>0.46100000000000002</v>
      </c>
      <c r="AB421" s="16">
        <v>0.41499999999999998</v>
      </c>
      <c r="AC421" s="16">
        <v>0.33600000000000002</v>
      </c>
      <c r="AD421" s="16">
        <v>0.28000000000000003</v>
      </c>
      <c r="AE421" s="16">
        <v>0.36199999999999999</v>
      </c>
      <c r="AF421" s="16">
        <v>0.63500000000000001</v>
      </c>
      <c r="AG421" s="16">
        <v>0.65100000000000002</v>
      </c>
      <c r="AH421" s="16">
        <v>0.54100000000000004</v>
      </c>
      <c r="AI421" s="16">
        <v>0.47899999999999998</v>
      </c>
      <c r="AJ421" s="16">
        <v>0.44500000000000001</v>
      </c>
      <c r="AK421" s="16">
        <v>0.40699999999999997</v>
      </c>
      <c r="AL421" s="16">
        <v>0.46400000000000002</v>
      </c>
      <c r="AM421" s="16">
        <v>0.50700000000000001</v>
      </c>
      <c r="AN421" s="16">
        <v>1.0569999999999999</v>
      </c>
      <c r="AO421" s="16">
        <v>1.2310000000000001</v>
      </c>
      <c r="AP421" s="16">
        <v>1.258</v>
      </c>
      <c r="AQ421" s="16">
        <v>1.323</v>
      </c>
      <c r="AR421" s="16">
        <v>1.5089999999999999</v>
      </c>
      <c r="AS421" s="16">
        <v>1.2350000000000001</v>
      </c>
      <c r="AT421" s="7">
        <v>1.2393604</v>
      </c>
    </row>
    <row r="422" spans="1:46" x14ac:dyDescent="0.25">
      <c r="A422" s="4" t="s">
        <v>197</v>
      </c>
      <c r="B422" s="4" t="s">
        <v>207</v>
      </c>
      <c r="C422" s="4" t="s">
        <v>246</v>
      </c>
      <c r="D422" s="4" t="s">
        <v>259</v>
      </c>
      <c r="E422" s="4" t="s">
        <v>248</v>
      </c>
      <c r="F422" s="4" t="s">
        <v>203</v>
      </c>
      <c r="G422" s="4" t="s">
        <v>93</v>
      </c>
      <c r="H422" s="4" t="s">
        <v>151</v>
      </c>
      <c r="I422" s="5">
        <v>751.83500000000004</v>
      </c>
      <c r="J422" s="5">
        <v>1494.4190000000001</v>
      </c>
      <c r="K422" s="5">
        <v>1896.6579999999999</v>
      </c>
      <c r="L422" s="5">
        <v>2505.9409999999998</v>
      </c>
      <c r="M422" s="5">
        <v>2549.0430000000001</v>
      </c>
      <c r="N422" s="5">
        <v>2693.4250000000002</v>
      </c>
      <c r="O422" s="5">
        <v>2035.979</v>
      </c>
      <c r="P422" s="5">
        <v>1641.3710000000001</v>
      </c>
      <c r="Q422" s="5">
        <v>1557.008</v>
      </c>
      <c r="R422" s="5">
        <v>1035.2070000000001</v>
      </c>
      <c r="S422" s="5">
        <v>941.55200000000002</v>
      </c>
      <c r="T422" s="5">
        <v>978.27700000000004</v>
      </c>
      <c r="U422" s="5">
        <v>926.67700000000002</v>
      </c>
      <c r="V422" s="5">
        <v>1356.308</v>
      </c>
      <c r="W422" s="5">
        <v>1207.8420000000001</v>
      </c>
      <c r="X422" s="5">
        <v>1608.6420000000001</v>
      </c>
      <c r="Y422" s="5">
        <v>1339.404</v>
      </c>
      <c r="Z422" s="5">
        <v>1313.8630000000001</v>
      </c>
      <c r="AA422" s="5">
        <v>1361.864</v>
      </c>
      <c r="AB422" s="5">
        <v>1154.431</v>
      </c>
      <c r="AC422" s="5">
        <v>1693.05</v>
      </c>
      <c r="AD422" s="5">
        <v>2045.0830000000001</v>
      </c>
      <c r="AE422" s="5">
        <v>1712.1120000000001</v>
      </c>
      <c r="AF422" s="5">
        <v>1274.1130000000001</v>
      </c>
      <c r="AG422" s="5">
        <v>1474.943</v>
      </c>
      <c r="AH422" s="5">
        <v>1171.03</v>
      </c>
      <c r="AI422" s="5">
        <v>1149.3430000000001</v>
      </c>
      <c r="AJ422" s="5">
        <v>1510.6279999999999</v>
      </c>
      <c r="AK422" s="5">
        <v>1828.3520000000001</v>
      </c>
      <c r="AL422" s="5">
        <v>1947.1279999999999</v>
      </c>
      <c r="AM422" s="5">
        <v>2777.953</v>
      </c>
      <c r="AN422" s="5">
        <v>2703.37</v>
      </c>
      <c r="AO422" s="5">
        <v>2289.7779999999998</v>
      </c>
      <c r="AP422" s="5">
        <v>2848.7339999999999</v>
      </c>
      <c r="AQ422" s="5">
        <v>2068.1959999999999</v>
      </c>
      <c r="AR422" s="5">
        <v>929.36599999999999</v>
      </c>
      <c r="AS422" s="5">
        <v>73.156000000000006</v>
      </c>
      <c r="AT422" s="5">
        <v>73.156000000000006</v>
      </c>
    </row>
    <row r="423" spans="1:46" x14ac:dyDescent="0.25">
      <c r="A423" s="4" t="s">
        <v>197</v>
      </c>
      <c r="B423" s="4" t="s">
        <v>207</v>
      </c>
      <c r="C423" s="4" t="s">
        <v>246</v>
      </c>
      <c r="D423" s="4" t="s">
        <v>259</v>
      </c>
      <c r="E423" s="4" t="s">
        <v>248</v>
      </c>
      <c r="F423" s="4" t="s">
        <v>203</v>
      </c>
      <c r="G423" s="4" t="s">
        <v>93</v>
      </c>
      <c r="H423" s="4" t="s">
        <v>205</v>
      </c>
      <c r="I423" s="6">
        <v>70252.111000000004</v>
      </c>
      <c r="J423" s="6">
        <v>138493.33799999999</v>
      </c>
      <c r="K423" s="6">
        <v>170569.08799999999</v>
      </c>
      <c r="L423" s="6">
        <v>226826.87599999999</v>
      </c>
      <c r="M423" s="6">
        <v>232545.101</v>
      </c>
      <c r="N423" s="6">
        <v>264121.58399999997</v>
      </c>
      <c r="O423" s="6">
        <v>190616.14799999999</v>
      </c>
      <c r="P423" s="6">
        <v>153298.31299999999</v>
      </c>
      <c r="Q423" s="6">
        <v>149508.01500000001</v>
      </c>
      <c r="R423" s="6">
        <v>100350.92600000001</v>
      </c>
      <c r="S423" s="6">
        <v>94394.572</v>
      </c>
      <c r="T423" s="6">
        <v>98976.786999999997</v>
      </c>
      <c r="U423" s="6">
        <v>86556.69</v>
      </c>
      <c r="V423" s="6">
        <v>135008.79399999999</v>
      </c>
      <c r="W423" s="6">
        <v>124209.442</v>
      </c>
      <c r="X423" s="6">
        <v>155106.69899999999</v>
      </c>
      <c r="Y423" s="6">
        <v>125706.565</v>
      </c>
      <c r="Z423" s="6">
        <v>133670.15900000001</v>
      </c>
      <c r="AA423" s="6">
        <v>141668.04</v>
      </c>
      <c r="AB423" s="6">
        <v>128779.769</v>
      </c>
      <c r="AC423" s="6">
        <v>189466.47099999999</v>
      </c>
      <c r="AD423" s="6">
        <v>213690.81299999999</v>
      </c>
      <c r="AE423" s="6">
        <v>173628.45499999999</v>
      </c>
      <c r="AF423" s="6">
        <v>134389.927</v>
      </c>
      <c r="AG423" s="6">
        <v>155700.45699999999</v>
      </c>
      <c r="AH423" s="6">
        <v>114838.92200000001</v>
      </c>
      <c r="AI423" s="6">
        <v>146284.53899999999</v>
      </c>
      <c r="AJ423" s="6">
        <v>195436.79699999999</v>
      </c>
      <c r="AK423" s="6">
        <v>215715.21599999999</v>
      </c>
      <c r="AL423" s="6">
        <v>235490.20800000001</v>
      </c>
      <c r="AM423" s="6">
        <v>321449.34600000002</v>
      </c>
      <c r="AN423" s="6">
        <v>303458.25599999999</v>
      </c>
      <c r="AO423" s="6">
        <v>273920.70400000003</v>
      </c>
      <c r="AP423" s="6">
        <v>312369.63699999999</v>
      </c>
      <c r="AQ423" s="6">
        <v>227615.467</v>
      </c>
      <c r="AR423" s="6">
        <v>99246.891000000003</v>
      </c>
      <c r="AS423" s="6">
        <v>7354.4750000000004</v>
      </c>
      <c r="AT423" s="6">
        <v>7354.4750000000004</v>
      </c>
    </row>
    <row r="424" spans="1:46" x14ac:dyDescent="0.25">
      <c r="A424" s="4" t="s">
        <v>197</v>
      </c>
      <c r="B424" s="4" t="s">
        <v>207</v>
      </c>
      <c r="C424" s="4" t="s">
        <v>246</v>
      </c>
      <c r="D424" s="4" t="s">
        <v>259</v>
      </c>
      <c r="E424" s="4" t="s">
        <v>248</v>
      </c>
      <c r="F424" s="4" t="s">
        <v>203</v>
      </c>
      <c r="G424" s="4" t="s">
        <v>93</v>
      </c>
      <c r="H424" s="4" t="s">
        <v>249</v>
      </c>
      <c r="I424" s="7">
        <v>3.82</v>
      </c>
      <c r="J424" s="7">
        <v>6.8929999999999998</v>
      </c>
      <c r="K424" s="7">
        <v>6.8010000000000002</v>
      </c>
      <c r="L424" s="7">
        <v>6.6130000000000004</v>
      </c>
      <c r="M424" s="7">
        <v>6.1079999999999997</v>
      </c>
      <c r="N424" s="7">
        <v>6.2679999999999998</v>
      </c>
      <c r="O424" s="7">
        <v>4.9720000000000004</v>
      </c>
      <c r="P424" s="7">
        <v>5.35</v>
      </c>
      <c r="Q424" s="7">
        <v>5.55</v>
      </c>
      <c r="R424" s="7">
        <v>4.7279999999999998</v>
      </c>
      <c r="S424" s="7">
        <v>4.9859999999999998</v>
      </c>
      <c r="T424" s="7">
        <v>5.4219999999999997</v>
      </c>
      <c r="U424" s="7">
        <v>5.2309999999999999</v>
      </c>
      <c r="V424" s="7">
        <v>7.24</v>
      </c>
      <c r="W424" s="7">
        <v>5.5060000000000002</v>
      </c>
      <c r="X424" s="7">
        <v>5.8879999999999999</v>
      </c>
      <c r="Y424" s="7">
        <v>4.5810000000000004</v>
      </c>
      <c r="Z424" s="7">
        <v>4.6749999999999998</v>
      </c>
      <c r="AA424" s="7">
        <v>4.7300000000000004</v>
      </c>
      <c r="AB424" s="7">
        <v>4.3239999999999998</v>
      </c>
      <c r="AC424" s="7">
        <v>7.2210000000000001</v>
      </c>
      <c r="AD424" s="7">
        <v>10.141999999999999</v>
      </c>
      <c r="AE424" s="7">
        <v>10.086</v>
      </c>
      <c r="AF424" s="7">
        <v>8.5739999999999998</v>
      </c>
      <c r="AG424" s="7">
        <v>8.9550000000000001</v>
      </c>
      <c r="AH424" s="7">
        <v>5.8410000000000002</v>
      </c>
      <c r="AI424" s="7">
        <v>5.0220000000000002</v>
      </c>
      <c r="AJ424" s="7">
        <v>5.0279999999999996</v>
      </c>
      <c r="AK424" s="7">
        <v>5.3659999999999997</v>
      </c>
      <c r="AL424" s="7">
        <v>5.1449999999999996</v>
      </c>
      <c r="AM424" s="7">
        <v>6.27</v>
      </c>
      <c r="AN424" s="7">
        <v>5.8520000000000003</v>
      </c>
      <c r="AO424" s="7">
        <v>5.8860000000000001</v>
      </c>
      <c r="AP424" s="7">
        <v>9.6059999999999999</v>
      </c>
      <c r="AQ424" s="7">
        <v>9.9469999999999992</v>
      </c>
      <c r="AR424" s="7">
        <v>6.806</v>
      </c>
      <c r="AS424" s="7">
        <v>0.8</v>
      </c>
      <c r="AT424" s="7">
        <v>0.126</v>
      </c>
    </row>
    <row r="425" spans="1:46" x14ac:dyDescent="0.25">
      <c r="A425" s="4" t="s">
        <v>197</v>
      </c>
      <c r="B425" s="4" t="s">
        <v>207</v>
      </c>
      <c r="C425" s="4" t="s">
        <v>246</v>
      </c>
      <c r="D425" s="4" t="s">
        <v>259</v>
      </c>
      <c r="E425" s="4" t="s">
        <v>248</v>
      </c>
      <c r="F425" s="4" t="s">
        <v>203</v>
      </c>
      <c r="G425" s="4" t="s">
        <v>93</v>
      </c>
      <c r="H425" s="4" t="s">
        <v>250</v>
      </c>
      <c r="I425" s="7">
        <v>61.383000000000003</v>
      </c>
      <c r="J425" s="7">
        <v>60.241999999999997</v>
      </c>
      <c r="K425" s="7">
        <v>57.17</v>
      </c>
      <c r="L425" s="7">
        <v>50.209000000000003</v>
      </c>
      <c r="M425" s="7">
        <v>50.304000000000002</v>
      </c>
      <c r="N425" s="7">
        <v>50.451000000000001</v>
      </c>
      <c r="O425" s="7">
        <v>46.874000000000002</v>
      </c>
      <c r="P425" s="7">
        <v>49.259</v>
      </c>
      <c r="Q425" s="7">
        <v>56.104999999999997</v>
      </c>
      <c r="R425" s="7">
        <v>47.945</v>
      </c>
      <c r="S425" s="7">
        <v>44.563000000000002</v>
      </c>
      <c r="T425" s="7">
        <v>56.792000000000002</v>
      </c>
      <c r="U425" s="7">
        <v>53.384</v>
      </c>
      <c r="V425" s="7">
        <v>70.096999999999994</v>
      </c>
      <c r="W425" s="7">
        <v>61.314</v>
      </c>
      <c r="X425" s="7">
        <v>53.268000000000001</v>
      </c>
      <c r="Y425" s="7">
        <v>46.302999999999997</v>
      </c>
      <c r="Z425" s="7">
        <v>44.725999999999999</v>
      </c>
      <c r="AA425" s="7">
        <v>44.389000000000003</v>
      </c>
      <c r="AB425" s="7">
        <v>46.107999999999997</v>
      </c>
      <c r="AC425" s="7">
        <v>52.597999999999999</v>
      </c>
      <c r="AD425" s="7">
        <v>58.101999999999997</v>
      </c>
      <c r="AE425" s="7">
        <v>60.829000000000001</v>
      </c>
      <c r="AF425" s="7">
        <v>56.665999999999997</v>
      </c>
      <c r="AG425" s="7">
        <v>59.795000000000002</v>
      </c>
      <c r="AH425" s="7">
        <v>61.009</v>
      </c>
      <c r="AI425" s="7">
        <v>29.79</v>
      </c>
      <c r="AJ425" s="7">
        <v>43.125</v>
      </c>
      <c r="AK425" s="7">
        <v>34.134999999999998</v>
      </c>
      <c r="AL425" s="7">
        <v>33.374000000000002</v>
      </c>
      <c r="AM425" s="7">
        <v>30.547000000000001</v>
      </c>
      <c r="AN425" s="7">
        <v>31.143000000000001</v>
      </c>
      <c r="AO425" s="7">
        <v>33.534999999999997</v>
      </c>
      <c r="AP425" s="7">
        <v>35.92</v>
      </c>
      <c r="AQ425" s="7">
        <v>40.802999999999997</v>
      </c>
      <c r="AR425" s="7">
        <v>41.616</v>
      </c>
      <c r="AS425" s="7">
        <v>46.615000000000002</v>
      </c>
      <c r="AT425" s="5">
        <v>1102</v>
      </c>
    </row>
    <row r="426" spans="1:46" x14ac:dyDescent="0.25">
      <c r="A426" s="4" t="s">
        <v>197</v>
      </c>
      <c r="B426" s="4" t="s">
        <v>207</v>
      </c>
      <c r="C426" s="4" t="s">
        <v>246</v>
      </c>
      <c r="D426" s="4" t="s">
        <v>259</v>
      </c>
      <c r="E426" s="4" t="s">
        <v>248</v>
      </c>
      <c r="F426" s="4" t="s">
        <v>203</v>
      </c>
      <c r="G426" s="4" t="s">
        <v>93</v>
      </c>
      <c r="H426" s="4" t="s">
        <v>251</v>
      </c>
      <c r="I426" s="7">
        <v>9.9535359999999997</v>
      </c>
      <c r="J426" s="7">
        <v>9.9986625999999994</v>
      </c>
      <c r="K426" s="7">
        <v>11.9894506</v>
      </c>
      <c r="L426" s="7">
        <v>14.566373499999999</v>
      </c>
      <c r="M426" s="7">
        <v>15.338308700000001</v>
      </c>
      <c r="N426" s="7">
        <v>13.1924881</v>
      </c>
      <c r="O426" s="7">
        <v>12.258977</v>
      </c>
      <c r="P426" s="7">
        <v>11.5391472</v>
      </c>
      <c r="Q426" s="7">
        <v>10.5976882</v>
      </c>
      <c r="R426" s="7">
        <v>9.7263806000000006</v>
      </c>
      <c r="S426" s="7">
        <v>10.054784700000001</v>
      </c>
      <c r="T426" s="7">
        <v>9.6705158000000004</v>
      </c>
      <c r="U426" s="7">
        <v>8.0670199999999994</v>
      </c>
      <c r="V426" s="7">
        <v>10.5666005</v>
      </c>
      <c r="W426" s="7">
        <v>9.0472142000000009</v>
      </c>
      <c r="X426" s="7">
        <v>11.7222189</v>
      </c>
      <c r="Y426" s="7">
        <v>13.072461000000001</v>
      </c>
      <c r="Z426" s="7">
        <v>11.707225599999999</v>
      </c>
      <c r="AA426" s="7">
        <v>10.432181999999999</v>
      </c>
      <c r="AB426" s="7">
        <v>9.9080092999999998</v>
      </c>
      <c r="AC426" s="7">
        <v>11.493509100000001</v>
      </c>
      <c r="AD426" s="7">
        <v>11.0305453</v>
      </c>
      <c r="AE426" s="7">
        <v>10.2234467</v>
      </c>
      <c r="AF426" s="7">
        <v>10.072478500000001</v>
      </c>
      <c r="AG426" s="7">
        <v>10.245939999999999</v>
      </c>
      <c r="AH426" s="7">
        <v>10.326825100000001</v>
      </c>
      <c r="AI426" s="7">
        <v>8.7013770000000008</v>
      </c>
      <c r="AJ426" s="7">
        <v>8.5421203999999999</v>
      </c>
      <c r="AK426" s="7">
        <v>10.0797016</v>
      </c>
      <c r="AL426" s="7">
        <v>9.8697116000000005</v>
      </c>
      <c r="AM426" s="7">
        <v>11.3737742</v>
      </c>
      <c r="AN426" s="7">
        <v>10.2814953</v>
      </c>
      <c r="AO426" s="7">
        <v>10.357623200000001</v>
      </c>
      <c r="AP426" s="7">
        <v>10.9868968</v>
      </c>
      <c r="AQ426" s="7">
        <v>9.4621408000000002</v>
      </c>
      <c r="AR426" s="7">
        <v>6.1266343000000001</v>
      </c>
      <c r="AS426" s="7">
        <v>5.9063999000000003</v>
      </c>
      <c r="AT426" s="7">
        <v>46.615000000000002</v>
      </c>
    </row>
    <row r="427" spans="1:46" x14ac:dyDescent="0.25">
      <c r="A427" s="4" t="s">
        <v>197</v>
      </c>
      <c r="B427" s="4" t="s">
        <v>207</v>
      </c>
      <c r="C427" s="4" t="s">
        <v>246</v>
      </c>
      <c r="D427" s="4" t="s">
        <v>259</v>
      </c>
      <c r="E427" s="4" t="s">
        <v>248</v>
      </c>
      <c r="F427" s="4" t="s">
        <v>203</v>
      </c>
      <c r="G427" s="4" t="s">
        <v>93</v>
      </c>
      <c r="H427" s="4" t="s">
        <v>252</v>
      </c>
      <c r="I427" s="16">
        <v>4.282</v>
      </c>
      <c r="J427" s="16">
        <v>4.2469999999999999</v>
      </c>
      <c r="K427" s="16">
        <v>5.077</v>
      </c>
      <c r="L427" s="16">
        <v>6.0780000000000003</v>
      </c>
      <c r="M427" s="16">
        <v>5.093</v>
      </c>
      <c r="N427" s="16">
        <v>5.2850000000000001</v>
      </c>
      <c r="O427" s="16">
        <v>3.3450000000000002</v>
      </c>
      <c r="P427" s="16">
        <v>3.5979999999999999</v>
      </c>
      <c r="Q427" s="16">
        <v>4.3109999999999999</v>
      </c>
      <c r="R427" s="16">
        <v>4.0199999999999996</v>
      </c>
      <c r="S427" s="16">
        <v>3.891</v>
      </c>
      <c r="T427" s="16">
        <v>3.6419999999999999</v>
      </c>
      <c r="U427" s="16">
        <v>3.145</v>
      </c>
      <c r="V427" s="16">
        <v>5.8979999999999997</v>
      </c>
      <c r="W427" s="16">
        <v>5.6859999999999999</v>
      </c>
      <c r="X427" s="16">
        <v>4.6749999999999998</v>
      </c>
      <c r="Y427" s="16">
        <v>4.4089999999999998</v>
      </c>
      <c r="Z427" s="16">
        <v>3.26</v>
      </c>
      <c r="AA427" s="16">
        <v>2.8980000000000001</v>
      </c>
      <c r="AB427" s="16">
        <v>4.8899999999999997</v>
      </c>
      <c r="AC427" s="16">
        <v>7.4989999999999997</v>
      </c>
      <c r="AD427" s="16">
        <v>4.5570000000000004</v>
      </c>
      <c r="AE427" s="16">
        <v>4.5140000000000002</v>
      </c>
      <c r="AF427" s="16">
        <v>4.16</v>
      </c>
      <c r="AG427" s="16">
        <v>3.0750000000000002</v>
      </c>
      <c r="AH427" s="16">
        <v>2.484</v>
      </c>
      <c r="AI427" s="16">
        <v>3.0659999999999998</v>
      </c>
      <c r="AJ427" s="16">
        <v>5.7039999999999997</v>
      </c>
      <c r="AK427" s="16">
        <v>6.3179999999999996</v>
      </c>
      <c r="AL427" s="16">
        <v>6.3869999999999996</v>
      </c>
      <c r="AM427" s="16">
        <v>5.8419999999999996</v>
      </c>
      <c r="AN427" s="16">
        <v>5.3179999999999996</v>
      </c>
      <c r="AO427" s="16">
        <v>4.6109999999999998</v>
      </c>
      <c r="AP427" s="16">
        <v>4.3140000000000001</v>
      </c>
      <c r="AQ427" s="16">
        <v>3.7250000000000001</v>
      </c>
      <c r="AR427" s="16">
        <v>3.157</v>
      </c>
      <c r="AS427" s="16">
        <v>2.746</v>
      </c>
      <c r="AT427" s="7">
        <v>5.9063999000000003</v>
      </c>
    </row>
    <row r="428" spans="1:46" x14ac:dyDescent="0.25">
      <c r="A428" s="4" t="s">
        <v>197</v>
      </c>
      <c r="B428" s="4" t="s">
        <v>207</v>
      </c>
      <c r="C428" s="4" t="s">
        <v>246</v>
      </c>
      <c r="D428" s="4" t="s">
        <v>259</v>
      </c>
      <c r="E428" s="4" t="s">
        <v>248</v>
      </c>
      <c r="F428" s="4" t="s">
        <v>201</v>
      </c>
      <c r="G428" s="4" t="s">
        <v>93</v>
      </c>
      <c r="H428" s="4" t="s">
        <v>151</v>
      </c>
      <c r="I428" s="5">
        <v>1046.5409999999999</v>
      </c>
      <c r="J428" s="5">
        <v>1730.865</v>
      </c>
      <c r="K428" s="5">
        <v>1595.037</v>
      </c>
      <c r="L428" s="5">
        <v>1816.982</v>
      </c>
      <c r="M428" s="5">
        <v>1913.193</v>
      </c>
      <c r="N428" s="5">
        <v>2450.4369999999999</v>
      </c>
      <c r="O428" s="5">
        <v>2633.9879999999998</v>
      </c>
      <c r="P428" s="5">
        <v>2414.5189999999998</v>
      </c>
      <c r="Q428" s="5">
        <v>2228.1170000000002</v>
      </c>
      <c r="R428" s="5">
        <v>1745.953</v>
      </c>
      <c r="S428" s="5">
        <v>1350.72</v>
      </c>
      <c r="T428" s="5">
        <v>1285.146</v>
      </c>
      <c r="U428" s="5">
        <v>1218.652</v>
      </c>
      <c r="V428" s="5">
        <v>1219.7719999999999</v>
      </c>
      <c r="W428" s="5">
        <v>1752.306</v>
      </c>
      <c r="X428" s="5">
        <v>2441.77</v>
      </c>
      <c r="Y428" s="5">
        <v>3413.1410000000001</v>
      </c>
      <c r="Z428" s="5">
        <v>2987.1419999999998</v>
      </c>
      <c r="AA428" s="5">
        <v>2543.172</v>
      </c>
      <c r="AB428" s="5">
        <v>2437.2170000000001</v>
      </c>
      <c r="AC428" s="5">
        <v>1964.933</v>
      </c>
      <c r="AD428" s="5">
        <v>1291.4849999999999</v>
      </c>
      <c r="AE428" s="5">
        <v>1056.6389999999999</v>
      </c>
      <c r="AF428" s="5">
        <v>904.11699999999996</v>
      </c>
      <c r="AG428" s="5">
        <v>957.28599999999994</v>
      </c>
      <c r="AH428" s="5">
        <v>1026.277</v>
      </c>
      <c r="AI428" s="5">
        <v>1156.5740000000001</v>
      </c>
      <c r="AJ428" s="5">
        <v>1749.9570000000001</v>
      </c>
      <c r="AK428" s="5">
        <v>1510.05</v>
      </c>
      <c r="AL428" s="5">
        <v>1748.681</v>
      </c>
      <c r="AM428" s="5">
        <v>1703.0450000000001</v>
      </c>
      <c r="AN428" s="5">
        <v>2040.32</v>
      </c>
      <c r="AO428" s="5">
        <v>2077.076</v>
      </c>
      <c r="AP428" s="5">
        <v>1317.434</v>
      </c>
      <c r="AQ428" s="5">
        <v>986.34299999999996</v>
      </c>
      <c r="AR428" s="5">
        <v>637.30999999999995</v>
      </c>
      <c r="AS428" s="5">
        <v>384.54700000000003</v>
      </c>
      <c r="AT428" s="5">
        <v>562.93100000000004</v>
      </c>
    </row>
    <row r="429" spans="1:46" x14ac:dyDescent="0.25">
      <c r="A429" s="4" t="s">
        <v>197</v>
      </c>
      <c r="B429" s="4" t="s">
        <v>207</v>
      </c>
      <c r="C429" s="4" t="s">
        <v>246</v>
      </c>
      <c r="D429" s="4" t="s">
        <v>259</v>
      </c>
      <c r="E429" s="4" t="s">
        <v>248</v>
      </c>
      <c r="F429" s="4" t="s">
        <v>201</v>
      </c>
      <c r="G429" s="4" t="s">
        <v>93</v>
      </c>
      <c r="H429" s="4" t="s">
        <v>205</v>
      </c>
      <c r="I429" s="6">
        <v>170133.13</v>
      </c>
      <c r="J429" s="6">
        <v>266900.64799999999</v>
      </c>
      <c r="K429" s="6">
        <v>233631.11900000001</v>
      </c>
      <c r="L429" s="6">
        <v>239870.65599999999</v>
      </c>
      <c r="M429" s="6">
        <v>250134.55300000001</v>
      </c>
      <c r="N429" s="6">
        <v>322808.78000000003</v>
      </c>
      <c r="O429" s="6">
        <v>367936.64199999999</v>
      </c>
      <c r="P429" s="6">
        <v>335200.68800000002</v>
      </c>
      <c r="Q429" s="6">
        <v>302689.90100000001</v>
      </c>
      <c r="R429" s="6">
        <v>215550.09099999999</v>
      </c>
      <c r="S429" s="6">
        <v>159331.05300000001</v>
      </c>
      <c r="T429" s="6">
        <v>152062.29500000001</v>
      </c>
      <c r="U429" s="6">
        <v>140297.60200000001</v>
      </c>
      <c r="V429" s="6">
        <v>156197.83900000001</v>
      </c>
      <c r="W429" s="6">
        <v>227858.73300000001</v>
      </c>
      <c r="X429" s="6">
        <v>350781.09</v>
      </c>
      <c r="Y429" s="6">
        <v>486768.12800000003</v>
      </c>
      <c r="Z429" s="6">
        <v>419025.315</v>
      </c>
      <c r="AA429" s="6">
        <v>363047.75799999997</v>
      </c>
      <c r="AB429" s="6">
        <v>330443.033</v>
      </c>
      <c r="AC429" s="6">
        <v>260779.829</v>
      </c>
      <c r="AD429" s="6">
        <v>176381.53200000001</v>
      </c>
      <c r="AE429" s="6">
        <v>135538.86900000001</v>
      </c>
      <c r="AF429" s="6">
        <v>114813.315</v>
      </c>
      <c r="AG429" s="6">
        <v>145758.397</v>
      </c>
      <c r="AH429" s="6">
        <v>131469.872</v>
      </c>
      <c r="AI429" s="6">
        <v>150781.53200000001</v>
      </c>
      <c r="AJ429" s="6">
        <v>234277.011</v>
      </c>
      <c r="AK429" s="6">
        <v>225985.99100000001</v>
      </c>
      <c r="AL429" s="6">
        <v>258699.69899999999</v>
      </c>
      <c r="AM429" s="6">
        <v>262176.08</v>
      </c>
      <c r="AN429" s="6">
        <v>327895.48200000002</v>
      </c>
      <c r="AO429" s="6">
        <v>339100.82400000002</v>
      </c>
      <c r="AP429" s="6">
        <v>245021.709</v>
      </c>
      <c r="AQ429" s="6">
        <v>194782.054</v>
      </c>
      <c r="AR429" s="6">
        <v>141314.04</v>
      </c>
      <c r="AS429" s="6">
        <v>85919.376999999993</v>
      </c>
      <c r="AT429" s="6">
        <v>85919.376999999993</v>
      </c>
    </row>
    <row r="430" spans="1:46" x14ac:dyDescent="0.25">
      <c r="A430" s="4" t="s">
        <v>197</v>
      </c>
      <c r="B430" s="4" t="s">
        <v>207</v>
      </c>
      <c r="C430" s="4" t="s">
        <v>246</v>
      </c>
      <c r="D430" s="4" t="s">
        <v>259</v>
      </c>
      <c r="E430" s="4" t="s">
        <v>248</v>
      </c>
      <c r="F430" s="4" t="s">
        <v>201</v>
      </c>
      <c r="G430" s="4" t="s">
        <v>93</v>
      </c>
      <c r="H430" s="4" t="s">
        <v>249</v>
      </c>
      <c r="I430" s="7">
        <v>6.3819999999999997</v>
      </c>
      <c r="J430" s="7">
        <v>9.5630000000000006</v>
      </c>
      <c r="K430" s="7">
        <v>6.8120000000000003</v>
      </c>
      <c r="L430" s="7">
        <v>5.7530000000000001</v>
      </c>
      <c r="M430" s="7">
        <v>5.3380000000000001</v>
      </c>
      <c r="N430" s="7">
        <v>6.83</v>
      </c>
      <c r="O430" s="7">
        <v>7.7190000000000003</v>
      </c>
      <c r="P430" s="7">
        <v>9.3330000000000002</v>
      </c>
      <c r="Q430" s="7">
        <v>9.4390000000000001</v>
      </c>
      <c r="R430" s="7">
        <v>9.4939999999999998</v>
      </c>
      <c r="S430" s="7">
        <v>8.4870000000000001</v>
      </c>
      <c r="T430" s="7">
        <v>8.548</v>
      </c>
      <c r="U430" s="7">
        <v>8.0649999999999995</v>
      </c>
      <c r="V430" s="7">
        <v>7.8140000000000001</v>
      </c>
      <c r="W430" s="7">
        <v>9.5860000000000003</v>
      </c>
      <c r="X430" s="7">
        <v>10.64</v>
      </c>
      <c r="Y430" s="7">
        <v>14.007999999999999</v>
      </c>
      <c r="Z430" s="7">
        <v>12.521000000000001</v>
      </c>
      <c r="AA430" s="7">
        <v>10.51</v>
      </c>
      <c r="AB430" s="7">
        <v>10.954000000000001</v>
      </c>
      <c r="AC430" s="7">
        <v>10.057</v>
      </c>
      <c r="AD430" s="7">
        <v>7.6310000000000002</v>
      </c>
      <c r="AE430" s="7">
        <v>7.4690000000000003</v>
      </c>
      <c r="AF430" s="7">
        <v>7.3010000000000002</v>
      </c>
      <c r="AG430" s="7">
        <v>6.891</v>
      </c>
      <c r="AH430" s="7">
        <v>6.1429999999999998</v>
      </c>
      <c r="AI430" s="7">
        <v>5.95</v>
      </c>
      <c r="AJ430" s="7">
        <v>6.7859999999999996</v>
      </c>
      <c r="AK430" s="7">
        <v>5.0570000000000004</v>
      </c>
      <c r="AL430" s="7">
        <v>5.3049999999999997</v>
      </c>
      <c r="AM430" s="7">
        <v>4.4359999999999999</v>
      </c>
      <c r="AN430" s="7">
        <v>5.0289999999999999</v>
      </c>
      <c r="AO430" s="7">
        <v>6.1109999999999998</v>
      </c>
      <c r="AP430" s="7">
        <v>5.1529999999999996</v>
      </c>
      <c r="AQ430" s="7">
        <v>5.5469999999999997</v>
      </c>
      <c r="AR430" s="7">
        <v>5.601</v>
      </c>
      <c r="AS430" s="7">
        <v>5.048</v>
      </c>
      <c r="AT430" s="7">
        <v>0.97199999999999998</v>
      </c>
    </row>
    <row r="431" spans="1:46" x14ac:dyDescent="0.25">
      <c r="A431" s="4" t="s">
        <v>197</v>
      </c>
      <c r="B431" s="4" t="s">
        <v>207</v>
      </c>
      <c r="C431" s="4" t="s">
        <v>246</v>
      </c>
      <c r="D431" s="4" t="s">
        <v>259</v>
      </c>
      <c r="E431" s="4" t="s">
        <v>248</v>
      </c>
      <c r="F431" s="4" t="s">
        <v>201</v>
      </c>
      <c r="G431" s="4" t="s">
        <v>93</v>
      </c>
      <c r="H431" s="4" t="s">
        <v>250</v>
      </c>
      <c r="I431" s="7">
        <v>70.878</v>
      </c>
      <c r="J431" s="7">
        <v>66.537999999999997</v>
      </c>
      <c r="K431" s="7">
        <v>59.963999999999999</v>
      </c>
      <c r="L431" s="7">
        <v>57.151000000000003</v>
      </c>
      <c r="M431" s="7">
        <v>46.777999999999999</v>
      </c>
      <c r="N431" s="7">
        <v>53.48</v>
      </c>
      <c r="O431" s="7">
        <v>53.04</v>
      </c>
      <c r="P431" s="7">
        <v>58.018000000000001</v>
      </c>
      <c r="Q431" s="7">
        <v>63.957000000000001</v>
      </c>
      <c r="R431" s="7">
        <v>37.963999999999999</v>
      </c>
      <c r="S431" s="7">
        <v>46.231999999999999</v>
      </c>
      <c r="T431" s="7">
        <v>48.448999999999998</v>
      </c>
      <c r="U431" s="7">
        <v>41.002000000000002</v>
      </c>
      <c r="V431" s="7">
        <v>42.555</v>
      </c>
      <c r="W431" s="7">
        <v>42.743000000000002</v>
      </c>
      <c r="X431" s="7">
        <v>60.887999999999998</v>
      </c>
      <c r="Y431" s="7">
        <v>50.94</v>
      </c>
      <c r="Z431" s="7">
        <v>45.844999999999999</v>
      </c>
      <c r="AA431" s="7">
        <v>50.238</v>
      </c>
      <c r="AB431" s="7">
        <v>48.097999999999999</v>
      </c>
      <c r="AC431" s="7">
        <v>54.716000000000001</v>
      </c>
      <c r="AD431" s="7">
        <v>54.779000000000003</v>
      </c>
      <c r="AE431" s="7">
        <v>57.006999999999998</v>
      </c>
      <c r="AF431" s="7">
        <v>57.244</v>
      </c>
      <c r="AG431" s="7">
        <v>59.232999999999997</v>
      </c>
      <c r="AH431" s="7">
        <v>58.372999999999998</v>
      </c>
      <c r="AI431" s="7">
        <v>47.256999999999998</v>
      </c>
      <c r="AJ431" s="7">
        <v>45.435000000000002</v>
      </c>
      <c r="AK431" s="7">
        <v>45.298000000000002</v>
      </c>
      <c r="AL431" s="7">
        <v>45.726999999999997</v>
      </c>
      <c r="AM431" s="7">
        <v>47.04</v>
      </c>
      <c r="AN431" s="7">
        <v>44.447000000000003</v>
      </c>
      <c r="AO431" s="7">
        <v>43.192999999999998</v>
      </c>
      <c r="AP431" s="7">
        <v>32.83</v>
      </c>
      <c r="AQ431" s="7">
        <v>33.700000000000003</v>
      </c>
      <c r="AR431" s="7">
        <v>24.896000000000001</v>
      </c>
      <c r="AS431" s="7">
        <v>35.637999999999998</v>
      </c>
      <c r="AT431" s="5">
        <v>1275.885</v>
      </c>
    </row>
    <row r="432" spans="1:46" x14ac:dyDescent="0.25">
      <c r="A432" s="4" t="s">
        <v>197</v>
      </c>
      <c r="B432" s="4" t="s">
        <v>207</v>
      </c>
      <c r="C432" s="4" t="s">
        <v>246</v>
      </c>
      <c r="D432" s="4" t="s">
        <v>259</v>
      </c>
      <c r="E432" s="4" t="s">
        <v>248</v>
      </c>
      <c r="F432" s="4" t="s">
        <v>201</v>
      </c>
      <c r="G432" s="4" t="s">
        <v>93</v>
      </c>
      <c r="H432" s="4" t="s">
        <v>251</v>
      </c>
      <c r="I432" s="7">
        <v>8.3105337000000006</v>
      </c>
      <c r="J432" s="7">
        <v>7.8989336000000003</v>
      </c>
      <c r="K432" s="7">
        <v>9.9103253000000002</v>
      </c>
      <c r="L432" s="7">
        <v>10.850020900000001</v>
      </c>
      <c r="M432" s="7">
        <v>9.5153280999999996</v>
      </c>
      <c r="N432" s="7">
        <v>10.7005117</v>
      </c>
      <c r="O432" s="7">
        <v>10.9453874</v>
      </c>
      <c r="P432" s="7">
        <v>10.339101599999999</v>
      </c>
      <c r="Q432" s="7">
        <v>10.7634559</v>
      </c>
      <c r="R432" s="7">
        <v>7.2511713999999996</v>
      </c>
      <c r="S432" s="7">
        <v>8.3572062000000003</v>
      </c>
      <c r="T432" s="7">
        <v>8.4967041999999999</v>
      </c>
      <c r="U432" s="7">
        <v>7.5830498999999998</v>
      </c>
      <c r="V432" s="7">
        <v>6.6925663000000002</v>
      </c>
      <c r="W432" s="7">
        <v>8.1149257000000006</v>
      </c>
      <c r="X432" s="7">
        <v>11.252955200000001</v>
      </c>
      <c r="Y432" s="7">
        <v>10.456844</v>
      </c>
      <c r="Z432" s="7">
        <v>9.3277745999999997</v>
      </c>
      <c r="AA432" s="7">
        <v>8.9211790000000004</v>
      </c>
      <c r="AB432" s="7">
        <v>8.9636852999999999</v>
      </c>
      <c r="AC432" s="7">
        <v>9.0025308000000006</v>
      </c>
      <c r="AD432" s="7">
        <v>6.5282292999999996</v>
      </c>
      <c r="AE432" s="7">
        <v>4.6802036999999999</v>
      </c>
      <c r="AF432" s="7">
        <v>6.0997227000000001</v>
      </c>
      <c r="AG432" s="7">
        <v>6.2383990999999996</v>
      </c>
      <c r="AH432" s="7">
        <v>5.2336647999999997</v>
      </c>
      <c r="AI432" s="7">
        <v>5.3563295000000002</v>
      </c>
      <c r="AJ432" s="7">
        <v>6.1530215000000004</v>
      </c>
      <c r="AK432" s="7">
        <v>7.5744702000000004</v>
      </c>
      <c r="AL432" s="7">
        <v>8.2174636999999997</v>
      </c>
      <c r="AM432" s="7">
        <v>8.2059017999999995</v>
      </c>
      <c r="AN432" s="7">
        <v>8.2310116999999998</v>
      </c>
      <c r="AO432" s="7">
        <v>9.7522123000000001</v>
      </c>
      <c r="AP432" s="7">
        <v>8.3293313999999992</v>
      </c>
      <c r="AQ432" s="7">
        <v>8.3970637999999997</v>
      </c>
      <c r="AR432" s="7">
        <v>7.7786312000000004</v>
      </c>
      <c r="AS432" s="7">
        <v>8.1480250999999999</v>
      </c>
      <c r="AT432" s="7">
        <v>35.637999999999998</v>
      </c>
    </row>
    <row r="433" spans="1:46" x14ac:dyDescent="0.25">
      <c r="A433" s="4" t="s">
        <v>197</v>
      </c>
      <c r="B433" s="4" t="s">
        <v>207</v>
      </c>
      <c r="C433" s="4" t="s">
        <v>246</v>
      </c>
      <c r="D433" s="4" t="s">
        <v>259</v>
      </c>
      <c r="E433" s="4" t="s">
        <v>248</v>
      </c>
      <c r="F433" s="4" t="s">
        <v>201</v>
      </c>
      <c r="G433" s="4" t="s">
        <v>93</v>
      </c>
      <c r="H433" s="4" t="s">
        <v>252</v>
      </c>
      <c r="I433" s="16">
        <v>3.8730000000000002</v>
      </c>
      <c r="J433" s="16">
        <v>2.923</v>
      </c>
      <c r="K433" s="16">
        <v>4.9329999999999998</v>
      </c>
      <c r="L433" s="16">
        <v>3.3170000000000002</v>
      </c>
      <c r="M433" s="16">
        <v>3.3090000000000002</v>
      </c>
      <c r="N433" s="16">
        <v>3.8969999999999998</v>
      </c>
      <c r="O433" s="16">
        <v>3.0219999999999998</v>
      </c>
      <c r="P433" s="16">
        <v>3.0619999999999998</v>
      </c>
      <c r="Q433" s="16">
        <v>2.87</v>
      </c>
      <c r="R433" s="16">
        <v>3.6760000000000002</v>
      </c>
      <c r="S433" s="16">
        <v>3.468</v>
      </c>
      <c r="T433" s="16">
        <v>3.149</v>
      </c>
      <c r="U433" s="16">
        <v>2.6459999999999999</v>
      </c>
      <c r="V433" s="16">
        <v>2.2719999999999998</v>
      </c>
      <c r="W433" s="16">
        <v>3.3759999999999999</v>
      </c>
      <c r="X433" s="16">
        <v>3.4929999999999999</v>
      </c>
      <c r="Y433" s="16">
        <v>5.3239999999999998</v>
      </c>
      <c r="Z433" s="16">
        <v>2.734</v>
      </c>
      <c r="AA433" s="16">
        <v>3.4390000000000001</v>
      </c>
      <c r="AB433" s="16">
        <v>2.5329999999999999</v>
      </c>
      <c r="AC433" s="16">
        <v>2.5859999999999999</v>
      </c>
      <c r="AD433" s="16">
        <v>2.4830000000000001</v>
      </c>
      <c r="AE433" s="16">
        <v>2.2250000000000001</v>
      </c>
      <c r="AF433" s="16">
        <v>3.3420000000000001</v>
      </c>
      <c r="AG433" s="16">
        <v>3.0609999999999999</v>
      </c>
      <c r="AH433" s="16">
        <v>2.379</v>
      </c>
      <c r="AI433" s="16">
        <v>2.31</v>
      </c>
      <c r="AJ433" s="16">
        <v>1.7629999999999999</v>
      </c>
      <c r="AK433" s="16">
        <v>2.2999999999999998</v>
      </c>
      <c r="AL433" s="16">
        <v>2.9769999999999999</v>
      </c>
      <c r="AM433" s="16">
        <v>4.048</v>
      </c>
      <c r="AN433" s="16">
        <v>3.03</v>
      </c>
      <c r="AO433" s="16">
        <v>2.44</v>
      </c>
      <c r="AP433" s="16">
        <v>3.2949999999999999</v>
      </c>
      <c r="AQ433" s="16">
        <v>3.6059999999999999</v>
      </c>
      <c r="AR433" s="16">
        <v>2.4630000000000001</v>
      </c>
      <c r="AS433" s="16">
        <v>2.1560000000000001</v>
      </c>
      <c r="AT433" s="7">
        <v>8.1480250999999999</v>
      </c>
    </row>
    <row r="434" spans="1:46" x14ac:dyDescent="0.25">
      <c r="A434" s="4" t="s">
        <v>197</v>
      </c>
      <c r="B434" s="4" t="s">
        <v>207</v>
      </c>
      <c r="C434" s="4" t="s">
        <v>246</v>
      </c>
      <c r="D434" s="4" t="s">
        <v>259</v>
      </c>
      <c r="E434" s="4" t="s">
        <v>248</v>
      </c>
      <c r="F434" s="4" t="s">
        <v>195</v>
      </c>
      <c r="G434" s="4" t="s">
        <v>93</v>
      </c>
      <c r="H434" s="4" t="s">
        <v>151</v>
      </c>
      <c r="I434" s="5">
        <v>1894.04</v>
      </c>
      <c r="J434" s="5">
        <v>2065.7469999999998</v>
      </c>
      <c r="K434" s="5">
        <v>2724.3229999999999</v>
      </c>
      <c r="L434" s="5">
        <v>4294.7240000000002</v>
      </c>
      <c r="M434" s="5">
        <v>5468.3909999999996</v>
      </c>
      <c r="N434" s="5">
        <v>4963.0569999999998</v>
      </c>
      <c r="O434" s="5">
        <v>4623.4520000000002</v>
      </c>
      <c r="P434" s="5">
        <v>2699.518</v>
      </c>
      <c r="Q434" s="5">
        <v>2222.7530000000002</v>
      </c>
      <c r="R434" s="5">
        <v>1705.9169999999999</v>
      </c>
      <c r="S434" s="5">
        <v>1436.519</v>
      </c>
      <c r="T434" s="5">
        <v>1366.547</v>
      </c>
      <c r="U434" s="5">
        <v>1071.0150000000001</v>
      </c>
      <c r="V434" s="5">
        <v>1010.309</v>
      </c>
      <c r="W434" s="5">
        <v>1671.712</v>
      </c>
      <c r="X434" s="5">
        <v>2604.3760000000002</v>
      </c>
      <c r="Y434" s="5">
        <v>3566.0909999999999</v>
      </c>
      <c r="Z434" s="5">
        <v>3674.4670000000001</v>
      </c>
      <c r="AA434" s="5">
        <v>3997.59</v>
      </c>
      <c r="AB434" s="5">
        <v>3650.4259999999999</v>
      </c>
      <c r="AC434" s="5">
        <v>2984.8490000000002</v>
      </c>
      <c r="AD434" s="5">
        <v>2477.9520000000002</v>
      </c>
      <c r="AE434" s="5">
        <v>2425.6260000000002</v>
      </c>
      <c r="AF434" s="5">
        <v>1758.8320000000001</v>
      </c>
      <c r="AG434" s="5">
        <v>1757.268</v>
      </c>
      <c r="AH434" s="5">
        <v>2488.6469999999999</v>
      </c>
      <c r="AI434" s="5">
        <v>2215.8220000000001</v>
      </c>
      <c r="AJ434" s="5">
        <v>3730.2930000000001</v>
      </c>
      <c r="AK434" s="5">
        <v>3221.991</v>
      </c>
      <c r="AL434" s="5">
        <v>3432.3980000000001</v>
      </c>
      <c r="AM434" s="5">
        <v>3152.0630000000001</v>
      </c>
      <c r="AN434" s="5">
        <v>3043.5059999999999</v>
      </c>
      <c r="AO434" s="5">
        <v>2319.7829999999999</v>
      </c>
      <c r="AP434" s="5">
        <v>951.32500000000005</v>
      </c>
      <c r="AQ434" s="5">
        <v>1333.2639999999999</v>
      </c>
      <c r="AR434" s="5">
        <v>616.39800000000002</v>
      </c>
      <c r="AS434" s="5">
        <v>761.67600000000004</v>
      </c>
      <c r="AT434" s="5">
        <v>890.56899999999996</v>
      </c>
    </row>
    <row r="435" spans="1:46" x14ac:dyDescent="0.25">
      <c r="A435" s="4" t="s">
        <v>197</v>
      </c>
      <c r="B435" s="4" t="s">
        <v>207</v>
      </c>
      <c r="C435" s="4" t="s">
        <v>246</v>
      </c>
      <c r="D435" s="4" t="s">
        <v>259</v>
      </c>
      <c r="E435" s="4" t="s">
        <v>248</v>
      </c>
      <c r="F435" s="4" t="s">
        <v>195</v>
      </c>
      <c r="G435" s="4" t="s">
        <v>93</v>
      </c>
      <c r="H435" s="4" t="s">
        <v>205</v>
      </c>
      <c r="I435" s="6">
        <v>384719.92099999997</v>
      </c>
      <c r="J435" s="6">
        <v>408749.25</v>
      </c>
      <c r="K435" s="6">
        <v>552147.53200000001</v>
      </c>
      <c r="L435" s="6">
        <v>845054.32</v>
      </c>
      <c r="M435" s="6">
        <v>1093675.31</v>
      </c>
      <c r="N435" s="6">
        <v>990786.79</v>
      </c>
      <c r="O435" s="6">
        <v>942116.53</v>
      </c>
      <c r="P435" s="6">
        <v>521223.23100000003</v>
      </c>
      <c r="Q435" s="6">
        <v>445038.136</v>
      </c>
      <c r="R435" s="6">
        <v>350693.17700000003</v>
      </c>
      <c r="S435" s="6">
        <v>297464.92099999997</v>
      </c>
      <c r="T435" s="6">
        <v>287190.45</v>
      </c>
      <c r="U435" s="6">
        <v>223087.16800000001</v>
      </c>
      <c r="V435" s="6">
        <v>226039.79500000001</v>
      </c>
      <c r="W435" s="6">
        <v>391778.60700000002</v>
      </c>
      <c r="X435" s="6">
        <v>577455.06299999997</v>
      </c>
      <c r="Y435" s="6">
        <v>748339.04</v>
      </c>
      <c r="Z435" s="6">
        <v>797943.27599999995</v>
      </c>
      <c r="AA435" s="6">
        <v>907900.21799999999</v>
      </c>
      <c r="AB435" s="6">
        <v>860960.81299999997</v>
      </c>
      <c r="AC435" s="6">
        <v>700292.59</v>
      </c>
      <c r="AD435" s="6">
        <v>579236.74800000002</v>
      </c>
      <c r="AE435" s="6">
        <v>567225.42700000003</v>
      </c>
      <c r="AF435" s="6">
        <v>381672.50300000003</v>
      </c>
      <c r="AG435" s="6">
        <v>388772.77500000002</v>
      </c>
      <c r="AH435" s="6">
        <v>536506.40700000001</v>
      </c>
      <c r="AI435" s="6">
        <v>481509.12400000001</v>
      </c>
      <c r="AJ435" s="6">
        <v>805658.57499999995</v>
      </c>
      <c r="AK435" s="6">
        <v>714257.29200000002</v>
      </c>
      <c r="AL435" s="6">
        <v>832422.24699999997</v>
      </c>
      <c r="AM435" s="6">
        <v>754782.15300000005</v>
      </c>
      <c r="AN435" s="6">
        <v>794647.77300000004</v>
      </c>
      <c r="AO435" s="6">
        <v>626912.82400000002</v>
      </c>
      <c r="AP435" s="6">
        <v>246281.90599999999</v>
      </c>
      <c r="AQ435" s="6">
        <v>354163.75300000003</v>
      </c>
      <c r="AR435" s="6">
        <v>160213.88399999999</v>
      </c>
      <c r="AS435" s="6">
        <v>168743.42</v>
      </c>
      <c r="AT435" s="6">
        <v>168743.42</v>
      </c>
    </row>
    <row r="436" spans="1:46" x14ac:dyDescent="0.25">
      <c r="A436" s="4" t="s">
        <v>197</v>
      </c>
      <c r="B436" s="4" t="s">
        <v>207</v>
      </c>
      <c r="C436" s="4" t="s">
        <v>246</v>
      </c>
      <c r="D436" s="4" t="s">
        <v>259</v>
      </c>
      <c r="E436" s="4" t="s">
        <v>248</v>
      </c>
      <c r="F436" s="4" t="s">
        <v>195</v>
      </c>
      <c r="G436" s="4" t="s">
        <v>93</v>
      </c>
      <c r="H436" s="4" t="s">
        <v>249</v>
      </c>
      <c r="I436" s="7">
        <v>11.726000000000001</v>
      </c>
      <c r="J436" s="7">
        <v>11.69</v>
      </c>
      <c r="K436" s="7">
        <v>12.081</v>
      </c>
      <c r="L436" s="7">
        <v>14.334</v>
      </c>
      <c r="M436" s="7">
        <v>15.98</v>
      </c>
      <c r="N436" s="7">
        <v>14.605</v>
      </c>
      <c r="O436" s="7">
        <v>14.387</v>
      </c>
      <c r="P436" s="7">
        <v>10.933</v>
      </c>
      <c r="Q436" s="7">
        <v>9.7330000000000005</v>
      </c>
      <c r="R436" s="7">
        <v>9.6189999999999998</v>
      </c>
      <c r="S436" s="7">
        <v>9.4130000000000003</v>
      </c>
      <c r="T436" s="7">
        <v>9.6080000000000005</v>
      </c>
      <c r="U436" s="7">
        <v>7.4390000000000001</v>
      </c>
      <c r="V436" s="7">
        <v>6.94</v>
      </c>
      <c r="W436" s="7">
        <v>9.8650000000000002</v>
      </c>
      <c r="X436" s="7">
        <v>12.063000000000001</v>
      </c>
      <c r="Y436" s="7">
        <v>15.178000000000001</v>
      </c>
      <c r="Z436" s="7">
        <v>16.216000000000001</v>
      </c>
      <c r="AA436" s="7">
        <v>17.635000000000002</v>
      </c>
      <c r="AB436" s="7">
        <v>17.489000000000001</v>
      </c>
      <c r="AC436" s="7">
        <v>15.757999999999999</v>
      </c>
      <c r="AD436" s="7">
        <v>15.019</v>
      </c>
      <c r="AE436" s="7">
        <v>17.619</v>
      </c>
      <c r="AF436" s="7">
        <v>14.631</v>
      </c>
      <c r="AG436" s="7">
        <v>12.964</v>
      </c>
      <c r="AH436" s="7">
        <v>15.292</v>
      </c>
      <c r="AI436" s="7">
        <v>11.750999999999999</v>
      </c>
      <c r="AJ436" s="7">
        <v>15.026999999999999</v>
      </c>
      <c r="AK436" s="7">
        <v>11.506</v>
      </c>
      <c r="AL436" s="7">
        <v>11.281000000000001</v>
      </c>
      <c r="AM436" s="7">
        <v>8.5670000000000002</v>
      </c>
      <c r="AN436" s="7">
        <v>7.8609999999999998</v>
      </c>
      <c r="AO436" s="7">
        <v>7.1989999999999998</v>
      </c>
      <c r="AP436" s="7">
        <v>4.0030000000000001</v>
      </c>
      <c r="AQ436" s="7">
        <v>7.87</v>
      </c>
      <c r="AR436" s="7">
        <v>5.5209999999999999</v>
      </c>
      <c r="AS436" s="7">
        <v>10.220000000000001</v>
      </c>
      <c r="AT436" s="7">
        <v>1.538</v>
      </c>
    </row>
    <row r="437" spans="1:46" x14ac:dyDescent="0.25">
      <c r="A437" s="4" t="s">
        <v>197</v>
      </c>
      <c r="B437" s="4" t="s">
        <v>207</v>
      </c>
      <c r="C437" s="4" t="s">
        <v>246</v>
      </c>
      <c r="D437" s="4" t="s">
        <v>259</v>
      </c>
      <c r="E437" s="4" t="s">
        <v>248</v>
      </c>
      <c r="F437" s="4" t="s">
        <v>195</v>
      </c>
      <c r="G437" s="4" t="s">
        <v>93</v>
      </c>
      <c r="H437" s="4" t="s">
        <v>250</v>
      </c>
      <c r="I437" s="7">
        <v>59.268999999999998</v>
      </c>
      <c r="J437" s="7">
        <v>60.860999999999997</v>
      </c>
      <c r="K437" s="7">
        <v>79.414000000000001</v>
      </c>
      <c r="L437" s="7">
        <v>76.451999999999998</v>
      </c>
      <c r="M437" s="7">
        <v>77.168999999999997</v>
      </c>
      <c r="N437" s="7">
        <v>76.11</v>
      </c>
      <c r="O437" s="7">
        <v>74.150000000000006</v>
      </c>
      <c r="P437" s="7">
        <v>57.636000000000003</v>
      </c>
      <c r="Q437" s="7">
        <v>56.177</v>
      </c>
      <c r="R437" s="7">
        <v>38.453000000000003</v>
      </c>
      <c r="S437" s="7">
        <v>41.665999999999997</v>
      </c>
      <c r="T437" s="7">
        <v>41.929000000000002</v>
      </c>
      <c r="U437" s="7">
        <v>35.981999999999999</v>
      </c>
      <c r="V437" s="7">
        <v>38.338999999999999</v>
      </c>
      <c r="W437" s="7">
        <v>42.651000000000003</v>
      </c>
      <c r="X437" s="7">
        <v>50.356999999999999</v>
      </c>
      <c r="Y437" s="7">
        <v>52.070999999999998</v>
      </c>
      <c r="Z437" s="7">
        <v>51.283000000000001</v>
      </c>
      <c r="AA437" s="7">
        <v>53.929000000000002</v>
      </c>
      <c r="AB437" s="7">
        <v>64.046000000000006</v>
      </c>
      <c r="AC437" s="7">
        <v>56.722000000000001</v>
      </c>
      <c r="AD437" s="7">
        <v>60.335999999999999</v>
      </c>
      <c r="AE437" s="7">
        <v>69.105000000000004</v>
      </c>
      <c r="AF437" s="7">
        <v>65.599000000000004</v>
      </c>
      <c r="AG437" s="7">
        <v>62.912999999999997</v>
      </c>
      <c r="AH437" s="7">
        <v>63.414000000000001</v>
      </c>
      <c r="AI437" s="7">
        <v>52.097000000000001</v>
      </c>
      <c r="AJ437" s="7">
        <v>59.37</v>
      </c>
      <c r="AK437" s="7">
        <v>59.652000000000001</v>
      </c>
      <c r="AL437" s="7">
        <v>56.524999999999999</v>
      </c>
      <c r="AM437" s="7">
        <v>49.405999999999999</v>
      </c>
      <c r="AN437" s="7">
        <v>54.66</v>
      </c>
      <c r="AO437" s="7">
        <v>54.847999999999999</v>
      </c>
      <c r="AP437" s="7">
        <v>46.747</v>
      </c>
      <c r="AQ437" s="7">
        <v>50.19</v>
      </c>
      <c r="AR437" s="7">
        <v>33.366999999999997</v>
      </c>
      <c r="AS437" s="7">
        <v>47.954999999999998</v>
      </c>
      <c r="AT437" s="5">
        <v>2274.5169999999998</v>
      </c>
    </row>
    <row r="438" spans="1:46" x14ac:dyDescent="0.25">
      <c r="A438" s="4" t="s">
        <v>197</v>
      </c>
      <c r="B438" s="4" t="s">
        <v>207</v>
      </c>
      <c r="C438" s="4" t="s">
        <v>246</v>
      </c>
      <c r="D438" s="4" t="s">
        <v>259</v>
      </c>
      <c r="E438" s="4" t="s">
        <v>248</v>
      </c>
      <c r="F438" s="4" t="s">
        <v>195</v>
      </c>
      <c r="G438" s="4" t="s">
        <v>93</v>
      </c>
      <c r="H438" s="4" t="s">
        <v>251</v>
      </c>
      <c r="I438" s="7">
        <v>9.7058566000000006</v>
      </c>
      <c r="J438" s="7">
        <v>9.7496051000000001</v>
      </c>
      <c r="K438" s="7">
        <v>13.637123799999999</v>
      </c>
      <c r="L438" s="7">
        <v>14.395092500000001</v>
      </c>
      <c r="M438" s="7">
        <v>15.481133</v>
      </c>
      <c r="N438" s="7">
        <v>13.8163886</v>
      </c>
      <c r="O438" s="7">
        <v>13.4638033</v>
      </c>
      <c r="P438" s="7">
        <v>11.363774899999999</v>
      </c>
      <c r="Q438" s="7">
        <v>10.224865299999999</v>
      </c>
      <c r="R438" s="7">
        <v>8.1529406000000009</v>
      </c>
      <c r="S438" s="7">
        <v>7.9614304999999996</v>
      </c>
      <c r="T438" s="7">
        <v>8.7144776000000004</v>
      </c>
      <c r="U438" s="7">
        <v>8.0139562000000009</v>
      </c>
      <c r="V438" s="7">
        <v>9.0971931000000001</v>
      </c>
      <c r="W438" s="7">
        <v>9.9802017000000003</v>
      </c>
      <c r="X438" s="7">
        <v>12.9795526</v>
      </c>
      <c r="Y438" s="7">
        <v>16.163887500000001</v>
      </c>
      <c r="Z438" s="7">
        <v>12.1013676</v>
      </c>
      <c r="AA438" s="7">
        <v>13.1537659</v>
      </c>
      <c r="AB438" s="7">
        <v>15.0559215</v>
      </c>
      <c r="AC438" s="7">
        <v>12.421277099999999</v>
      </c>
      <c r="AD438" s="7">
        <v>13.1583612</v>
      </c>
      <c r="AE438" s="7">
        <v>10.5435616</v>
      </c>
      <c r="AF438" s="7">
        <v>9.5048622999999992</v>
      </c>
      <c r="AG438" s="7">
        <v>10.3009273</v>
      </c>
      <c r="AH438" s="7">
        <v>10.4539008</v>
      </c>
      <c r="AI438" s="7">
        <v>11.3178321</v>
      </c>
      <c r="AJ438" s="7">
        <v>15.243391900000001</v>
      </c>
      <c r="AK438" s="7">
        <v>17.649459499999999</v>
      </c>
      <c r="AL438" s="7">
        <v>16.308989</v>
      </c>
      <c r="AM438" s="7">
        <v>12.945262100000001</v>
      </c>
      <c r="AN438" s="7">
        <v>12.2390474</v>
      </c>
      <c r="AO438" s="7">
        <v>13.0829957</v>
      </c>
      <c r="AP438" s="7">
        <v>13.2669353</v>
      </c>
      <c r="AQ438" s="7">
        <v>13.7156691</v>
      </c>
      <c r="AR438" s="7">
        <v>10.7386347</v>
      </c>
      <c r="AS438" s="7">
        <v>11.2725095</v>
      </c>
      <c r="AT438" s="7">
        <v>47.954999999999998</v>
      </c>
    </row>
    <row r="439" spans="1:46" x14ac:dyDescent="0.25">
      <c r="A439" s="4" t="s">
        <v>197</v>
      </c>
      <c r="B439" s="4" t="s">
        <v>207</v>
      </c>
      <c r="C439" s="4" t="s">
        <v>246</v>
      </c>
      <c r="D439" s="4" t="s">
        <v>259</v>
      </c>
      <c r="E439" s="4" t="s">
        <v>248</v>
      </c>
      <c r="F439" s="4" t="s">
        <v>195</v>
      </c>
      <c r="G439" s="4" t="s">
        <v>93</v>
      </c>
      <c r="H439" s="4" t="s">
        <v>252</v>
      </c>
      <c r="I439" s="16">
        <v>8.7080000000000002</v>
      </c>
      <c r="J439" s="16">
        <v>9.3179999999999996</v>
      </c>
      <c r="K439" s="16">
        <v>9.2739999999999991</v>
      </c>
      <c r="L439" s="16">
        <v>8.9060000000000006</v>
      </c>
      <c r="M439" s="16">
        <v>8.5449999999999999</v>
      </c>
      <c r="N439" s="16">
        <v>5.8490000000000002</v>
      </c>
      <c r="O439" s="16">
        <v>6.0289999999999999</v>
      </c>
      <c r="P439" s="16">
        <v>5.46</v>
      </c>
      <c r="Q439" s="16">
        <v>4.2690000000000001</v>
      </c>
      <c r="R439" s="16">
        <v>5.0110000000000001</v>
      </c>
      <c r="S439" s="16">
        <v>5.21</v>
      </c>
      <c r="T439" s="16">
        <v>5.1230000000000002</v>
      </c>
      <c r="U439" s="16">
        <v>5.3070000000000004</v>
      </c>
      <c r="V439" s="16">
        <v>7.383</v>
      </c>
      <c r="W439" s="16">
        <v>5.1829999999999998</v>
      </c>
      <c r="X439" s="16">
        <v>7.7</v>
      </c>
      <c r="Y439" s="16">
        <v>7.8639999999999999</v>
      </c>
      <c r="Z439" s="16">
        <v>6.5460000000000003</v>
      </c>
      <c r="AA439" s="16">
        <v>6.0419999999999998</v>
      </c>
      <c r="AB439" s="16">
        <v>6.4119999999999999</v>
      </c>
      <c r="AC439" s="16">
        <v>8.3450000000000006</v>
      </c>
      <c r="AD439" s="16">
        <v>6.0449999999999999</v>
      </c>
      <c r="AE439" s="16">
        <v>4.7759999999999998</v>
      </c>
      <c r="AF439" s="16">
        <v>6.1749999999999998</v>
      </c>
      <c r="AG439" s="16">
        <v>5.9770000000000003</v>
      </c>
      <c r="AH439" s="16">
        <v>4.8040000000000003</v>
      </c>
      <c r="AI439" s="16">
        <v>4.9829999999999997</v>
      </c>
      <c r="AJ439" s="16">
        <v>6.31</v>
      </c>
      <c r="AK439" s="16">
        <v>5.3339999999999996</v>
      </c>
      <c r="AL439" s="16">
        <v>4.3250000000000002</v>
      </c>
      <c r="AM439" s="16">
        <v>5.1950000000000003</v>
      </c>
      <c r="AN439" s="16">
        <v>4.8330000000000002</v>
      </c>
      <c r="AO439" s="16">
        <v>4.032</v>
      </c>
      <c r="AP439" s="16">
        <v>5.2320000000000002</v>
      </c>
      <c r="AQ439" s="16">
        <v>5.077</v>
      </c>
      <c r="AR439" s="16">
        <v>5.7930000000000001</v>
      </c>
      <c r="AS439" s="16">
        <v>4.3090000000000002</v>
      </c>
      <c r="AT439" s="7">
        <v>11.2725095</v>
      </c>
    </row>
    <row r="440" spans="1:46" x14ac:dyDescent="0.25">
      <c r="A440" s="4" t="s">
        <v>197</v>
      </c>
      <c r="B440" s="4" t="s">
        <v>207</v>
      </c>
      <c r="C440" s="4" t="s">
        <v>246</v>
      </c>
      <c r="D440" s="4" t="s">
        <v>259</v>
      </c>
      <c r="E440" s="4" t="s">
        <v>248</v>
      </c>
      <c r="F440" s="4" t="s">
        <v>195</v>
      </c>
      <c r="G440" s="4" t="s">
        <v>260</v>
      </c>
      <c r="H440" s="4" t="s">
        <v>151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5">
        <v>78.013999999999996</v>
      </c>
      <c r="O440" s="5">
        <v>56.668999999999997</v>
      </c>
      <c r="P440" s="5">
        <v>51.002000000000002</v>
      </c>
      <c r="Q440" s="5">
        <v>39.607999999999997</v>
      </c>
      <c r="R440" s="5">
        <v>26.917000000000002</v>
      </c>
      <c r="S440" s="5">
        <v>19.225999999999999</v>
      </c>
      <c r="T440" s="5">
        <v>0</v>
      </c>
      <c r="U440" s="5">
        <v>0</v>
      </c>
      <c r="V440" s="5">
        <v>83.046999999999997</v>
      </c>
      <c r="W440" s="5">
        <v>83.046999999999997</v>
      </c>
      <c r="X440" s="5">
        <v>54.095999999999997</v>
      </c>
      <c r="Y440" s="8">
        <v>0</v>
      </c>
      <c r="Z440" s="9">
        <v>0</v>
      </c>
      <c r="AA440" s="5">
        <v>63.156999999999996</v>
      </c>
      <c r="AB440" s="5">
        <v>91.578000000000003</v>
      </c>
      <c r="AC440" s="5">
        <v>66.314999999999998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338.42099999999999</v>
      </c>
      <c r="AN440" s="5">
        <v>173.542</v>
      </c>
      <c r="AO440" s="8">
        <v>0</v>
      </c>
      <c r="AP440" s="9">
        <v>0</v>
      </c>
      <c r="AQ440" s="9">
        <v>0</v>
      </c>
      <c r="AR440" s="9">
        <v>0</v>
      </c>
      <c r="AS440" s="9">
        <v>0</v>
      </c>
      <c r="AT440" s="9">
        <v>0</v>
      </c>
    </row>
    <row r="441" spans="1:46" x14ac:dyDescent="0.25">
      <c r="A441" s="4" t="s">
        <v>197</v>
      </c>
      <c r="B441" s="4" t="s">
        <v>207</v>
      </c>
      <c r="C441" s="4" t="s">
        <v>246</v>
      </c>
      <c r="D441" s="4" t="s">
        <v>259</v>
      </c>
      <c r="E441" s="4" t="s">
        <v>248</v>
      </c>
      <c r="F441" s="4" t="s">
        <v>195</v>
      </c>
      <c r="G441" s="4" t="s">
        <v>260</v>
      </c>
      <c r="H441" s="4" t="s">
        <v>205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6">
        <v>2964.5459999999998</v>
      </c>
      <c r="O441" s="6">
        <v>2153.431</v>
      </c>
      <c r="P441" s="6">
        <v>1938.088</v>
      </c>
      <c r="Q441" s="6">
        <v>1505.115</v>
      </c>
      <c r="R441" s="6">
        <v>1022.836</v>
      </c>
      <c r="S441" s="6">
        <v>730.59699999999998</v>
      </c>
      <c r="T441" s="6">
        <v>0</v>
      </c>
      <c r="U441" s="6">
        <v>0</v>
      </c>
      <c r="V441" s="6">
        <v>3155.7950000000001</v>
      </c>
      <c r="W441" s="6">
        <v>3155.7950000000001</v>
      </c>
      <c r="X441" s="6">
        <v>2055.6610000000001</v>
      </c>
      <c r="Y441" s="10">
        <v>0</v>
      </c>
      <c r="Z441" s="9">
        <v>0</v>
      </c>
      <c r="AA441" s="6">
        <v>6189.4269999999997</v>
      </c>
      <c r="AB441" s="6">
        <v>4335.5069999999996</v>
      </c>
      <c r="AC441" s="6">
        <v>3139.5050000000001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11844.745999999999</v>
      </c>
      <c r="AN441" s="6">
        <v>6073.9849999999997</v>
      </c>
      <c r="AO441" s="10">
        <v>0</v>
      </c>
      <c r="AP441" s="9">
        <v>0</v>
      </c>
      <c r="AQ441" s="9">
        <v>0</v>
      </c>
      <c r="AR441" s="9">
        <v>0</v>
      </c>
      <c r="AS441" s="9">
        <v>0</v>
      </c>
      <c r="AT441" s="9">
        <v>0</v>
      </c>
    </row>
    <row r="442" spans="1:46" x14ac:dyDescent="0.25">
      <c r="A442" s="4" t="s">
        <v>197</v>
      </c>
      <c r="B442" s="4" t="s">
        <v>207</v>
      </c>
      <c r="C442" s="4" t="s">
        <v>246</v>
      </c>
      <c r="D442" s="4" t="s">
        <v>259</v>
      </c>
      <c r="E442" s="4" t="s">
        <v>248</v>
      </c>
      <c r="F442" s="4" t="s">
        <v>195</v>
      </c>
      <c r="G442" s="4" t="s">
        <v>260</v>
      </c>
      <c r="H442" s="4" t="s">
        <v>249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7">
        <v>7.0000000000000001E-3</v>
      </c>
      <c r="O442" s="7">
        <v>6.0000000000000001E-3</v>
      </c>
      <c r="P442" s="7">
        <v>7.0000000000000001E-3</v>
      </c>
      <c r="Q442" s="7">
        <v>6.0000000000000001E-3</v>
      </c>
      <c r="R442" s="7">
        <v>5.0000000000000001E-3</v>
      </c>
      <c r="S442" s="7">
        <v>4.0000000000000001E-3</v>
      </c>
      <c r="T442" s="7">
        <v>0</v>
      </c>
      <c r="U442" s="7">
        <v>0</v>
      </c>
      <c r="V442" s="7">
        <v>1.7999999999999999E-2</v>
      </c>
      <c r="W442" s="7">
        <v>1.4999999999999999E-2</v>
      </c>
      <c r="X442" s="7">
        <v>8.0000000000000002E-3</v>
      </c>
      <c r="Y442" s="11">
        <v>0</v>
      </c>
      <c r="Z442" s="9">
        <v>0</v>
      </c>
      <c r="AA442" s="7">
        <v>8.9999999999999993E-3</v>
      </c>
      <c r="AB442" s="7">
        <v>1.4E-2</v>
      </c>
      <c r="AC442" s="7">
        <v>1.0999999999999999E-2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2.9000000000000001E-2</v>
      </c>
      <c r="AN442" s="7">
        <v>1.4E-2</v>
      </c>
      <c r="AO442" s="11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0</v>
      </c>
    </row>
    <row r="443" spans="1:46" x14ac:dyDescent="0.25">
      <c r="A443" s="4" t="s">
        <v>197</v>
      </c>
      <c r="B443" s="4" t="s">
        <v>207</v>
      </c>
      <c r="C443" s="4" t="s">
        <v>246</v>
      </c>
      <c r="D443" s="4" t="s">
        <v>259</v>
      </c>
      <c r="E443" s="4" t="s">
        <v>248</v>
      </c>
      <c r="F443" s="4" t="s">
        <v>195</v>
      </c>
      <c r="G443" s="4" t="s">
        <v>260</v>
      </c>
      <c r="H443" s="4" t="s">
        <v>250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7">
        <v>2.7589999999999999</v>
      </c>
      <c r="O443" s="7">
        <v>3.5979999999999999</v>
      </c>
      <c r="P443" s="7">
        <v>4.2089999999999996</v>
      </c>
      <c r="Q443" s="7">
        <v>3.1850000000000001</v>
      </c>
      <c r="R443" s="7">
        <v>3.1920000000000002</v>
      </c>
      <c r="S443" s="7">
        <v>2.4569999999999999</v>
      </c>
      <c r="T443" s="7">
        <v>1.891</v>
      </c>
      <c r="U443" s="7">
        <v>3.8620000000000001</v>
      </c>
      <c r="V443" s="7">
        <v>1.41</v>
      </c>
      <c r="W443" s="7">
        <v>9.1999999999999998E-2</v>
      </c>
      <c r="X443" s="7">
        <v>1.5469999999999999</v>
      </c>
      <c r="Y443" s="11">
        <v>0</v>
      </c>
      <c r="Z443" s="9">
        <v>0</v>
      </c>
      <c r="AA443" s="7">
        <v>2.77</v>
      </c>
      <c r="AB443" s="7">
        <v>4.556</v>
      </c>
      <c r="AC443" s="7">
        <v>4.5270000000000001</v>
      </c>
      <c r="AD443" s="7">
        <v>0.75</v>
      </c>
      <c r="AE443" s="7">
        <v>0.93400000000000005</v>
      </c>
      <c r="AF443" s="7">
        <v>3.1840000000000002</v>
      </c>
      <c r="AG443" s="7">
        <v>3.0409999999999999</v>
      </c>
      <c r="AH443" s="7">
        <v>2.1110000000000002</v>
      </c>
      <c r="AI443" s="7">
        <v>3.1629999999999998</v>
      </c>
      <c r="AJ443" s="7">
        <v>2.8180000000000001</v>
      </c>
      <c r="AK443" s="7">
        <v>1.3380000000000001</v>
      </c>
      <c r="AL443" s="7">
        <v>2.3319999999999999</v>
      </c>
      <c r="AM443" s="7">
        <v>4.1550000000000002</v>
      </c>
      <c r="AN443" s="7">
        <v>1.8839999999999999</v>
      </c>
      <c r="AO443" s="11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0</v>
      </c>
    </row>
    <row r="444" spans="1:46" x14ac:dyDescent="0.25">
      <c r="A444" s="4" t="s">
        <v>197</v>
      </c>
      <c r="B444" s="4" t="s">
        <v>207</v>
      </c>
      <c r="C444" s="4" t="s">
        <v>246</v>
      </c>
      <c r="D444" s="4" t="s">
        <v>259</v>
      </c>
      <c r="E444" s="4" t="s">
        <v>248</v>
      </c>
      <c r="F444" s="4" t="s">
        <v>195</v>
      </c>
      <c r="G444" s="4" t="s">
        <v>260</v>
      </c>
      <c r="H444" s="4" t="s">
        <v>251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0.79832610000000004</v>
      </c>
      <c r="O444" s="7">
        <v>0.93138209999999999</v>
      </c>
      <c r="P444" s="7">
        <v>0.93138160000000003</v>
      </c>
      <c r="Q444" s="7">
        <v>1.1501163999999999</v>
      </c>
      <c r="R444" s="7">
        <v>0.98569899999999999</v>
      </c>
      <c r="S444" s="7">
        <v>0.98557609999999995</v>
      </c>
      <c r="T444" s="7">
        <v>0.98530459999999997</v>
      </c>
      <c r="U444" s="7">
        <v>0.98521669999999995</v>
      </c>
      <c r="V444" s="7">
        <v>1.1495470000000001</v>
      </c>
      <c r="W444" s="7">
        <v>1.1495533</v>
      </c>
      <c r="X444" s="7">
        <v>1.2048886999999999</v>
      </c>
      <c r="Y444" s="7">
        <v>0</v>
      </c>
      <c r="Z444" s="9">
        <v>0</v>
      </c>
      <c r="AA444" s="7">
        <v>1.4180679</v>
      </c>
      <c r="AB444" s="7">
        <v>1.2889756999999999</v>
      </c>
      <c r="AC444" s="7">
        <v>1.4180668000000001</v>
      </c>
      <c r="AD444" s="7">
        <v>1.0326506</v>
      </c>
      <c r="AE444" s="7">
        <v>1.0326036000000001</v>
      </c>
      <c r="AF444" s="7">
        <v>1.0976975</v>
      </c>
      <c r="AG444" s="7">
        <v>1.0976979</v>
      </c>
      <c r="AH444" s="7">
        <v>0.96049119999999999</v>
      </c>
      <c r="AI444" s="7">
        <v>0.85362360000000004</v>
      </c>
      <c r="AJ444" s="7">
        <v>0.76820679999999997</v>
      </c>
      <c r="AK444" s="7">
        <v>0.69819109999999995</v>
      </c>
      <c r="AL444" s="7">
        <v>0.76166</v>
      </c>
      <c r="AM444" s="7">
        <v>0.76128070000000003</v>
      </c>
      <c r="AN444" s="7">
        <v>0.76128070000000003</v>
      </c>
      <c r="AO444" s="7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</row>
    <row r="445" spans="1:46" x14ac:dyDescent="0.25">
      <c r="A445" s="4" t="s">
        <v>197</v>
      </c>
      <c r="B445" s="4" t="s">
        <v>207</v>
      </c>
      <c r="C445" s="4" t="s">
        <v>246</v>
      </c>
      <c r="D445" s="4" t="s">
        <v>259</v>
      </c>
      <c r="E445" s="4" t="s">
        <v>248</v>
      </c>
      <c r="F445" s="4" t="s">
        <v>195</v>
      </c>
      <c r="G445" s="4" t="s">
        <v>260</v>
      </c>
      <c r="H445" s="4" t="s">
        <v>252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6">
        <v>0.69399999999999995</v>
      </c>
      <c r="O445" s="16">
        <v>0.68799999999999994</v>
      </c>
      <c r="P445" s="16">
        <v>0.80300000000000005</v>
      </c>
      <c r="Q445" s="16">
        <v>0.86799999999999999</v>
      </c>
      <c r="R445" s="16">
        <v>0.95499999999999996</v>
      </c>
      <c r="S445" s="16">
        <v>1.0129999999999999</v>
      </c>
      <c r="T445" s="16">
        <v>0.98299999999999998</v>
      </c>
      <c r="U445" s="16">
        <v>0.91700000000000004</v>
      </c>
      <c r="V445" s="17">
        <v>0</v>
      </c>
      <c r="W445" s="17">
        <v>0</v>
      </c>
      <c r="X445" s="17">
        <v>0</v>
      </c>
      <c r="Y445" s="17">
        <v>0</v>
      </c>
      <c r="Z445" s="9">
        <v>0</v>
      </c>
      <c r="AA445" s="16">
        <v>1.385</v>
      </c>
      <c r="AB445" s="16">
        <v>1.347</v>
      </c>
      <c r="AC445" s="16">
        <v>1.2370000000000001</v>
      </c>
      <c r="AD445" s="16">
        <v>1.2190000000000001</v>
      </c>
      <c r="AE445" s="16">
        <v>1.2270000000000001</v>
      </c>
      <c r="AF445" s="16">
        <v>1.371</v>
      </c>
      <c r="AG445" s="16">
        <v>1.407</v>
      </c>
      <c r="AH445" s="16">
        <v>1.1930000000000001</v>
      </c>
      <c r="AI445" s="16">
        <v>1.1990000000000001</v>
      </c>
      <c r="AJ445" s="16">
        <v>1.1140000000000001</v>
      </c>
      <c r="AK445" s="16">
        <v>1.0169999999999999</v>
      </c>
      <c r="AL445" s="16">
        <v>1.1120000000000001</v>
      </c>
      <c r="AM445" s="16">
        <v>0.50700000000000001</v>
      </c>
      <c r="AN445" s="17">
        <v>0</v>
      </c>
      <c r="AO445" s="17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0</v>
      </c>
    </row>
    <row r="446" spans="1:46" x14ac:dyDescent="0.25">
      <c r="A446" s="4" t="s">
        <v>197</v>
      </c>
      <c r="B446" s="4" t="s">
        <v>207</v>
      </c>
      <c r="C446" s="4" t="s">
        <v>246</v>
      </c>
      <c r="D446" s="4" t="s">
        <v>259</v>
      </c>
      <c r="E446" s="4" t="s">
        <v>261</v>
      </c>
      <c r="F446" s="4" t="s">
        <v>195</v>
      </c>
      <c r="G446" s="4" t="s">
        <v>93</v>
      </c>
      <c r="H446" s="4" t="s">
        <v>151</v>
      </c>
      <c r="I446" s="5">
        <v>243.405</v>
      </c>
      <c r="J446" s="5">
        <v>254.392</v>
      </c>
      <c r="K446" s="5">
        <v>105.619</v>
      </c>
      <c r="L446" s="5">
        <v>169.303</v>
      </c>
      <c r="M446" s="5">
        <v>80.424999999999997</v>
      </c>
      <c r="N446" s="5">
        <v>277.23599999999999</v>
      </c>
      <c r="O446" s="5">
        <v>127.764</v>
      </c>
      <c r="P446" s="5">
        <v>101.137</v>
      </c>
      <c r="Q446" s="5">
        <v>166.005</v>
      </c>
      <c r="R446" s="5">
        <v>144.00700000000001</v>
      </c>
      <c r="S446" s="5">
        <v>197.91499999999999</v>
      </c>
      <c r="T446" s="5">
        <v>180.852</v>
      </c>
      <c r="U446" s="5">
        <v>96.131</v>
      </c>
      <c r="V446" s="5">
        <v>103.809</v>
      </c>
      <c r="W446" s="5">
        <v>147.691</v>
      </c>
      <c r="X446" s="5">
        <v>127.43300000000001</v>
      </c>
      <c r="Y446" s="5">
        <v>33.996000000000002</v>
      </c>
      <c r="Z446" s="5">
        <v>139.49100000000001</v>
      </c>
      <c r="AA446" s="5">
        <v>221.40199999999999</v>
      </c>
      <c r="AB446" s="5">
        <v>146.4</v>
      </c>
      <c r="AC446" s="5">
        <v>0</v>
      </c>
      <c r="AD446" s="5">
        <v>10.5</v>
      </c>
      <c r="AE446" s="5">
        <v>14.209</v>
      </c>
      <c r="AF446" s="5">
        <v>22.597000000000001</v>
      </c>
      <c r="AG446" s="5">
        <v>2.0750000000000002</v>
      </c>
      <c r="AH446" s="5">
        <v>21.312999999999999</v>
      </c>
      <c r="AI446" s="5">
        <v>32.668999999999997</v>
      </c>
      <c r="AJ446" s="5">
        <v>43.308999999999997</v>
      </c>
      <c r="AK446" s="5">
        <v>39.25</v>
      </c>
      <c r="AL446" s="5">
        <v>37.813000000000002</v>
      </c>
      <c r="AM446" s="5">
        <v>43.308999999999997</v>
      </c>
      <c r="AN446" s="5">
        <v>60.698</v>
      </c>
      <c r="AO446" s="5">
        <v>125.444</v>
      </c>
      <c r="AP446" s="5">
        <v>0</v>
      </c>
      <c r="AQ446" s="5">
        <v>20.994</v>
      </c>
      <c r="AR446" s="5">
        <v>220.756</v>
      </c>
      <c r="AS446" s="5">
        <v>265.53699999999998</v>
      </c>
      <c r="AT446" s="5">
        <v>265.53699999999998</v>
      </c>
    </row>
    <row r="447" spans="1:46" x14ac:dyDescent="0.25">
      <c r="A447" s="4" t="s">
        <v>197</v>
      </c>
      <c r="B447" s="4" t="s">
        <v>207</v>
      </c>
      <c r="C447" s="4" t="s">
        <v>246</v>
      </c>
      <c r="D447" s="4" t="s">
        <v>259</v>
      </c>
      <c r="E447" s="4" t="s">
        <v>261</v>
      </c>
      <c r="F447" s="4" t="s">
        <v>195</v>
      </c>
      <c r="G447" s="4" t="s">
        <v>93</v>
      </c>
      <c r="H447" s="4" t="s">
        <v>205</v>
      </c>
      <c r="I447" s="6">
        <v>45996.186999999998</v>
      </c>
      <c r="J447" s="6">
        <v>56454.544000000002</v>
      </c>
      <c r="K447" s="6">
        <v>23764.275000000001</v>
      </c>
      <c r="L447" s="6">
        <v>38725.559000000001</v>
      </c>
      <c r="M447" s="6">
        <v>17770.075000000001</v>
      </c>
      <c r="N447" s="6">
        <v>59109.637999999999</v>
      </c>
      <c r="O447" s="6">
        <v>27405.047999999999</v>
      </c>
      <c r="P447" s="6">
        <v>19537.280999999999</v>
      </c>
      <c r="Q447" s="6">
        <v>41380.370000000003</v>
      </c>
      <c r="R447" s="6">
        <v>28766.499</v>
      </c>
      <c r="S447" s="6">
        <v>38593.392999999996</v>
      </c>
      <c r="T447" s="6">
        <v>35166.821000000004</v>
      </c>
      <c r="U447" s="6">
        <v>18745.577000000001</v>
      </c>
      <c r="V447" s="6">
        <v>20242.763999999999</v>
      </c>
      <c r="W447" s="6">
        <v>30855.956999999999</v>
      </c>
      <c r="X447" s="6">
        <v>25329.618999999999</v>
      </c>
      <c r="Y447" s="6">
        <v>7866.549</v>
      </c>
      <c r="Z447" s="6">
        <v>27200.766</v>
      </c>
      <c r="AA447" s="6">
        <v>53215.69</v>
      </c>
      <c r="AB447" s="6">
        <v>28490.258000000002</v>
      </c>
      <c r="AC447" s="6">
        <v>0</v>
      </c>
      <c r="AD447" s="6">
        <v>2709</v>
      </c>
      <c r="AE447" s="6">
        <v>2827.1550000000002</v>
      </c>
      <c r="AF447" s="6">
        <v>7670.2730000000001</v>
      </c>
      <c r="AG447" s="6">
        <v>601.68700000000001</v>
      </c>
      <c r="AH447" s="6">
        <v>7222.8980000000001</v>
      </c>
      <c r="AI447" s="6">
        <v>10151.091</v>
      </c>
      <c r="AJ447" s="6">
        <v>14941.630999999999</v>
      </c>
      <c r="AK447" s="6">
        <v>13541.601000000001</v>
      </c>
      <c r="AL447" s="6">
        <v>13045.42</v>
      </c>
      <c r="AM447" s="6">
        <v>14941.635</v>
      </c>
      <c r="AN447" s="6">
        <v>20940.692999999999</v>
      </c>
      <c r="AO447" s="6">
        <v>43278.241999999998</v>
      </c>
      <c r="AP447" s="6">
        <v>0</v>
      </c>
      <c r="AQ447" s="6">
        <v>4817.317</v>
      </c>
      <c r="AR447" s="6">
        <v>70641.771999999997</v>
      </c>
      <c r="AS447" s="6">
        <v>70693.808999999994</v>
      </c>
      <c r="AT447" s="6">
        <v>70693.808999999994</v>
      </c>
    </row>
    <row r="448" spans="1:46" x14ac:dyDescent="0.25">
      <c r="A448" s="4" t="s">
        <v>197</v>
      </c>
      <c r="B448" s="4" t="s">
        <v>207</v>
      </c>
      <c r="C448" s="4" t="s">
        <v>246</v>
      </c>
      <c r="D448" s="4" t="s">
        <v>259</v>
      </c>
      <c r="E448" s="4" t="s">
        <v>261</v>
      </c>
      <c r="F448" s="4" t="s">
        <v>195</v>
      </c>
      <c r="G448" s="4" t="s">
        <v>93</v>
      </c>
      <c r="H448" s="4" t="s">
        <v>249</v>
      </c>
      <c r="I448" s="7">
        <v>1.6080000000000001</v>
      </c>
      <c r="J448" s="7">
        <v>1.476</v>
      </c>
      <c r="K448" s="7">
        <v>0.45100000000000001</v>
      </c>
      <c r="L448" s="7">
        <v>0.54800000000000004</v>
      </c>
      <c r="M448" s="7">
        <v>0.23100000000000001</v>
      </c>
      <c r="N448" s="7">
        <v>0.79800000000000004</v>
      </c>
      <c r="O448" s="7">
        <v>0.40600000000000003</v>
      </c>
      <c r="P448" s="7">
        <v>0.42399999999999999</v>
      </c>
      <c r="Q448" s="7">
        <v>0.76200000000000001</v>
      </c>
      <c r="R448" s="7">
        <v>0.84299999999999997</v>
      </c>
      <c r="S448" s="7">
        <v>1.347</v>
      </c>
      <c r="T448" s="7">
        <v>1.3029999999999999</v>
      </c>
      <c r="U448" s="7">
        <v>0.68899999999999995</v>
      </c>
      <c r="V448" s="7">
        <v>0.72</v>
      </c>
      <c r="W448" s="7">
        <v>0.85899999999999999</v>
      </c>
      <c r="X448" s="7">
        <v>0.59699999999999998</v>
      </c>
      <c r="Y448" s="7">
        <v>0.14000000000000001</v>
      </c>
      <c r="Z448" s="7">
        <v>0.63300000000000001</v>
      </c>
      <c r="AA448" s="7">
        <v>0.99099999999999999</v>
      </c>
      <c r="AB448" s="7">
        <v>0.70799999999999996</v>
      </c>
      <c r="AC448" s="7">
        <v>0</v>
      </c>
      <c r="AD448" s="7">
        <v>6.2E-2</v>
      </c>
      <c r="AE448" s="7">
        <v>0.10199999999999999</v>
      </c>
      <c r="AF448" s="7">
        <v>0.19800000000000001</v>
      </c>
      <c r="AG448" s="7">
        <v>1.6E-2</v>
      </c>
      <c r="AH448" s="7">
        <v>0.13800000000000001</v>
      </c>
      <c r="AI448" s="7">
        <v>0.17699999999999999</v>
      </c>
      <c r="AJ448" s="7">
        <v>0.182</v>
      </c>
      <c r="AK448" s="7">
        <v>0.14199999999999999</v>
      </c>
      <c r="AL448" s="7">
        <v>0.124</v>
      </c>
      <c r="AM448" s="7">
        <v>0.122</v>
      </c>
      <c r="AN448" s="7">
        <v>0.16200000000000001</v>
      </c>
      <c r="AO448" s="7">
        <v>0.4</v>
      </c>
      <c r="AP448" s="7">
        <v>0</v>
      </c>
      <c r="AQ448" s="7">
        <v>0.128</v>
      </c>
      <c r="AR448" s="7">
        <v>2.1019999999999999</v>
      </c>
      <c r="AS448" s="7">
        <v>3.7759999999999998</v>
      </c>
      <c r="AT448" s="7">
        <v>0.45900000000000002</v>
      </c>
    </row>
    <row r="449" spans="1:46" x14ac:dyDescent="0.25">
      <c r="A449" s="4" t="s">
        <v>197</v>
      </c>
      <c r="B449" s="4" t="s">
        <v>207</v>
      </c>
      <c r="C449" s="4" t="s">
        <v>246</v>
      </c>
      <c r="D449" s="4" t="s">
        <v>259</v>
      </c>
      <c r="E449" s="4" t="s">
        <v>261</v>
      </c>
      <c r="F449" s="4" t="s">
        <v>195</v>
      </c>
      <c r="G449" s="4" t="s">
        <v>93</v>
      </c>
      <c r="H449" s="4" t="s">
        <v>250</v>
      </c>
      <c r="I449" s="7">
        <v>26.285</v>
      </c>
      <c r="J449" s="7">
        <v>19.584</v>
      </c>
      <c r="K449" s="7">
        <v>17.885000000000002</v>
      </c>
      <c r="L449" s="7">
        <v>22.905999999999999</v>
      </c>
      <c r="M449" s="7">
        <v>18.574000000000002</v>
      </c>
      <c r="N449" s="7">
        <v>19.533999999999999</v>
      </c>
      <c r="O449" s="7">
        <v>16.170000000000002</v>
      </c>
      <c r="P449" s="7">
        <v>15.515000000000001</v>
      </c>
      <c r="Q449" s="7">
        <v>20.010000000000002</v>
      </c>
      <c r="R449" s="7">
        <v>19.574999999999999</v>
      </c>
      <c r="S449" s="7">
        <v>22.713999999999999</v>
      </c>
      <c r="T449" s="7">
        <v>23.093</v>
      </c>
      <c r="U449" s="7">
        <v>17.765000000000001</v>
      </c>
      <c r="V449" s="7">
        <v>21.073</v>
      </c>
      <c r="W449" s="7">
        <v>21.327000000000002</v>
      </c>
      <c r="X449" s="7">
        <v>20.83</v>
      </c>
      <c r="Y449" s="7">
        <v>18.797000000000001</v>
      </c>
      <c r="Z449" s="7">
        <v>19.286999999999999</v>
      </c>
      <c r="AA449" s="7">
        <v>22.489000000000001</v>
      </c>
      <c r="AB449" s="7">
        <v>20.667000000000002</v>
      </c>
      <c r="AC449" s="7">
        <v>21.606999999999999</v>
      </c>
      <c r="AD449" s="7">
        <v>22.303999999999998</v>
      </c>
      <c r="AE449" s="7">
        <v>20.297000000000001</v>
      </c>
      <c r="AF449" s="7">
        <v>22.56</v>
      </c>
      <c r="AG449" s="7">
        <v>19.913</v>
      </c>
      <c r="AH449" s="7">
        <v>24.219000000000001</v>
      </c>
      <c r="AI449" s="7">
        <v>17.945</v>
      </c>
      <c r="AJ449" s="7">
        <v>13.407999999999999</v>
      </c>
      <c r="AK449" s="7">
        <v>11.228</v>
      </c>
      <c r="AL449" s="7">
        <v>10.613</v>
      </c>
      <c r="AM449" s="7">
        <v>11.683999999999999</v>
      </c>
      <c r="AN449" s="7">
        <v>12.837999999999999</v>
      </c>
      <c r="AO449" s="7">
        <v>13.65</v>
      </c>
      <c r="AP449" s="7">
        <v>8.5180000000000007</v>
      </c>
      <c r="AQ449" s="7">
        <v>11.032999999999999</v>
      </c>
      <c r="AR449" s="7">
        <v>12.976000000000001</v>
      </c>
      <c r="AS449" s="7">
        <v>21.99</v>
      </c>
      <c r="AT449" s="5">
        <v>247.84100000000001</v>
      </c>
    </row>
    <row r="450" spans="1:46" x14ac:dyDescent="0.25">
      <c r="A450" s="4" t="s">
        <v>197</v>
      </c>
      <c r="B450" s="4" t="s">
        <v>207</v>
      </c>
      <c r="C450" s="4" t="s">
        <v>246</v>
      </c>
      <c r="D450" s="4" t="s">
        <v>259</v>
      </c>
      <c r="E450" s="4" t="s">
        <v>261</v>
      </c>
      <c r="F450" s="4" t="s">
        <v>195</v>
      </c>
      <c r="G450" s="4" t="s">
        <v>93</v>
      </c>
      <c r="H450" s="4" t="s">
        <v>251</v>
      </c>
      <c r="I450" s="7">
        <v>2.3928156999999999</v>
      </c>
      <c r="J450" s="7">
        <v>2.3924574000000001</v>
      </c>
      <c r="K450" s="7">
        <v>1.6101542</v>
      </c>
      <c r="L450" s="7">
        <v>1.8639577000000001</v>
      </c>
      <c r="M450" s="7">
        <v>1.7938472000000001</v>
      </c>
      <c r="N450" s="7">
        <v>1.7938466</v>
      </c>
      <c r="O450" s="7">
        <v>1.8388985</v>
      </c>
      <c r="P450" s="7">
        <v>2.1009920000000002</v>
      </c>
      <c r="Q450" s="7">
        <v>2.3647284000000002</v>
      </c>
      <c r="R450" s="7">
        <v>1.7083265000000001</v>
      </c>
      <c r="S450" s="7">
        <v>1.7220397999999999</v>
      </c>
      <c r="T450" s="7">
        <v>1.713049</v>
      </c>
      <c r="U450" s="7">
        <v>1.5339119000000001</v>
      </c>
      <c r="V450" s="7">
        <v>1.8773010000000001</v>
      </c>
      <c r="W450" s="7">
        <v>1.8190571</v>
      </c>
      <c r="X450" s="7">
        <v>1.8889475</v>
      </c>
      <c r="Y450" s="7">
        <v>1.8161725</v>
      </c>
      <c r="Z450" s="7">
        <v>1.4392863</v>
      </c>
      <c r="AA450" s="7">
        <v>2.9779168999999999</v>
      </c>
      <c r="AB450" s="7">
        <v>1.5251915</v>
      </c>
      <c r="AC450" s="7">
        <v>1.4392853000000001</v>
      </c>
      <c r="AD450" s="7">
        <v>1.6654819999999999</v>
      </c>
      <c r="AE450" s="7">
        <v>1.6654061</v>
      </c>
      <c r="AF450" s="7">
        <v>1.5097689000000001</v>
      </c>
      <c r="AG450" s="7">
        <v>1.4588665000000001</v>
      </c>
      <c r="AH450" s="7">
        <v>1.3216600999999999</v>
      </c>
      <c r="AI450" s="7">
        <v>1.2147329</v>
      </c>
      <c r="AJ450" s="7">
        <v>0.97176949999999995</v>
      </c>
      <c r="AK450" s="7">
        <v>0.90170300000000003</v>
      </c>
      <c r="AL450" s="7">
        <v>0.97268779999999999</v>
      </c>
      <c r="AM450" s="7">
        <v>0.9722035</v>
      </c>
      <c r="AN450" s="7">
        <v>0.9722035</v>
      </c>
      <c r="AO450" s="7">
        <v>1.0483361</v>
      </c>
      <c r="AP450" s="7">
        <v>0.83741399999999999</v>
      </c>
      <c r="AQ450" s="7">
        <v>1.1010591999999999</v>
      </c>
      <c r="AR450" s="7">
        <v>1.0566089000000001</v>
      </c>
      <c r="AS450" s="7">
        <v>0.9506346</v>
      </c>
      <c r="AT450" s="7">
        <v>21.99</v>
      </c>
    </row>
    <row r="451" spans="1:46" x14ac:dyDescent="0.25">
      <c r="A451" s="4" t="s">
        <v>197</v>
      </c>
      <c r="B451" s="4" t="s">
        <v>207</v>
      </c>
      <c r="C451" s="4" t="s">
        <v>246</v>
      </c>
      <c r="D451" s="4" t="s">
        <v>259</v>
      </c>
      <c r="E451" s="4" t="s">
        <v>261</v>
      </c>
      <c r="F451" s="4" t="s">
        <v>195</v>
      </c>
      <c r="G451" s="4" t="s">
        <v>93</v>
      </c>
      <c r="H451" s="4" t="s">
        <v>252</v>
      </c>
      <c r="I451" s="16">
        <v>1.2410000000000001</v>
      </c>
      <c r="J451" s="16">
        <v>1.008</v>
      </c>
      <c r="K451" s="16">
        <v>0.64300000000000002</v>
      </c>
      <c r="L451" s="16">
        <v>1.0529999999999999</v>
      </c>
      <c r="M451" s="16">
        <v>0.98</v>
      </c>
      <c r="N451" s="16">
        <v>0.39800000000000002</v>
      </c>
      <c r="O451" s="16">
        <v>0.69799999999999995</v>
      </c>
      <c r="P451" s="16">
        <v>0.61499999999999999</v>
      </c>
      <c r="Q451" s="16">
        <v>0.50900000000000001</v>
      </c>
      <c r="R451" s="16">
        <v>0.61499999999999999</v>
      </c>
      <c r="S451" s="16">
        <v>0.65700000000000003</v>
      </c>
      <c r="T451" s="16">
        <v>0.61699999999999999</v>
      </c>
      <c r="U451" s="16">
        <v>0.57599999999999996</v>
      </c>
      <c r="V451" s="16">
        <v>0.89700000000000002</v>
      </c>
      <c r="W451" s="16">
        <v>0.59499999999999997</v>
      </c>
      <c r="X451" s="16">
        <v>0.65500000000000003</v>
      </c>
      <c r="Y451" s="16">
        <v>0.629</v>
      </c>
      <c r="Z451" s="16">
        <v>0.60599999999999998</v>
      </c>
      <c r="AA451" s="16">
        <v>0.64100000000000001</v>
      </c>
      <c r="AB451" s="16">
        <v>0.72099999999999997</v>
      </c>
      <c r="AC451" s="16">
        <v>0.65200000000000002</v>
      </c>
      <c r="AD451" s="16">
        <v>0.64300000000000002</v>
      </c>
      <c r="AE451" s="16">
        <v>0.626</v>
      </c>
      <c r="AF451" s="16">
        <v>0.65300000000000002</v>
      </c>
      <c r="AG451" s="16">
        <v>0.67</v>
      </c>
      <c r="AH451" s="16">
        <v>0.54</v>
      </c>
      <c r="AI451" s="16">
        <v>0.52300000000000002</v>
      </c>
      <c r="AJ451" s="16">
        <v>0.51800000000000002</v>
      </c>
      <c r="AK451" s="16">
        <v>0.48099999999999998</v>
      </c>
      <c r="AL451" s="16">
        <v>0.52200000000000002</v>
      </c>
      <c r="AM451" s="16">
        <v>0.59499999999999997</v>
      </c>
      <c r="AN451" s="16">
        <v>0.62</v>
      </c>
      <c r="AO451" s="16">
        <v>0.61599999999999999</v>
      </c>
      <c r="AP451" s="16">
        <v>0.60799999999999998</v>
      </c>
      <c r="AQ451" s="16">
        <v>0.65400000000000003</v>
      </c>
      <c r="AR451" s="17">
        <v>0</v>
      </c>
      <c r="AS451" s="16">
        <v>0.61799999999999999</v>
      </c>
      <c r="AT451" s="7">
        <v>0.9506346</v>
      </c>
    </row>
    <row r="452" spans="1:46" x14ac:dyDescent="0.25">
      <c r="A452" s="4" t="s">
        <v>197</v>
      </c>
      <c r="B452" s="4" t="s">
        <v>207</v>
      </c>
      <c r="C452" s="4" t="s">
        <v>246</v>
      </c>
      <c r="D452" s="4" t="s">
        <v>263</v>
      </c>
      <c r="E452" s="4" t="s">
        <v>248</v>
      </c>
      <c r="F452" s="4" t="s">
        <v>201</v>
      </c>
      <c r="G452" s="4" t="s">
        <v>71</v>
      </c>
      <c r="H452" s="4" t="s">
        <v>151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64.483000000000004</v>
      </c>
      <c r="Z452" s="8">
        <v>0</v>
      </c>
      <c r="AA452" s="8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5">
        <v>45.411000000000001</v>
      </c>
      <c r="AN452" s="5">
        <v>27.276</v>
      </c>
      <c r="AO452" s="5">
        <v>24.777000000000001</v>
      </c>
      <c r="AP452" s="8">
        <v>0</v>
      </c>
      <c r="AQ452" s="9">
        <v>0</v>
      </c>
      <c r="AR452" s="9">
        <v>0</v>
      </c>
      <c r="AS452" s="9">
        <v>0</v>
      </c>
      <c r="AT452" s="9">
        <v>0</v>
      </c>
    </row>
    <row r="453" spans="1:46" x14ac:dyDescent="0.25">
      <c r="A453" s="4" t="s">
        <v>197</v>
      </c>
      <c r="B453" s="4" t="s">
        <v>207</v>
      </c>
      <c r="C453" s="4" t="s">
        <v>246</v>
      </c>
      <c r="D453" s="4" t="s">
        <v>263</v>
      </c>
      <c r="E453" s="4" t="s">
        <v>248</v>
      </c>
      <c r="F453" s="4" t="s">
        <v>201</v>
      </c>
      <c r="G453" s="4" t="s">
        <v>71</v>
      </c>
      <c r="H453" s="4" t="s">
        <v>205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11607.012000000001</v>
      </c>
      <c r="Z453" s="10">
        <v>0</v>
      </c>
      <c r="AA453" s="10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0</v>
      </c>
      <c r="AM453" s="6">
        <v>8900.5110000000004</v>
      </c>
      <c r="AN453" s="6">
        <v>5346.0429999999997</v>
      </c>
      <c r="AO453" s="6">
        <v>4856.3459999999995</v>
      </c>
      <c r="AP453" s="10">
        <v>0</v>
      </c>
      <c r="AQ453" s="9">
        <v>0</v>
      </c>
      <c r="AR453" s="9">
        <v>0</v>
      </c>
      <c r="AS453" s="9">
        <v>0</v>
      </c>
      <c r="AT453" s="9">
        <v>0</v>
      </c>
    </row>
    <row r="454" spans="1:46" x14ac:dyDescent="0.25">
      <c r="A454" s="4" t="s">
        <v>197</v>
      </c>
      <c r="B454" s="4" t="s">
        <v>207</v>
      </c>
      <c r="C454" s="4" t="s">
        <v>246</v>
      </c>
      <c r="D454" s="4" t="s">
        <v>263</v>
      </c>
      <c r="E454" s="4" t="s">
        <v>248</v>
      </c>
      <c r="F454" s="4" t="s">
        <v>201</v>
      </c>
      <c r="G454" s="4" t="s">
        <v>71</v>
      </c>
      <c r="H454" s="4" t="s">
        <v>249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8.9999999999999993E-3</v>
      </c>
      <c r="Z454" s="11">
        <v>0</v>
      </c>
      <c r="AA454" s="11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7">
        <v>4.0000000000000001E-3</v>
      </c>
      <c r="AN454" s="7">
        <v>2E-3</v>
      </c>
      <c r="AO454" s="7">
        <v>2E-3</v>
      </c>
      <c r="AP454" s="11">
        <v>0</v>
      </c>
      <c r="AQ454" s="9">
        <v>0</v>
      </c>
      <c r="AR454" s="9">
        <v>0</v>
      </c>
      <c r="AS454" s="9">
        <v>0</v>
      </c>
      <c r="AT454" s="9">
        <v>0</v>
      </c>
    </row>
    <row r="455" spans="1:46" x14ac:dyDescent="0.25">
      <c r="A455" s="4" t="s">
        <v>197</v>
      </c>
      <c r="B455" s="4" t="s">
        <v>207</v>
      </c>
      <c r="C455" s="4" t="s">
        <v>246</v>
      </c>
      <c r="D455" s="4" t="s">
        <v>263</v>
      </c>
      <c r="E455" s="4" t="s">
        <v>248</v>
      </c>
      <c r="F455" s="4" t="s">
        <v>201</v>
      </c>
      <c r="G455" s="4" t="s">
        <v>71</v>
      </c>
      <c r="H455" s="4" t="s">
        <v>250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7">
        <v>0.218</v>
      </c>
      <c r="S455" s="7">
        <v>4.1000000000000002E-2</v>
      </c>
      <c r="T455" s="7">
        <v>0.32100000000000001</v>
      </c>
      <c r="U455" s="7">
        <v>0.69399999999999995</v>
      </c>
      <c r="V455" s="7">
        <v>0.42</v>
      </c>
      <c r="W455" s="7">
        <v>0.65800000000000003</v>
      </c>
      <c r="X455" s="7">
        <v>0.504</v>
      </c>
      <c r="Y455" s="7">
        <v>0.626</v>
      </c>
      <c r="Z455" s="11">
        <v>0</v>
      </c>
      <c r="AA455" s="11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7">
        <v>0.3</v>
      </c>
      <c r="AN455" s="7">
        <v>0.109</v>
      </c>
      <c r="AO455" s="7">
        <v>0.127</v>
      </c>
      <c r="AP455" s="11">
        <v>0</v>
      </c>
      <c r="AQ455" s="9">
        <v>0</v>
      </c>
      <c r="AR455" s="9">
        <v>0</v>
      </c>
      <c r="AS455" s="9">
        <v>0</v>
      </c>
      <c r="AT455" s="9">
        <v>0</v>
      </c>
    </row>
    <row r="456" spans="1:46" x14ac:dyDescent="0.25">
      <c r="A456" s="4" t="s">
        <v>197</v>
      </c>
      <c r="B456" s="4" t="s">
        <v>207</v>
      </c>
      <c r="C456" s="4" t="s">
        <v>246</v>
      </c>
      <c r="D456" s="4" t="s">
        <v>263</v>
      </c>
      <c r="E456" s="4" t="s">
        <v>248</v>
      </c>
      <c r="F456" s="4" t="s">
        <v>201</v>
      </c>
      <c r="G456" s="4" t="s">
        <v>71</v>
      </c>
      <c r="H456" s="4" t="s">
        <v>251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7">
        <v>0.75037880000000001</v>
      </c>
      <c r="S456" s="7">
        <v>0.75028519999999999</v>
      </c>
      <c r="T456" s="7">
        <v>0.75007860000000004</v>
      </c>
      <c r="U456" s="7">
        <v>0.7500116</v>
      </c>
      <c r="V456" s="7">
        <v>0.71599840000000003</v>
      </c>
      <c r="W456" s="7">
        <v>0.75009269999999995</v>
      </c>
      <c r="X456" s="7">
        <v>0.75156009999999995</v>
      </c>
      <c r="Y456" s="7">
        <v>0.78911039999999999</v>
      </c>
      <c r="Z456" s="7">
        <v>0</v>
      </c>
      <c r="AA456" s="7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7">
        <v>0.3246328</v>
      </c>
      <c r="AN456" s="7">
        <v>0.3246328</v>
      </c>
      <c r="AO456" s="7">
        <v>0.32463259999999999</v>
      </c>
      <c r="AP456" s="7">
        <v>0</v>
      </c>
      <c r="AQ456" s="9">
        <v>0</v>
      </c>
      <c r="AR456" s="9">
        <v>0</v>
      </c>
      <c r="AS456" s="9">
        <v>0</v>
      </c>
      <c r="AT456" s="9">
        <v>0</v>
      </c>
    </row>
    <row r="457" spans="1:46" x14ac:dyDescent="0.25">
      <c r="A457" s="4" t="s">
        <v>197</v>
      </c>
      <c r="B457" s="4" t="s">
        <v>207</v>
      </c>
      <c r="C457" s="4" t="s">
        <v>246</v>
      </c>
      <c r="D457" s="4" t="s">
        <v>263</v>
      </c>
      <c r="E457" s="4" t="s">
        <v>248</v>
      </c>
      <c r="F457" s="4" t="s">
        <v>201</v>
      </c>
      <c r="G457" s="4" t="s">
        <v>71</v>
      </c>
      <c r="H457" s="4" t="s">
        <v>252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16">
        <v>0.14799999999999999</v>
      </c>
      <c r="S457" s="16">
        <v>0.157</v>
      </c>
      <c r="T457" s="16">
        <v>0.153</v>
      </c>
      <c r="U457" s="16">
        <v>0.14199999999999999</v>
      </c>
      <c r="V457" s="16">
        <v>0.128</v>
      </c>
      <c r="W457" s="16">
        <v>0.11799999999999999</v>
      </c>
      <c r="X457" s="16">
        <v>0.13300000000000001</v>
      </c>
      <c r="Y457" s="17">
        <v>0</v>
      </c>
      <c r="Z457" s="17">
        <v>0</v>
      </c>
      <c r="AA457" s="17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16">
        <v>5.8999999999999997E-2</v>
      </c>
      <c r="AN457" s="17">
        <v>0</v>
      </c>
      <c r="AO457" s="17">
        <v>0</v>
      </c>
      <c r="AP457" s="17">
        <v>0</v>
      </c>
      <c r="AQ457" s="9">
        <v>0</v>
      </c>
      <c r="AR457" s="9">
        <v>0</v>
      </c>
      <c r="AS457" s="9">
        <v>0</v>
      </c>
      <c r="AT457" s="9">
        <v>0</v>
      </c>
    </row>
    <row r="458" spans="1:46" x14ac:dyDescent="0.25">
      <c r="A458" s="4" t="s">
        <v>197</v>
      </c>
      <c r="B458" s="4" t="s">
        <v>207</v>
      </c>
      <c r="C458" s="4" t="s">
        <v>246</v>
      </c>
      <c r="D458" s="4" t="s">
        <v>263</v>
      </c>
      <c r="E458" s="4" t="s">
        <v>248</v>
      </c>
      <c r="F458" s="4" t="s">
        <v>201</v>
      </c>
      <c r="G458" s="4" t="s">
        <v>76</v>
      </c>
      <c r="H458" s="4" t="s">
        <v>151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7.1749999999999998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9">
        <v>0</v>
      </c>
      <c r="AN458" s="9">
        <v>0</v>
      </c>
      <c r="AO458" s="9">
        <v>0</v>
      </c>
      <c r="AP458" s="9">
        <v>0</v>
      </c>
      <c r="AQ458" s="9">
        <v>0</v>
      </c>
      <c r="AR458" s="9">
        <v>0</v>
      </c>
      <c r="AS458" s="9">
        <v>0</v>
      </c>
      <c r="AT458" s="9">
        <v>0</v>
      </c>
    </row>
    <row r="459" spans="1:46" x14ac:dyDescent="0.25">
      <c r="A459" s="4" t="s">
        <v>197</v>
      </c>
      <c r="B459" s="4" t="s">
        <v>207</v>
      </c>
      <c r="C459" s="4" t="s">
        <v>246</v>
      </c>
      <c r="D459" s="4" t="s">
        <v>263</v>
      </c>
      <c r="E459" s="4" t="s">
        <v>248</v>
      </c>
      <c r="F459" s="4" t="s">
        <v>201</v>
      </c>
      <c r="G459" s="4" t="s">
        <v>76</v>
      </c>
      <c r="H459" s="4" t="s">
        <v>205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1434.9770000000001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</v>
      </c>
      <c r="AM459" s="9">
        <v>0</v>
      </c>
      <c r="AN459" s="9">
        <v>0</v>
      </c>
      <c r="AO459" s="9">
        <v>0</v>
      </c>
      <c r="AP459" s="9">
        <v>0</v>
      </c>
      <c r="AQ459" s="9">
        <v>0</v>
      </c>
      <c r="AR459" s="9">
        <v>0</v>
      </c>
      <c r="AS459" s="9">
        <v>0</v>
      </c>
      <c r="AT459" s="9">
        <v>0</v>
      </c>
    </row>
    <row r="460" spans="1:46" x14ac:dyDescent="0.25">
      <c r="A460" s="4" t="s">
        <v>197</v>
      </c>
      <c r="B460" s="4" t="s">
        <v>207</v>
      </c>
      <c r="C460" s="4" t="s">
        <v>246</v>
      </c>
      <c r="D460" s="4" t="s">
        <v>263</v>
      </c>
      <c r="E460" s="4" t="s">
        <v>248</v>
      </c>
      <c r="F460" s="4" t="s">
        <v>201</v>
      </c>
      <c r="G460" s="4" t="s">
        <v>76</v>
      </c>
      <c r="H460" s="4" t="s">
        <v>249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  <c r="AT460" s="9">
        <v>0</v>
      </c>
    </row>
    <row r="461" spans="1:46" x14ac:dyDescent="0.25">
      <c r="A461" s="4" t="s">
        <v>197</v>
      </c>
      <c r="B461" s="4" t="s">
        <v>207</v>
      </c>
      <c r="C461" s="4" t="s">
        <v>246</v>
      </c>
      <c r="D461" s="4" t="s">
        <v>263</v>
      </c>
      <c r="E461" s="4" t="s">
        <v>248</v>
      </c>
      <c r="F461" s="4" t="s">
        <v>201</v>
      </c>
      <c r="G461" s="4" t="s">
        <v>76</v>
      </c>
      <c r="H461" s="4" t="s">
        <v>250</v>
      </c>
      <c r="I461" s="7">
        <v>0.14000000000000001</v>
      </c>
      <c r="J461" s="7">
        <v>0.42599999999999999</v>
      </c>
      <c r="K461" s="7">
        <v>0.79700000000000004</v>
      </c>
      <c r="L461" s="7">
        <v>0.77400000000000002</v>
      </c>
      <c r="M461" s="7">
        <v>1.02</v>
      </c>
      <c r="N461" s="7">
        <v>0.95299999999999996</v>
      </c>
      <c r="O461" s="7">
        <v>1.2529999999999999</v>
      </c>
      <c r="P461" s="7">
        <v>0.98099999999999998</v>
      </c>
      <c r="Q461" s="7">
        <v>0.91700000000000004</v>
      </c>
      <c r="R461" s="7">
        <v>0.71499999999999997</v>
      </c>
      <c r="S461" s="7">
        <v>0</v>
      </c>
      <c r="T461" s="7">
        <v>8.5000000000000006E-2</v>
      </c>
      <c r="U461" s="7">
        <v>0.06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0</v>
      </c>
      <c r="AR461" s="9">
        <v>0</v>
      </c>
      <c r="AS461" s="9">
        <v>0</v>
      </c>
      <c r="AT461" s="9">
        <v>0</v>
      </c>
    </row>
    <row r="462" spans="1:46" x14ac:dyDescent="0.25">
      <c r="A462" s="4" t="s">
        <v>197</v>
      </c>
      <c r="B462" s="4" t="s">
        <v>207</v>
      </c>
      <c r="C462" s="4" t="s">
        <v>246</v>
      </c>
      <c r="D462" s="4" t="s">
        <v>263</v>
      </c>
      <c r="E462" s="4" t="s">
        <v>248</v>
      </c>
      <c r="F462" s="4" t="s">
        <v>201</v>
      </c>
      <c r="G462" s="4" t="s">
        <v>76</v>
      </c>
      <c r="H462" s="4" t="s">
        <v>251</v>
      </c>
      <c r="I462" s="7">
        <v>6.4965099999999998E-2</v>
      </c>
      <c r="J462" s="7">
        <v>6.4955399999999996E-2</v>
      </c>
      <c r="K462" s="7">
        <v>6.4948000000000006E-2</v>
      </c>
      <c r="L462" s="7">
        <v>6.00662E-2</v>
      </c>
      <c r="M462" s="7">
        <v>6.0039299999999997E-2</v>
      </c>
      <c r="N462" s="7">
        <v>6.0039299999999997E-2</v>
      </c>
      <c r="O462" s="7">
        <v>6.0039299999999997E-2</v>
      </c>
      <c r="P462" s="7">
        <v>6.0039200000000001E-2</v>
      </c>
      <c r="Q462" s="7">
        <v>6.0614000000000001E-2</v>
      </c>
      <c r="R462" s="7">
        <v>6.0607500000000002E-2</v>
      </c>
      <c r="S462" s="7">
        <v>6.0599899999999998E-2</v>
      </c>
      <c r="T462" s="7">
        <v>6.0583199999999997E-2</v>
      </c>
      <c r="U462" s="7">
        <v>6.0577800000000001E-2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0</v>
      </c>
    </row>
    <row r="463" spans="1:46" x14ac:dyDescent="0.25">
      <c r="A463" s="4" t="s">
        <v>197</v>
      </c>
      <c r="B463" s="4" t="s">
        <v>207</v>
      </c>
      <c r="C463" s="4" t="s">
        <v>246</v>
      </c>
      <c r="D463" s="4" t="s">
        <v>263</v>
      </c>
      <c r="E463" s="4" t="s">
        <v>248</v>
      </c>
      <c r="F463" s="4" t="s">
        <v>201</v>
      </c>
      <c r="G463" s="4" t="s">
        <v>76</v>
      </c>
      <c r="H463" s="4" t="s">
        <v>252</v>
      </c>
      <c r="I463" s="16">
        <v>3.3000000000000002E-2</v>
      </c>
      <c r="J463" s="16">
        <v>3.5000000000000003E-2</v>
      </c>
      <c r="K463" s="16">
        <v>2.9000000000000001E-2</v>
      </c>
      <c r="L463" s="16">
        <v>2.3E-2</v>
      </c>
      <c r="M463" s="16">
        <v>2.5000000000000001E-2</v>
      </c>
      <c r="N463" s="16">
        <v>1.2999999999999999E-2</v>
      </c>
      <c r="O463" s="16">
        <v>1.2E-2</v>
      </c>
      <c r="P463" s="16">
        <v>1.4E-2</v>
      </c>
      <c r="Q463" s="16">
        <v>1.2999999999999999E-2</v>
      </c>
      <c r="R463" s="16">
        <v>1.4E-2</v>
      </c>
      <c r="S463" s="16">
        <v>1.4999999999999999E-2</v>
      </c>
      <c r="T463" s="16">
        <v>1.4999999999999999E-2</v>
      </c>
      <c r="U463" s="16">
        <v>1.4E-2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0</v>
      </c>
      <c r="AT463" s="9">
        <v>0</v>
      </c>
    </row>
    <row r="464" spans="1:46" x14ac:dyDescent="0.25">
      <c r="A464" s="4" t="s">
        <v>197</v>
      </c>
      <c r="B464" s="4" t="s">
        <v>207</v>
      </c>
      <c r="C464" s="4" t="s">
        <v>246</v>
      </c>
      <c r="D464" s="4" t="s">
        <v>263</v>
      </c>
      <c r="E464" s="4" t="s">
        <v>248</v>
      </c>
      <c r="F464" s="4" t="s">
        <v>201</v>
      </c>
      <c r="G464" s="4" t="s">
        <v>85</v>
      </c>
      <c r="H464" s="4" t="s">
        <v>151</v>
      </c>
      <c r="I464" s="5">
        <v>98.522999999999996</v>
      </c>
      <c r="J464" s="5">
        <v>92.775000000000006</v>
      </c>
      <c r="K464" s="5">
        <v>293.36599999999999</v>
      </c>
      <c r="L464" s="5">
        <v>666.34799999999996</v>
      </c>
      <c r="M464" s="5">
        <v>1223.5840000000001</v>
      </c>
      <c r="N464" s="5">
        <v>1230.7370000000001</v>
      </c>
      <c r="O464" s="5">
        <v>1290.644</v>
      </c>
      <c r="P464" s="5">
        <v>1121.21</v>
      </c>
      <c r="Q464" s="5">
        <v>1001.932</v>
      </c>
      <c r="R464" s="5">
        <v>623.71</v>
      </c>
      <c r="S464" s="5">
        <v>484.17099999999999</v>
      </c>
      <c r="T464" s="5">
        <v>426.39699999999999</v>
      </c>
      <c r="U464" s="5">
        <v>331.69</v>
      </c>
      <c r="V464" s="5">
        <v>175.59899999999999</v>
      </c>
      <c r="W464" s="5">
        <v>513.15300000000002</v>
      </c>
      <c r="X464" s="5">
        <v>981.60299999999995</v>
      </c>
      <c r="Y464" s="5">
        <v>1292.4939999999999</v>
      </c>
      <c r="Z464" s="5">
        <v>1182.895</v>
      </c>
      <c r="AA464" s="5">
        <v>1177.7470000000001</v>
      </c>
      <c r="AB464" s="5">
        <v>1048.787</v>
      </c>
      <c r="AC464" s="5">
        <v>996.39300000000003</v>
      </c>
      <c r="AD464" s="5">
        <v>1036.4390000000001</v>
      </c>
      <c r="AE464" s="5">
        <v>550.245</v>
      </c>
      <c r="AF464" s="5">
        <v>485.47399999999999</v>
      </c>
      <c r="AG464" s="5">
        <v>473.07299999999998</v>
      </c>
      <c r="AH464" s="5">
        <v>530.36</v>
      </c>
      <c r="AI464" s="5">
        <v>588.34799999999996</v>
      </c>
      <c r="AJ464" s="5">
        <v>1343.473</v>
      </c>
      <c r="AK464" s="5">
        <v>1593.576</v>
      </c>
      <c r="AL464" s="5">
        <v>2033.018</v>
      </c>
      <c r="AM464" s="5">
        <v>1757.8330000000001</v>
      </c>
      <c r="AN464" s="5">
        <v>1507.3620000000001</v>
      </c>
      <c r="AO464" s="5">
        <v>1095.0820000000001</v>
      </c>
      <c r="AP464" s="5">
        <v>812.60799999999995</v>
      </c>
      <c r="AQ464" s="5">
        <v>208.767</v>
      </c>
      <c r="AR464" s="5">
        <v>233.29599999999999</v>
      </c>
      <c r="AS464" s="5">
        <v>367.21199999999999</v>
      </c>
      <c r="AT464" s="5">
        <v>6460.1729999999998</v>
      </c>
    </row>
    <row r="465" spans="1:46" x14ac:dyDescent="0.25">
      <c r="A465" s="4" t="s">
        <v>197</v>
      </c>
      <c r="B465" s="4" t="s">
        <v>207</v>
      </c>
      <c r="C465" s="4" t="s">
        <v>246</v>
      </c>
      <c r="D465" s="4" t="s">
        <v>263</v>
      </c>
      <c r="E465" s="4" t="s">
        <v>248</v>
      </c>
      <c r="F465" s="4" t="s">
        <v>201</v>
      </c>
      <c r="G465" s="4" t="s">
        <v>85</v>
      </c>
      <c r="H465" s="4" t="s">
        <v>205</v>
      </c>
      <c r="I465" s="6">
        <v>10476.118</v>
      </c>
      <c r="J465" s="6">
        <v>17066.91</v>
      </c>
      <c r="K465" s="6">
        <v>50050.383999999998</v>
      </c>
      <c r="L465" s="6">
        <v>112533.539</v>
      </c>
      <c r="M465" s="6">
        <v>170057.12599999999</v>
      </c>
      <c r="N465" s="6">
        <v>186976.736</v>
      </c>
      <c r="O465" s="6">
        <v>191170.802</v>
      </c>
      <c r="P465" s="6">
        <v>144211.31400000001</v>
      </c>
      <c r="Q465" s="6">
        <v>126520.193</v>
      </c>
      <c r="R465" s="6">
        <v>79739.154999999999</v>
      </c>
      <c r="S465" s="6">
        <v>55974.226000000002</v>
      </c>
      <c r="T465" s="6">
        <v>50225.802000000003</v>
      </c>
      <c r="U465" s="6">
        <v>41541.972000000002</v>
      </c>
      <c r="V465" s="6">
        <v>21596.337</v>
      </c>
      <c r="W465" s="6">
        <v>90142.816999999995</v>
      </c>
      <c r="X465" s="6">
        <v>168479.62299999999</v>
      </c>
      <c r="Y465" s="6">
        <v>203708.07</v>
      </c>
      <c r="Z465" s="6">
        <v>175032.27</v>
      </c>
      <c r="AA465" s="6">
        <v>175270.78</v>
      </c>
      <c r="AB465" s="6">
        <v>161055.54199999999</v>
      </c>
      <c r="AC465" s="6">
        <v>151594.77299999999</v>
      </c>
      <c r="AD465" s="6">
        <v>147853.09099999999</v>
      </c>
      <c r="AE465" s="6">
        <v>73614.320000000007</v>
      </c>
      <c r="AF465" s="6">
        <v>66771.433000000005</v>
      </c>
      <c r="AG465" s="6">
        <v>63639.101999999999</v>
      </c>
      <c r="AH465" s="6">
        <v>71436.542000000001</v>
      </c>
      <c r="AI465" s="6">
        <v>81418.157999999996</v>
      </c>
      <c r="AJ465" s="6">
        <v>192261.272</v>
      </c>
      <c r="AK465" s="6">
        <v>267338.72600000002</v>
      </c>
      <c r="AL465" s="6">
        <v>316696.32799999998</v>
      </c>
      <c r="AM465" s="6">
        <v>294258.473</v>
      </c>
      <c r="AN465" s="6">
        <v>257113.334</v>
      </c>
      <c r="AO465" s="6">
        <v>164001.50599999999</v>
      </c>
      <c r="AP465" s="6">
        <v>118152.372</v>
      </c>
      <c r="AQ465" s="6">
        <v>33064.300000000003</v>
      </c>
      <c r="AR465" s="6">
        <v>38174.283000000003</v>
      </c>
      <c r="AS465" s="6">
        <v>63344.436999999998</v>
      </c>
      <c r="AT465" s="6">
        <v>63344.436999999998</v>
      </c>
    </row>
    <row r="466" spans="1:46" x14ac:dyDescent="0.25">
      <c r="A466" s="4" t="s">
        <v>197</v>
      </c>
      <c r="B466" s="4" t="s">
        <v>207</v>
      </c>
      <c r="C466" s="4" t="s">
        <v>246</v>
      </c>
      <c r="D466" s="4" t="s">
        <v>263</v>
      </c>
      <c r="E466" s="4" t="s">
        <v>248</v>
      </c>
      <c r="F466" s="4" t="s">
        <v>201</v>
      </c>
      <c r="G466" s="4" t="s">
        <v>85</v>
      </c>
      <c r="H466" s="4" t="s">
        <v>249</v>
      </c>
      <c r="I466" s="7">
        <v>2.8000000000000001E-2</v>
      </c>
      <c r="J466" s="7">
        <v>3.1E-2</v>
      </c>
      <c r="K466" s="7">
        <v>8.4000000000000005E-2</v>
      </c>
      <c r="L466" s="7">
        <v>0.14799999999999999</v>
      </c>
      <c r="M466" s="7">
        <v>0.20699999999999999</v>
      </c>
      <c r="N466" s="7">
        <v>0.21299999999999999</v>
      </c>
      <c r="O466" s="7">
        <v>0.23599999999999999</v>
      </c>
      <c r="P466" s="7">
        <v>0.26700000000000002</v>
      </c>
      <c r="Q466" s="7">
        <v>0.26700000000000002</v>
      </c>
      <c r="R466" s="7">
        <v>0.21199999999999999</v>
      </c>
      <c r="S466" s="7">
        <v>0.189</v>
      </c>
      <c r="T466" s="7">
        <v>0.18099999999999999</v>
      </c>
      <c r="U466" s="7">
        <v>0.153</v>
      </c>
      <c r="V466" s="7">
        <v>7.6999999999999999E-2</v>
      </c>
      <c r="W466" s="7">
        <v>0.17499999999999999</v>
      </c>
      <c r="X466" s="7">
        <v>0.26500000000000001</v>
      </c>
      <c r="Y466" s="7">
        <v>0.32500000000000001</v>
      </c>
      <c r="Z466" s="7">
        <v>0.32600000000000001</v>
      </c>
      <c r="AA466" s="7">
        <v>0.32200000000000001</v>
      </c>
      <c r="AB466" s="7">
        <v>0.29899999999999999</v>
      </c>
      <c r="AC466" s="7">
        <v>0.32400000000000001</v>
      </c>
      <c r="AD466" s="7">
        <v>0.40400000000000003</v>
      </c>
      <c r="AE466" s="7">
        <v>0.27200000000000002</v>
      </c>
      <c r="AF466" s="7">
        <v>0.27400000000000002</v>
      </c>
      <c r="AG466" s="7">
        <v>0.24099999999999999</v>
      </c>
      <c r="AH466" s="7">
        <v>0.217</v>
      </c>
      <c r="AI466" s="7">
        <v>0.214</v>
      </c>
      <c r="AJ466" s="7">
        <v>0.34499999999999997</v>
      </c>
      <c r="AK466" s="7">
        <v>0.317</v>
      </c>
      <c r="AL466" s="7">
        <v>0.371</v>
      </c>
      <c r="AM466" s="7">
        <v>0.27100000000000002</v>
      </c>
      <c r="AN466" s="7">
        <v>0.214</v>
      </c>
      <c r="AO466" s="7">
        <v>0.152</v>
      </c>
      <c r="AP466" s="7">
        <v>0.127</v>
      </c>
      <c r="AQ466" s="7">
        <v>6.2E-2</v>
      </c>
      <c r="AR466" s="7">
        <v>0.108</v>
      </c>
      <c r="AS466" s="7">
        <v>0.23599999999999999</v>
      </c>
      <c r="AT466" s="7">
        <v>11.16</v>
      </c>
    </row>
    <row r="467" spans="1:46" x14ac:dyDescent="0.25">
      <c r="A467" s="4" t="s">
        <v>197</v>
      </c>
      <c r="B467" s="4" t="s">
        <v>207</v>
      </c>
      <c r="C467" s="4" t="s">
        <v>246</v>
      </c>
      <c r="D467" s="4" t="s">
        <v>263</v>
      </c>
      <c r="E467" s="4" t="s">
        <v>248</v>
      </c>
      <c r="F467" s="4" t="s">
        <v>201</v>
      </c>
      <c r="G467" s="4" t="s">
        <v>85</v>
      </c>
      <c r="H467" s="4" t="s">
        <v>250</v>
      </c>
      <c r="I467" s="7">
        <v>61.744</v>
      </c>
      <c r="J467" s="7">
        <v>33.259</v>
      </c>
      <c r="K467" s="7">
        <v>56.276000000000003</v>
      </c>
      <c r="L467" s="7">
        <v>50.771000000000001</v>
      </c>
      <c r="M467" s="7">
        <v>45.201999999999998</v>
      </c>
      <c r="N467" s="7">
        <v>47.88</v>
      </c>
      <c r="O467" s="7">
        <v>49.119</v>
      </c>
      <c r="P467" s="7">
        <v>51.878</v>
      </c>
      <c r="Q467" s="7">
        <v>60.098999999999997</v>
      </c>
      <c r="R467" s="7">
        <v>54.341000000000001</v>
      </c>
      <c r="S467" s="7">
        <v>57.695999999999998</v>
      </c>
      <c r="T467" s="7">
        <v>61.534999999999997</v>
      </c>
      <c r="U467" s="7">
        <v>58.83</v>
      </c>
      <c r="V467" s="7">
        <v>38.167999999999999</v>
      </c>
      <c r="W467" s="7">
        <v>39.862000000000002</v>
      </c>
      <c r="X467" s="7">
        <v>39.131</v>
      </c>
      <c r="Y467" s="7">
        <v>41.127000000000002</v>
      </c>
      <c r="Z467" s="7">
        <v>37.488999999999997</v>
      </c>
      <c r="AA467" s="7">
        <v>41.38</v>
      </c>
      <c r="AB467" s="7">
        <v>45.92</v>
      </c>
      <c r="AC467" s="7">
        <v>51.600999999999999</v>
      </c>
      <c r="AD467" s="7">
        <v>52.366</v>
      </c>
      <c r="AE467" s="7">
        <v>58.988</v>
      </c>
      <c r="AF467" s="7">
        <v>51.313000000000002</v>
      </c>
      <c r="AG467" s="7">
        <v>52.847999999999999</v>
      </c>
      <c r="AH467" s="7">
        <v>55.759</v>
      </c>
      <c r="AI467" s="7">
        <v>39.332999999999998</v>
      </c>
      <c r="AJ467" s="7">
        <v>37.442999999999998</v>
      </c>
      <c r="AK467" s="7">
        <v>33.479999999999997</v>
      </c>
      <c r="AL467" s="7">
        <v>31.824999999999999</v>
      </c>
      <c r="AM467" s="7">
        <v>30.015999999999998</v>
      </c>
      <c r="AN467" s="7">
        <v>30.553000000000001</v>
      </c>
      <c r="AO467" s="7">
        <v>30.835999999999999</v>
      </c>
      <c r="AP467" s="7">
        <v>18.524000000000001</v>
      </c>
      <c r="AQ467" s="7">
        <v>21.448</v>
      </c>
      <c r="AR467" s="7">
        <v>31.859000000000002</v>
      </c>
      <c r="AS467" s="7">
        <v>41.558</v>
      </c>
      <c r="AT467" s="5">
        <v>19164.312000000002</v>
      </c>
    </row>
    <row r="468" spans="1:46" x14ac:dyDescent="0.25">
      <c r="A468" s="4" t="s">
        <v>197</v>
      </c>
      <c r="B468" s="4" t="s">
        <v>207</v>
      </c>
      <c r="C468" s="4" t="s">
        <v>246</v>
      </c>
      <c r="D468" s="4" t="s">
        <v>263</v>
      </c>
      <c r="E468" s="4" t="s">
        <v>248</v>
      </c>
      <c r="F468" s="4" t="s">
        <v>201</v>
      </c>
      <c r="G468" s="4" t="s">
        <v>85</v>
      </c>
      <c r="H468" s="4" t="s">
        <v>251</v>
      </c>
      <c r="I468" s="7">
        <v>4.9373132999999996</v>
      </c>
      <c r="J468" s="7">
        <v>3.5823703</v>
      </c>
      <c r="K468" s="7">
        <v>6.6678303000000003</v>
      </c>
      <c r="L468" s="7">
        <v>6.6957509999999996</v>
      </c>
      <c r="M468" s="7">
        <v>6.6927536999999999</v>
      </c>
      <c r="N468" s="7">
        <v>6.0900493999999998</v>
      </c>
      <c r="O468" s="7">
        <v>6.6836624000000002</v>
      </c>
      <c r="P468" s="7">
        <v>6.5963022000000002</v>
      </c>
      <c r="Q468" s="7">
        <v>6.5719602999999998</v>
      </c>
      <c r="R468" s="7">
        <v>6.5010722999999997</v>
      </c>
      <c r="S468" s="7">
        <v>6.6716895000000003</v>
      </c>
      <c r="T468" s="7">
        <v>6.5021646000000004</v>
      </c>
      <c r="U468" s="7">
        <v>6.0683248000000001</v>
      </c>
      <c r="V468" s="7">
        <v>6.1197793000000003</v>
      </c>
      <c r="W468" s="7">
        <v>6.8532564000000002</v>
      </c>
      <c r="X468" s="7">
        <v>7.6957019999999998</v>
      </c>
      <c r="Y468" s="7">
        <v>8.5070206000000006</v>
      </c>
      <c r="Z468" s="7">
        <v>7.3100110000000003</v>
      </c>
      <c r="AA468" s="7">
        <v>7.1717575</v>
      </c>
      <c r="AB468" s="7">
        <v>7.4250550000000004</v>
      </c>
      <c r="AC468" s="7">
        <v>7.4736731000000001</v>
      </c>
      <c r="AD468" s="7">
        <v>7.4356165000000001</v>
      </c>
      <c r="AE468" s="7">
        <v>7.2873393999999996</v>
      </c>
      <c r="AF468" s="7">
        <v>7.3979413999999997</v>
      </c>
      <c r="AG468" s="7">
        <v>7.0644450000000001</v>
      </c>
      <c r="AH468" s="7">
        <v>7.3456302999999998</v>
      </c>
      <c r="AI468" s="7">
        <v>7.4849113000000003</v>
      </c>
      <c r="AJ468" s="7">
        <v>8.3562118999999999</v>
      </c>
      <c r="AK468" s="7">
        <v>8.0226445999999996</v>
      </c>
      <c r="AL468" s="7">
        <v>8.8629201999999996</v>
      </c>
      <c r="AM468" s="7">
        <v>8.1526563999999997</v>
      </c>
      <c r="AN468" s="7">
        <v>8.0898816999999994</v>
      </c>
      <c r="AO468" s="7">
        <v>5.5244549000000003</v>
      </c>
      <c r="AP468" s="7">
        <v>4.1166368000000002</v>
      </c>
      <c r="AQ468" s="7">
        <v>3.9898015</v>
      </c>
      <c r="AR468" s="7">
        <v>5.3382151999999996</v>
      </c>
      <c r="AS468" s="7">
        <v>4.7998272999999996</v>
      </c>
      <c r="AT468" s="7">
        <v>41.558</v>
      </c>
    </row>
    <row r="469" spans="1:46" x14ac:dyDescent="0.25">
      <c r="A469" s="4" t="s">
        <v>197</v>
      </c>
      <c r="B469" s="4" t="s">
        <v>207</v>
      </c>
      <c r="C469" s="4" t="s">
        <v>246</v>
      </c>
      <c r="D469" s="4" t="s">
        <v>263</v>
      </c>
      <c r="E469" s="4" t="s">
        <v>248</v>
      </c>
      <c r="F469" s="4" t="s">
        <v>201</v>
      </c>
      <c r="G469" s="4" t="s">
        <v>85</v>
      </c>
      <c r="H469" s="4" t="s">
        <v>252</v>
      </c>
      <c r="I469" s="16">
        <v>2.706</v>
      </c>
      <c r="J469" s="16">
        <v>3.0230000000000001</v>
      </c>
      <c r="K469" s="16">
        <v>4.63</v>
      </c>
      <c r="L469" s="16">
        <v>4.6390000000000002</v>
      </c>
      <c r="M469" s="16">
        <v>4.7380000000000004</v>
      </c>
      <c r="N469" s="16">
        <v>4.8979999999999997</v>
      </c>
      <c r="O469" s="16">
        <v>4.4610000000000003</v>
      </c>
      <c r="P469" s="16">
        <v>5.2759999999999998</v>
      </c>
      <c r="Q469" s="16">
        <v>5.8639999999999999</v>
      </c>
      <c r="R469" s="16">
        <v>4.8739999999999997</v>
      </c>
      <c r="S469" s="16">
        <v>4.1970000000000001</v>
      </c>
      <c r="T469" s="16">
        <v>3.6440000000000001</v>
      </c>
      <c r="U469" s="16">
        <v>3.161</v>
      </c>
      <c r="V469" s="16">
        <v>3.6869999999999998</v>
      </c>
      <c r="W469" s="16">
        <v>3.2389999999999999</v>
      </c>
      <c r="X469" s="16">
        <v>1.845</v>
      </c>
      <c r="Y469" s="16">
        <v>4.2130000000000001</v>
      </c>
      <c r="Z469" s="16">
        <v>3.0910000000000002</v>
      </c>
      <c r="AA469" s="16">
        <v>3.0569999999999999</v>
      </c>
      <c r="AB469" s="16">
        <v>3.1629999999999998</v>
      </c>
      <c r="AC469" s="16">
        <v>2.863</v>
      </c>
      <c r="AD469" s="16">
        <v>2.5369999999999999</v>
      </c>
      <c r="AE469" s="16">
        <v>2.3359999999999999</v>
      </c>
      <c r="AF469" s="16">
        <v>2.4209999999999998</v>
      </c>
      <c r="AG469" s="16">
        <v>2.597</v>
      </c>
      <c r="AH469" s="16">
        <v>2.3839999999999999</v>
      </c>
      <c r="AI469" s="16">
        <v>2.0129999999999999</v>
      </c>
      <c r="AJ469" s="16">
        <v>3.496</v>
      </c>
      <c r="AK469" s="16">
        <v>2.448</v>
      </c>
      <c r="AL469" s="16">
        <v>1.7270000000000001</v>
      </c>
      <c r="AM469" s="16">
        <v>1.8979999999999999</v>
      </c>
      <c r="AN469" s="16">
        <v>0.90700000000000003</v>
      </c>
      <c r="AO469" s="16">
        <v>1.83</v>
      </c>
      <c r="AP469" s="16">
        <v>0.75600000000000001</v>
      </c>
      <c r="AQ469" s="16">
        <v>1.2569999999999999</v>
      </c>
      <c r="AR469" s="16">
        <v>3.9279999999999999</v>
      </c>
      <c r="AS469" s="16">
        <v>1.9850000000000001</v>
      </c>
      <c r="AT469" s="7">
        <v>4.7998272999999996</v>
      </c>
    </row>
    <row r="470" spans="1:46" x14ac:dyDescent="0.25">
      <c r="A470" s="4" t="s">
        <v>197</v>
      </c>
      <c r="B470" s="4" t="s">
        <v>207</v>
      </c>
      <c r="C470" s="4" t="s">
        <v>246</v>
      </c>
      <c r="D470" s="4" t="s">
        <v>263</v>
      </c>
      <c r="E470" s="4" t="s">
        <v>248</v>
      </c>
      <c r="F470" s="4" t="s">
        <v>195</v>
      </c>
      <c r="G470" s="4" t="s">
        <v>264</v>
      </c>
      <c r="H470" s="4" t="s">
        <v>151</v>
      </c>
      <c r="I470" s="5">
        <v>2.2730000000000001</v>
      </c>
      <c r="J470" s="5">
        <v>0</v>
      </c>
      <c r="K470" s="5">
        <v>35.206000000000003</v>
      </c>
      <c r="L470" s="5">
        <v>1.9370000000000001</v>
      </c>
      <c r="M470" s="5">
        <v>5.8120000000000003</v>
      </c>
      <c r="N470" s="5">
        <v>3.75</v>
      </c>
      <c r="O470" s="5">
        <v>1.7090000000000001</v>
      </c>
      <c r="P470" s="5">
        <v>3.516</v>
      </c>
      <c r="Q470" s="5">
        <v>21.998999999999999</v>
      </c>
      <c r="R470" s="5">
        <v>6.0270000000000001</v>
      </c>
      <c r="S470" s="8">
        <v>0</v>
      </c>
      <c r="T470" s="8">
        <v>0</v>
      </c>
      <c r="U470" s="8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5">
        <v>27.940999999999999</v>
      </c>
      <c r="AO470" s="5">
        <v>17.832999999999998</v>
      </c>
      <c r="AP470" s="8">
        <v>0</v>
      </c>
      <c r="AQ470" s="9">
        <v>0</v>
      </c>
      <c r="AR470" s="9">
        <v>0</v>
      </c>
      <c r="AS470" s="9">
        <v>0</v>
      </c>
      <c r="AT470" s="9">
        <v>0</v>
      </c>
    </row>
    <row r="471" spans="1:46" x14ac:dyDescent="0.25">
      <c r="A471" s="4" t="s">
        <v>197</v>
      </c>
      <c r="B471" s="4" t="s">
        <v>207</v>
      </c>
      <c r="C471" s="4" t="s">
        <v>246</v>
      </c>
      <c r="D471" s="4" t="s">
        <v>263</v>
      </c>
      <c r="E471" s="4" t="s">
        <v>248</v>
      </c>
      <c r="F471" s="4" t="s">
        <v>195</v>
      </c>
      <c r="G471" s="4" t="s">
        <v>264</v>
      </c>
      <c r="H471" s="4" t="s">
        <v>205</v>
      </c>
      <c r="I471" s="6">
        <v>943.08799999999997</v>
      </c>
      <c r="J471" s="6">
        <v>0</v>
      </c>
      <c r="K471" s="6">
        <v>6865.2349999999997</v>
      </c>
      <c r="L471" s="6">
        <v>813.71299999999997</v>
      </c>
      <c r="M471" s="6">
        <v>1549.93</v>
      </c>
      <c r="N471" s="6">
        <v>1143.7349999999999</v>
      </c>
      <c r="O471" s="6">
        <v>324.78899999999999</v>
      </c>
      <c r="P471" s="6">
        <v>1072.252</v>
      </c>
      <c r="Q471" s="6">
        <v>6007.3389999999999</v>
      </c>
      <c r="R471" s="6">
        <v>1607.1</v>
      </c>
      <c r="S471" s="10">
        <v>0</v>
      </c>
      <c r="T471" s="10">
        <v>0</v>
      </c>
      <c r="U471" s="10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0</v>
      </c>
      <c r="AM471" s="9">
        <v>0</v>
      </c>
      <c r="AN471" s="6">
        <v>10785.237999999999</v>
      </c>
      <c r="AO471" s="6">
        <v>6883.375</v>
      </c>
      <c r="AP471" s="10">
        <v>0</v>
      </c>
      <c r="AQ471" s="9">
        <v>0</v>
      </c>
      <c r="AR471" s="9">
        <v>0</v>
      </c>
      <c r="AS471" s="9">
        <v>0</v>
      </c>
      <c r="AT471" s="9">
        <v>0</v>
      </c>
    </row>
    <row r="472" spans="1:46" x14ac:dyDescent="0.25">
      <c r="A472" s="4" t="s">
        <v>197</v>
      </c>
      <c r="B472" s="4" t="s">
        <v>207</v>
      </c>
      <c r="C472" s="4" t="s">
        <v>246</v>
      </c>
      <c r="D472" s="4" t="s">
        <v>263</v>
      </c>
      <c r="E472" s="4" t="s">
        <v>248</v>
      </c>
      <c r="F472" s="4" t="s">
        <v>195</v>
      </c>
      <c r="G472" s="4" t="s">
        <v>264</v>
      </c>
      <c r="H472" s="4" t="s">
        <v>249</v>
      </c>
      <c r="I472" s="7">
        <v>1.0999999999999999E-2</v>
      </c>
      <c r="J472" s="7">
        <v>0</v>
      </c>
      <c r="K472" s="7">
        <v>0.122</v>
      </c>
      <c r="L472" s="7">
        <v>5.0000000000000001E-3</v>
      </c>
      <c r="M472" s="7">
        <v>1.2999999999999999E-2</v>
      </c>
      <c r="N472" s="7">
        <v>8.0000000000000002E-3</v>
      </c>
      <c r="O472" s="7">
        <v>4.0000000000000001E-3</v>
      </c>
      <c r="P472" s="7">
        <v>1.0999999999999999E-2</v>
      </c>
      <c r="Q472" s="7">
        <v>7.4999999999999997E-2</v>
      </c>
      <c r="R472" s="7">
        <v>2.5999999999999999E-2</v>
      </c>
      <c r="S472" s="11">
        <v>0</v>
      </c>
      <c r="T472" s="11">
        <v>0</v>
      </c>
      <c r="U472" s="11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7">
        <v>5.6000000000000001E-2</v>
      </c>
      <c r="AO472" s="7">
        <v>4.2000000000000003E-2</v>
      </c>
      <c r="AP472" s="11">
        <v>0</v>
      </c>
      <c r="AQ472" s="9">
        <v>0</v>
      </c>
      <c r="AR472" s="9">
        <v>0</v>
      </c>
      <c r="AS472" s="9">
        <v>0</v>
      </c>
      <c r="AT472" s="9">
        <v>0</v>
      </c>
    </row>
    <row r="473" spans="1:46" x14ac:dyDescent="0.25">
      <c r="A473" s="4" t="s">
        <v>197</v>
      </c>
      <c r="B473" s="4" t="s">
        <v>207</v>
      </c>
      <c r="C473" s="4" t="s">
        <v>246</v>
      </c>
      <c r="D473" s="4" t="s">
        <v>263</v>
      </c>
      <c r="E473" s="4" t="s">
        <v>248</v>
      </c>
      <c r="F473" s="4" t="s">
        <v>195</v>
      </c>
      <c r="G473" s="4" t="s">
        <v>264</v>
      </c>
      <c r="H473" s="4" t="s">
        <v>250</v>
      </c>
      <c r="I473" s="7">
        <v>15.044</v>
      </c>
      <c r="J473" s="7">
        <v>10.653</v>
      </c>
      <c r="K473" s="7">
        <v>13.244</v>
      </c>
      <c r="L473" s="7">
        <v>9.0779999999999994</v>
      </c>
      <c r="M473" s="7">
        <v>7.5869999999999997</v>
      </c>
      <c r="N473" s="7">
        <v>7.8520000000000003</v>
      </c>
      <c r="O473" s="7">
        <v>8.1999999999999993</v>
      </c>
      <c r="P473" s="7">
        <v>7.3730000000000002</v>
      </c>
      <c r="Q473" s="7">
        <v>10.023999999999999</v>
      </c>
      <c r="R473" s="7">
        <v>0.27900000000000003</v>
      </c>
      <c r="S473" s="11">
        <v>0</v>
      </c>
      <c r="T473" s="11">
        <v>0</v>
      </c>
      <c r="U473" s="11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7">
        <v>2.0329999999999999</v>
      </c>
      <c r="AO473" s="7">
        <v>1.1200000000000001</v>
      </c>
      <c r="AP473" s="11">
        <v>0</v>
      </c>
      <c r="AQ473" s="9">
        <v>0</v>
      </c>
      <c r="AR473" s="9">
        <v>0</v>
      </c>
      <c r="AS473" s="9">
        <v>0</v>
      </c>
      <c r="AT473" s="9">
        <v>0</v>
      </c>
    </row>
    <row r="474" spans="1:46" x14ac:dyDescent="0.25">
      <c r="A474" s="4" t="s">
        <v>197</v>
      </c>
      <c r="B474" s="4" t="s">
        <v>207</v>
      </c>
      <c r="C474" s="4" t="s">
        <v>246</v>
      </c>
      <c r="D474" s="4" t="s">
        <v>263</v>
      </c>
      <c r="E474" s="4" t="s">
        <v>248</v>
      </c>
      <c r="F474" s="4" t="s">
        <v>195</v>
      </c>
      <c r="G474" s="4" t="s">
        <v>264</v>
      </c>
      <c r="H474" s="4" t="s">
        <v>251</v>
      </c>
      <c r="I474" s="7">
        <v>0.29776059999999999</v>
      </c>
      <c r="J474" s="7">
        <v>0.29771599999999998</v>
      </c>
      <c r="K474" s="7">
        <v>0.29768230000000001</v>
      </c>
      <c r="L474" s="7">
        <v>0.26567740000000001</v>
      </c>
      <c r="M474" s="7">
        <v>0.26555839999999997</v>
      </c>
      <c r="N474" s="7">
        <v>0.26555830000000002</v>
      </c>
      <c r="O474" s="7">
        <v>0.26555820000000002</v>
      </c>
      <c r="P474" s="7">
        <v>0.26555810000000002</v>
      </c>
      <c r="Q474" s="7">
        <v>0.27392879999999997</v>
      </c>
      <c r="R474" s="7">
        <v>2.3310600000000001E-2</v>
      </c>
      <c r="S474" s="7">
        <v>0</v>
      </c>
      <c r="T474" s="7">
        <v>0</v>
      </c>
      <c r="U474" s="7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7">
        <v>0.21092279999999999</v>
      </c>
      <c r="AO474" s="7">
        <v>0.21092269999999999</v>
      </c>
      <c r="AP474" s="7">
        <v>0</v>
      </c>
      <c r="AQ474" s="9">
        <v>0</v>
      </c>
      <c r="AR474" s="9">
        <v>0</v>
      </c>
      <c r="AS474" s="9">
        <v>0</v>
      </c>
      <c r="AT474" s="9">
        <v>0</v>
      </c>
    </row>
    <row r="475" spans="1:46" x14ac:dyDescent="0.25">
      <c r="A475" s="4" t="s">
        <v>197</v>
      </c>
      <c r="B475" s="4" t="s">
        <v>207</v>
      </c>
      <c r="C475" s="4" t="s">
        <v>246</v>
      </c>
      <c r="D475" s="4" t="s">
        <v>263</v>
      </c>
      <c r="E475" s="4" t="s">
        <v>248</v>
      </c>
      <c r="F475" s="4" t="s">
        <v>195</v>
      </c>
      <c r="G475" s="4" t="s">
        <v>264</v>
      </c>
      <c r="H475" s="4" t="s">
        <v>252</v>
      </c>
      <c r="I475" s="16">
        <v>0.14699999999999999</v>
      </c>
      <c r="J475" s="16">
        <v>0.157</v>
      </c>
      <c r="K475" s="16">
        <v>6.8000000000000005E-2</v>
      </c>
      <c r="L475" s="16">
        <v>0.10199999999999999</v>
      </c>
      <c r="M475" s="16">
        <v>0.1</v>
      </c>
      <c r="N475" s="16">
        <v>0.113</v>
      </c>
      <c r="O475" s="16">
        <v>0.105</v>
      </c>
      <c r="P475" s="16">
        <v>4.5999999999999999E-2</v>
      </c>
      <c r="Q475" s="16">
        <v>0.01</v>
      </c>
      <c r="R475" s="17">
        <v>0</v>
      </c>
      <c r="S475" s="17">
        <v>0</v>
      </c>
      <c r="T475" s="17">
        <v>0</v>
      </c>
      <c r="U475" s="17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16">
        <v>4.5999999999999999E-2</v>
      </c>
      <c r="AO475" s="17">
        <v>0</v>
      </c>
      <c r="AP475" s="17">
        <v>0</v>
      </c>
      <c r="AQ475" s="9">
        <v>0</v>
      </c>
      <c r="AR475" s="9">
        <v>0</v>
      </c>
      <c r="AS475" s="9">
        <v>0</v>
      </c>
      <c r="AT475" s="9">
        <v>0</v>
      </c>
    </row>
    <row r="476" spans="1:46" x14ac:dyDescent="0.25">
      <c r="A476" s="4" t="s">
        <v>197</v>
      </c>
      <c r="B476" s="4" t="s">
        <v>207</v>
      </c>
      <c r="C476" s="4" t="s">
        <v>246</v>
      </c>
      <c r="D476" s="4" t="s">
        <v>263</v>
      </c>
      <c r="E476" s="4" t="s">
        <v>248</v>
      </c>
      <c r="F476" s="4" t="s">
        <v>195</v>
      </c>
      <c r="G476" s="4" t="s">
        <v>71</v>
      </c>
      <c r="H476" s="4" t="s">
        <v>151</v>
      </c>
      <c r="I476" s="5">
        <v>337.99799999999999</v>
      </c>
      <c r="J476" s="5">
        <v>459.154</v>
      </c>
      <c r="K476" s="5">
        <v>939.14400000000001</v>
      </c>
      <c r="L476" s="5">
        <v>1223.49</v>
      </c>
      <c r="M476" s="5">
        <v>3345.9259999999999</v>
      </c>
      <c r="N476" s="5">
        <v>2196.0650000000001</v>
      </c>
      <c r="O476" s="5">
        <v>1839.91</v>
      </c>
      <c r="P476" s="5">
        <v>1129.748</v>
      </c>
      <c r="Q476" s="5">
        <v>378.60399999999998</v>
      </c>
      <c r="R476" s="5">
        <v>218.392</v>
      </c>
      <c r="S476" s="5">
        <v>67.936000000000007</v>
      </c>
      <c r="T476" s="5">
        <v>209.57</v>
      </c>
      <c r="U476" s="5">
        <v>16.577000000000002</v>
      </c>
      <c r="V476" s="5">
        <v>197.297</v>
      </c>
      <c r="W476" s="5">
        <v>334.26</v>
      </c>
      <c r="X476" s="5">
        <v>1071.8820000000001</v>
      </c>
      <c r="Y476" s="5">
        <v>965.28499999999997</v>
      </c>
      <c r="Z476" s="5">
        <v>881.56100000000004</v>
      </c>
      <c r="AA476" s="5">
        <v>2470.1869999999999</v>
      </c>
      <c r="AB476" s="5">
        <v>1793.981</v>
      </c>
      <c r="AC476" s="5">
        <v>1053.58</v>
      </c>
      <c r="AD476" s="5">
        <v>428.09500000000003</v>
      </c>
      <c r="AE476" s="5">
        <v>119.14</v>
      </c>
      <c r="AF476" s="5">
        <v>276.23700000000002</v>
      </c>
      <c r="AG476" s="5">
        <v>382.68900000000002</v>
      </c>
      <c r="AH476" s="5">
        <v>238.31299999999999</v>
      </c>
      <c r="AI476" s="5">
        <v>662.32</v>
      </c>
      <c r="AJ476" s="5">
        <v>1231.4380000000001</v>
      </c>
      <c r="AK476" s="5">
        <v>695.67600000000004</v>
      </c>
      <c r="AL476" s="5">
        <v>783.73299999999995</v>
      </c>
      <c r="AM476" s="5">
        <v>1383.7280000000001</v>
      </c>
      <c r="AN476" s="5">
        <v>933.69399999999996</v>
      </c>
      <c r="AO476" s="5">
        <v>839.38800000000003</v>
      </c>
      <c r="AP476" s="5">
        <v>819.72299999999996</v>
      </c>
      <c r="AQ476" s="5">
        <v>728.07500000000005</v>
      </c>
      <c r="AR476" s="5">
        <v>403.26100000000002</v>
      </c>
      <c r="AS476" s="5">
        <v>48.738999999999997</v>
      </c>
      <c r="AT476" s="5">
        <v>508.54500000000002</v>
      </c>
    </row>
    <row r="477" spans="1:46" x14ac:dyDescent="0.25">
      <c r="A477" s="4" t="s">
        <v>197</v>
      </c>
      <c r="B477" s="4" t="s">
        <v>207</v>
      </c>
      <c r="C477" s="4" t="s">
        <v>246</v>
      </c>
      <c r="D477" s="4" t="s">
        <v>263</v>
      </c>
      <c r="E477" s="4" t="s">
        <v>248</v>
      </c>
      <c r="F477" s="4" t="s">
        <v>195</v>
      </c>
      <c r="G477" s="4" t="s">
        <v>71</v>
      </c>
      <c r="H477" s="4" t="s">
        <v>205</v>
      </c>
      <c r="I477" s="6">
        <v>40149.161</v>
      </c>
      <c r="J477" s="6">
        <v>56472.981</v>
      </c>
      <c r="K477" s="6">
        <v>80799.116999999998</v>
      </c>
      <c r="L477" s="6">
        <v>115224.07399999999</v>
      </c>
      <c r="M477" s="6">
        <v>302346.38099999999</v>
      </c>
      <c r="N477" s="6">
        <v>203725.62599999999</v>
      </c>
      <c r="O477" s="6">
        <v>181161.43700000001</v>
      </c>
      <c r="P477" s="6">
        <v>112891.68399999999</v>
      </c>
      <c r="Q477" s="6">
        <v>47613.978000000003</v>
      </c>
      <c r="R477" s="6">
        <v>21702.035</v>
      </c>
      <c r="S477" s="6">
        <v>9132.4150000000009</v>
      </c>
      <c r="T477" s="6">
        <v>25030.194</v>
      </c>
      <c r="U477" s="6">
        <v>2138.4490000000001</v>
      </c>
      <c r="V477" s="6">
        <v>14805.746999999999</v>
      </c>
      <c r="W477" s="6">
        <v>44148.088000000003</v>
      </c>
      <c r="X477" s="6">
        <v>134309.935</v>
      </c>
      <c r="Y477" s="6">
        <v>126762.054</v>
      </c>
      <c r="Z477" s="6">
        <v>106278.571</v>
      </c>
      <c r="AA477" s="6">
        <v>200424.66699999999</v>
      </c>
      <c r="AB477" s="6">
        <v>147311.74100000001</v>
      </c>
      <c r="AC477" s="6">
        <v>91437.975999999995</v>
      </c>
      <c r="AD477" s="6">
        <v>58267.321000000004</v>
      </c>
      <c r="AE477" s="6">
        <v>10748.938</v>
      </c>
      <c r="AF477" s="6">
        <v>21027.868999999999</v>
      </c>
      <c r="AG477" s="6">
        <v>29274.870999999999</v>
      </c>
      <c r="AH477" s="6">
        <v>28273.830999999998</v>
      </c>
      <c r="AI477" s="6">
        <v>59361.883000000002</v>
      </c>
      <c r="AJ477" s="6">
        <v>118498.908</v>
      </c>
      <c r="AK477" s="6">
        <v>81976.782999999996</v>
      </c>
      <c r="AL477" s="6">
        <v>99548.126999999993</v>
      </c>
      <c r="AM477" s="6">
        <v>194754.79699999999</v>
      </c>
      <c r="AN477" s="6">
        <v>128394.34299999999</v>
      </c>
      <c r="AO477" s="6">
        <v>109096.962</v>
      </c>
      <c r="AP477" s="6">
        <v>85005.748999999996</v>
      </c>
      <c r="AQ477" s="6">
        <v>70045.713000000003</v>
      </c>
      <c r="AR477" s="6">
        <v>38874.472000000002</v>
      </c>
      <c r="AS477" s="6">
        <v>5785.7250000000004</v>
      </c>
      <c r="AT477" s="6">
        <v>5785.7250000000004</v>
      </c>
    </row>
    <row r="478" spans="1:46" x14ac:dyDescent="0.25">
      <c r="A478" s="4" t="s">
        <v>197</v>
      </c>
      <c r="B478" s="4" t="s">
        <v>207</v>
      </c>
      <c r="C478" s="4" t="s">
        <v>246</v>
      </c>
      <c r="D478" s="4" t="s">
        <v>263</v>
      </c>
      <c r="E478" s="4" t="s">
        <v>248</v>
      </c>
      <c r="F478" s="4" t="s">
        <v>195</v>
      </c>
      <c r="G478" s="4" t="s">
        <v>71</v>
      </c>
      <c r="H478" s="4" t="s">
        <v>249</v>
      </c>
      <c r="I478" s="7">
        <v>6.9000000000000006E-2</v>
      </c>
      <c r="J478" s="7">
        <v>8.5000000000000006E-2</v>
      </c>
      <c r="K478" s="7">
        <v>0.10299999999999999</v>
      </c>
      <c r="L478" s="7">
        <v>0.10199999999999999</v>
      </c>
      <c r="M478" s="7">
        <v>0.23400000000000001</v>
      </c>
      <c r="N478" s="7">
        <v>0.14699999999999999</v>
      </c>
      <c r="O478" s="7">
        <v>0.13500000000000001</v>
      </c>
      <c r="P478" s="7">
        <v>0.114</v>
      </c>
      <c r="Q478" s="7">
        <v>5.2999999999999999E-2</v>
      </c>
      <c r="R478" s="7">
        <v>0.04</v>
      </c>
      <c r="S478" s="7">
        <v>1.4E-2</v>
      </c>
      <c r="T478" s="7">
        <v>4.4999999999999998E-2</v>
      </c>
      <c r="U478" s="7">
        <v>4.0000000000000001E-3</v>
      </c>
      <c r="V478" s="7">
        <v>2.8000000000000001E-2</v>
      </c>
      <c r="W478" s="7">
        <v>6.0999999999999999E-2</v>
      </c>
      <c r="X478" s="7">
        <v>0.156</v>
      </c>
      <c r="Y478" s="7">
        <v>0.13200000000000001</v>
      </c>
      <c r="Z478" s="7">
        <v>0.115</v>
      </c>
      <c r="AA478" s="7">
        <v>0.19400000000000001</v>
      </c>
      <c r="AB478" s="7">
        <v>0.161</v>
      </c>
      <c r="AC478" s="7">
        <v>0.106</v>
      </c>
      <c r="AD478" s="7">
        <v>8.4000000000000005E-2</v>
      </c>
      <c r="AE478" s="7">
        <v>2.8000000000000001E-2</v>
      </c>
      <c r="AF478" s="7">
        <v>4.7E-2</v>
      </c>
      <c r="AG478" s="7">
        <v>5.7000000000000002E-2</v>
      </c>
      <c r="AH478" s="7">
        <v>4.5999999999999999E-2</v>
      </c>
      <c r="AI478" s="7">
        <v>8.1000000000000003E-2</v>
      </c>
      <c r="AJ478" s="7">
        <v>0.125</v>
      </c>
      <c r="AK478" s="7">
        <v>7.8E-2</v>
      </c>
      <c r="AL478" s="7">
        <v>7.3999999999999996E-2</v>
      </c>
      <c r="AM478" s="7">
        <v>0.112</v>
      </c>
      <c r="AN478" s="7">
        <v>7.0000000000000007E-2</v>
      </c>
      <c r="AO478" s="7">
        <v>6.0999999999999999E-2</v>
      </c>
      <c r="AP478" s="7">
        <v>0.106</v>
      </c>
      <c r="AQ478" s="7">
        <v>0.13300000000000001</v>
      </c>
      <c r="AR478" s="7">
        <v>0.10199999999999999</v>
      </c>
      <c r="AS478" s="7">
        <v>1.9E-2</v>
      </c>
      <c r="AT478" s="7">
        <v>0.879</v>
      </c>
    </row>
    <row r="479" spans="1:46" x14ac:dyDescent="0.25">
      <c r="A479" s="4" t="s">
        <v>197</v>
      </c>
      <c r="B479" s="4" t="s">
        <v>207</v>
      </c>
      <c r="C479" s="4" t="s">
        <v>246</v>
      </c>
      <c r="D479" s="4" t="s">
        <v>263</v>
      </c>
      <c r="E479" s="4" t="s">
        <v>248</v>
      </c>
      <c r="F479" s="4" t="s">
        <v>195</v>
      </c>
      <c r="G479" s="4" t="s">
        <v>71</v>
      </c>
      <c r="H479" s="4" t="s">
        <v>250</v>
      </c>
      <c r="I479" s="7">
        <v>23.97</v>
      </c>
      <c r="J479" s="7">
        <v>22.184999999999999</v>
      </c>
      <c r="K479" s="7">
        <v>30.414999999999999</v>
      </c>
      <c r="L479" s="7">
        <v>34.713000000000001</v>
      </c>
      <c r="M479" s="7">
        <v>44.726999999999997</v>
      </c>
      <c r="N479" s="7">
        <v>33.984999999999999</v>
      </c>
      <c r="O479" s="7">
        <v>31.881</v>
      </c>
      <c r="P479" s="7">
        <v>22.881</v>
      </c>
      <c r="Q479" s="7">
        <v>18.855</v>
      </c>
      <c r="R479" s="7">
        <v>11.092000000000001</v>
      </c>
      <c r="S479" s="7">
        <v>10.581</v>
      </c>
      <c r="T479" s="7">
        <v>10.513</v>
      </c>
      <c r="U479" s="7">
        <v>9.9139999999999997</v>
      </c>
      <c r="V479" s="7">
        <v>11.999000000000001</v>
      </c>
      <c r="W479" s="7">
        <v>21.341000000000001</v>
      </c>
      <c r="X479" s="7">
        <v>28.733000000000001</v>
      </c>
      <c r="Y479" s="7">
        <v>24.986999999999998</v>
      </c>
      <c r="Z479" s="7">
        <v>25.035</v>
      </c>
      <c r="AA479" s="7">
        <v>31.074999999999999</v>
      </c>
      <c r="AB479" s="7">
        <v>21.274000000000001</v>
      </c>
      <c r="AC479" s="7">
        <v>19.152000000000001</v>
      </c>
      <c r="AD479" s="7">
        <v>16.202999999999999</v>
      </c>
      <c r="AE479" s="7">
        <v>12.762</v>
      </c>
      <c r="AF479" s="7">
        <v>16.93</v>
      </c>
      <c r="AG479" s="7">
        <v>13.265000000000001</v>
      </c>
      <c r="AH479" s="7">
        <v>21.728999999999999</v>
      </c>
      <c r="AI479" s="7">
        <v>18.524000000000001</v>
      </c>
      <c r="AJ479" s="7">
        <v>17.466000000000001</v>
      </c>
      <c r="AK479" s="7">
        <v>16.724</v>
      </c>
      <c r="AL479" s="7">
        <v>16.271000000000001</v>
      </c>
      <c r="AM479" s="7">
        <v>15.887</v>
      </c>
      <c r="AN479" s="7">
        <v>18.225999999999999</v>
      </c>
      <c r="AO479" s="7">
        <v>10.74</v>
      </c>
      <c r="AP479" s="7">
        <v>10.917999999999999</v>
      </c>
      <c r="AQ479" s="7">
        <v>9.6560000000000006</v>
      </c>
      <c r="AR479" s="7">
        <v>9.8109999999999999</v>
      </c>
      <c r="AS479" s="7">
        <v>3.3170000000000002</v>
      </c>
      <c r="AT479" s="5">
        <v>14995.365</v>
      </c>
    </row>
    <row r="480" spans="1:46" x14ac:dyDescent="0.25">
      <c r="A480" s="4" t="s">
        <v>197</v>
      </c>
      <c r="B480" s="4" t="s">
        <v>207</v>
      </c>
      <c r="C480" s="4" t="s">
        <v>246</v>
      </c>
      <c r="D480" s="4" t="s">
        <v>263</v>
      </c>
      <c r="E480" s="4" t="s">
        <v>248</v>
      </c>
      <c r="F480" s="4" t="s">
        <v>195</v>
      </c>
      <c r="G480" s="4" t="s">
        <v>71</v>
      </c>
      <c r="H480" s="4" t="s">
        <v>251</v>
      </c>
      <c r="I480" s="7">
        <v>7.5379477000000001</v>
      </c>
      <c r="J480" s="7">
        <v>7.5600173000000002</v>
      </c>
      <c r="K480" s="7">
        <v>9.3551126</v>
      </c>
      <c r="L480" s="7">
        <v>11.0966041</v>
      </c>
      <c r="M480" s="7">
        <v>11.679340699999999</v>
      </c>
      <c r="N480" s="7">
        <v>9.0163291999999995</v>
      </c>
      <c r="O480" s="7">
        <v>9.0532733000000007</v>
      </c>
      <c r="P480" s="7">
        <v>9.3493663999999992</v>
      </c>
      <c r="Q480" s="7">
        <v>8.6653359999999999</v>
      </c>
      <c r="R480" s="7">
        <v>8.9511176999999993</v>
      </c>
      <c r="S480" s="7">
        <v>9.0818647000000006</v>
      </c>
      <c r="T480" s="7">
        <v>8.9277654999999996</v>
      </c>
      <c r="U480" s="7">
        <v>8.3749418000000002</v>
      </c>
      <c r="V480" s="7">
        <v>8.1713526000000005</v>
      </c>
      <c r="W480" s="7">
        <v>7.7734397</v>
      </c>
      <c r="X480" s="7">
        <v>9.3022945000000004</v>
      </c>
      <c r="Y480" s="7">
        <v>8.3694213000000008</v>
      </c>
      <c r="Z480" s="7">
        <v>8.3810721000000008</v>
      </c>
      <c r="AA480" s="7">
        <v>8.7711144000000001</v>
      </c>
      <c r="AB480" s="7">
        <v>6.3183056000000004</v>
      </c>
      <c r="AC480" s="7">
        <v>5.8745636000000001</v>
      </c>
      <c r="AD480" s="7">
        <v>6.1131681000000002</v>
      </c>
      <c r="AE480" s="7">
        <v>6.1811182000000002</v>
      </c>
      <c r="AF480" s="7">
        <v>6.9135152</v>
      </c>
      <c r="AG480" s="7">
        <v>7.1635844999999998</v>
      </c>
      <c r="AH480" s="7">
        <v>7.2621978</v>
      </c>
      <c r="AI480" s="7">
        <v>7.7278238999999997</v>
      </c>
      <c r="AJ480" s="7">
        <v>6.7043977000000003</v>
      </c>
      <c r="AK480" s="7">
        <v>6.6138577999999999</v>
      </c>
      <c r="AL480" s="7">
        <v>6.8314250000000003</v>
      </c>
      <c r="AM480" s="7">
        <v>8.1662283000000002</v>
      </c>
      <c r="AN480" s="7">
        <v>7.2450479999999997</v>
      </c>
      <c r="AO480" s="7">
        <v>6.2410019999999999</v>
      </c>
      <c r="AP480" s="7">
        <v>6.9559097000000003</v>
      </c>
      <c r="AQ480" s="7">
        <v>6.3341912000000002</v>
      </c>
      <c r="AR480" s="7">
        <v>6.4272426999999999</v>
      </c>
      <c r="AS480" s="7">
        <v>4.9973916000000003</v>
      </c>
      <c r="AT480" s="7">
        <v>3.3170000000000002</v>
      </c>
    </row>
    <row r="481" spans="1:46" x14ac:dyDescent="0.25">
      <c r="A481" s="4" t="s">
        <v>197</v>
      </c>
      <c r="B481" s="4" t="s">
        <v>207</v>
      </c>
      <c r="C481" s="4" t="s">
        <v>246</v>
      </c>
      <c r="D481" s="4" t="s">
        <v>263</v>
      </c>
      <c r="E481" s="4" t="s">
        <v>248</v>
      </c>
      <c r="F481" s="4" t="s">
        <v>195</v>
      </c>
      <c r="G481" s="4" t="s">
        <v>71</v>
      </c>
      <c r="H481" s="4" t="s">
        <v>252</v>
      </c>
      <c r="I481" s="16">
        <v>4.1859999999999999</v>
      </c>
      <c r="J481" s="16">
        <v>3.6469999999999998</v>
      </c>
      <c r="K481" s="16">
        <v>4.6319999999999997</v>
      </c>
      <c r="L481" s="16">
        <v>4.7930000000000001</v>
      </c>
      <c r="M481" s="16">
        <v>4.8639999999999999</v>
      </c>
      <c r="N481" s="16">
        <v>4.5179999999999998</v>
      </c>
      <c r="O481" s="16">
        <v>3.746</v>
      </c>
      <c r="P481" s="16">
        <v>3.8439999999999999</v>
      </c>
      <c r="Q481" s="16">
        <v>3.0470000000000002</v>
      </c>
      <c r="R481" s="16">
        <v>3.181</v>
      </c>
      <c r="S481" s="16">
        <v>3.7749999999999999</v>
      </c>
      <c r="T481" s="16">
        <v>3.2959999999999998</v>
      </c>
      <c r="U481" s="16">
        <v>2.4380000000000002</v>
      </c>
      <c r="V481" s="16">
        <v>2.4870000000000001</v>
      </c>
      <c r="W481" s="16">
        <v>3.9540000000000002</v>
      </c>
      <c r="X481" s="16">
        <v>3.032</v>
      </c>
      <c r="Y481" s="16">
        <v>3.51</v>
      </c>
      <c r="Z481" s="16">
        <v>3.7349999999999999</v>
      </c>
      <c r="AA481" s="16">
        <v>5.109</v>
      </c>
      <c r="AB481" s="16">
        <v>5.234</v>
      </c>
      <c r="AC481" s="16">
        <v>4.1710000000000003</v>
      </c>
      <c r="AD481" s="16">
        <v>3.9129999999999998</v>
      </c>
      <c r="AE481" s="16">
        <v>4.4320000000000004</v>
      </c>
      <c r="AF481" s="16">
        <v>4.734</v>
      </c>
      <c r="AG481" s="16">
        <v>4.7590000000000003</v>
      </c>
      <c r="AH481" s="16">
        <v>4.6900000000000004</v>
      </c>
      <c r="AI481" s="16">
        <v>3.9049999999999998</v>
      </c>
      <c r="AJ481" s="16">
        <v>2.4</v>
      </c>
      <c r="AK481" s="16">
        <v>2.82</v>
      </c>
      <c r="AL481" s="16">
        <v>2.9449999999999998</v>
      </c>
      <c r="AM481" s="16">
        <v>2.8250000000000002</v>
      </c>
      <c r="AN481" s="16">
        <v>2.601</v>
      </c>
      <c r="AO481" s="16">
        <v>2.4550000000000001</v>
      </c>
      <c r="AP481" s="16">
        <v>2.919</v>
      </c>
      <c r="AQ481" s="16">
        <v>3.1019999999999999</v>
      </c>
      <c r="AR481" s="16">
        <v>3.351</v>
      </c>
      <c r="AS481" s="16">
        <v>3.3650000000000002</v>
      </c>
      <c r="AT481" s="7">
        <v>4.9973916000000003</v>
      </c>
    </row>
    <row r="482" spans="1:46" x14ac:dyDescent="0.25">
      <c r="A482" s="4" t="s">
        <v>197</v>
      </c>
      <c r="B482" s="4" t="s">
        <v>207</v>
      </c>
      <c r="C482" s="4" t="s">
        <v>246</v>
      </c>
      <c r="D482" s="4" t="s">
        <v>263</v>
      </c>
      <c r="E482" s="4" t="s">
        <v>248</v>
      </c>
      <c r="F482" s="4" t="s">
        <v>195</v>
      </c>
      <c r="G482" s="4" t="s">
        <v>76</v>
      </c>
      <c r="H482" s="4" t="s">
        <v>151</v>
      </c>
      <c r="I482" s="5">
        <v>71.528999999999996</v>
      </c>
      <c r="J482" s="5">
        <v>109.45</v>
      </c>
      <c r="K482" s="5">
        <v>77.366</v>
      </c>
      <c r="L482" s="5">
        <v>220.91</v>
      </c>
      <c r="M482" s="5">
        <v>186.93100000000001</v>
      </c>
      <c r="N482" s="5">
        <v>271.21199999999999</v>
      </c>
      <c r="O482" s="5">
        <v>138.792</v>
      </c>
      <c r="P482" s="5">
        <v>59.396000000000001</v>
      </c>
      <c r="Q482" s="5">
        <v>6.6120000000000001</v>
      </c>
      <c r="R482" s="5">
        <v>77.667000000000002</v>
      </c>
      <c r="S482" s="5">
        <v>3.5219999999999998</v>
      </c>
      <c r="T482" s="5">
        <v>2.004</v>
      </c>
      <c r="U482" s="5">
        <v>3.004</v>
      </c>
      <c r="V482" s="5">
        <v>8.7620000000000005</v>
      </c>
      <c r="W482" s="5">
        <v>174.67500000000001</v>
      </c>
      <c r="X482" s="5">
        <v>192.77699999999999</v>
      </c>
      <c r="Y482" s="5">
        <v>106.593</v>
      </c>
      <c r="Z482" s="5">
        <v>93.091999999999999</v>
      </c>
      <c r="AA482" s="5">
        <v>146.541</v>
      </c>
      <c r="AB482" s="5">
        <v>83.090999999999994</v>
      </c>
      <c r="AC482" s="5">
        <v>70.253</v>
      </c>
      <c r="AD482" s="5">
        <v>44.942</v>
      </c>
      <c r="AE482" s="5">
        <v>14.286</v>
      </c>
      <c r="AF482" s="5">
        <v>19.007000000000001</v>
      </c>
      <c r="AG482" s="5">
        <v>0</v>
      </c>
      <c r="AH482" s="5">
        <v>96.736999999999995</v>
      </c>
      <c r="AI482" s="5">
        <v>34.356999999999999</v>
      </c>
      <c r="AJ482" s="5">
        <v>290.77499999999998</v>
      </c>
      <c r="AK482" s="5">
        <v>240.75700000000001</v>
      </c>
      <c r="AL482" s="5">
        <v>190.03100000000001</v>
      </c>
      <c r="AM482" s="5">
        <v>125.68</v>
      </c>
      <c r="AN482" s="5">
        <v>117.035</v>
      </c>
      <c r="AO482" s="5">
        <v>481.37</v>
      </c>
      <c r="AP482" s="5">
        <v>659.88499999999999</v>
      </c>
      <c r="AQ482" s="5">
        <v>378.33199999999999</v>
      </c>
      <c r="AR482" s="5">
        <v>73.275000000000006</v>
      </c>
      <c r="AS482" s="5">
        <v>18.960999999999999</v>
      </c>
      <c r="AT482" s="5">
        <v>18.960999999999999</v>
      </c>
    </row>
    <row r="483" spans="1:46" x14ac:dyDescent="0.25">
      <c r="A483" s="4" t="s">
        <v>197</v>
      </c>
      <c r="B483" s="4" t="s">
        <v>207</v>
      </c>
      <c r="C483" s="4" t="s">
        <v>246</v>
      </c>
      <c r="D483" s="4" t="s">
        <v>263</v>
      </c>
      <c r="E483" s="4" t="s">
        <v>248</v>
      </c>
      <c r="F483" s="4" t="s">
        <v>195</v>
      </c>
      <c r="G483" s="4" t="s">
        <v>76</v>
      </c>
      <c r="H483" s="4" t="s">
        <v>205</v>
      </c>
      <c r="I483" s="6">
        <v>20496.291000000001</v>
      </c>
      <c r="J483" s="6">
        <v>33202.080999999998</v>
      </c>
      <c r="K483" s="6">
        <v>22226.973000000002</v>
      </c>
      <c r="L483" s="6">
        <v>70333.400999999998</v>
      </c>
      <c r="M483" s="6">
        <v>58947.733999999997</v>
      </c>
      <c r="N483" s="6">
        <v>74604.256999999998</v>
      </c>
      <c r="O483" s="6">
        <v>39890.874000000003</v>
      </c>
      <c r="P483" s="6">
        <v>20496.539000000001</v>
      </c>
      <c r="Q483" s="6">
        <v>1752.25</v>
      </c>
      <c r="R483" s="6">
        <v>16012.007</v>
      </c>
      <c r="S483" s="6">
        <v>810.14599999999996</v>
      </c>
      <c r="T483" s="6">
        <v>460.96300000000002</v>
      </c>
      <c r="U483" s="6">
        <v>776.96299999999997</v>
      </c>
      <c r="V483" s="6">
        <v>2190.5189999999998</v>
      </c>
      <c r="W483" s="6">
        <v>49817.156000000003</v>
      </c>
      <c r="X483" s="6">
        <v>57066.872000000003</v>
      </c>
      <c r="Y483" s="6">
        <v>31879.612000000001</v>
      </c>
      <c r="Z483" s="6">
        <v>29712.489000000001</v>
      </c>
      <c r="AA483" s="6">
        <v>44929.226999999999</v>
      </c>
      <c r="AB483" s="6">
        <v>24883.421999999999</v>
      </c>
      <c r="AC483" s="6">
        <v>20938.496999999999</v>
      </c>
      <c r="AD483" s="6">
        <v>13418.655000000001</v>
      </c>
      <c r="AE483" s="6">
        <v>4005.922</v>
      </c>
      <c r="AF483" s="6">
        <v>6060.2330000000002</v>
      </c>
      <c r="AG483" s="6">
        <v>0</v>
      </c>
      <c r="AH483" s="6">
        <v>34263.771000000001</v>
      </c>
      <c r="AI483" s="6">
        <v>9691.7440000000006</v>
      </c>
      <c r="AJ483" s="6">
        <v>85474.228000000003</v>
      </c>
      <c r="AK483" s="6">
        <v>69990.989000000001</v>
      </c>
      <c r="AL483" s="6">
        <v>49749.883000000002</v>
      </c>
      <c r="AM483" s="6">
        <v>35305.86</v>
      </c>
      <c r="AN483" s="6">
        <v>34128.945</v>
      </c>
      <c r="AO483" s="6">
        <v>159399.06700000001</v>
      </c>
      <c r="AP483" s="6">
        <v>211796.88399999999</v>
      </c>
      <c r="AQ483" s="6">
        <v>130562.967</v>
      </c>
      <c r="AR483" s="6">
        <v>24197.48</v>
      </c>
      <c r="AS483" s="6">
        <v>4750.4989999999998</v>
      </c>
      <c r="AT483" s="6">
        <v>4750.4989999999998</v>
      </c>
    </row>
    <row r="484" spans="1:46" x14ac:dyDescent="0.25">
      <c r="A484" s="4" t="s">
        <v>197</v>
      </c>
      <c r="B484" s="4" t="s">
        <v>207</v>
      </c>
      <c r="C484" s="4" t="s">
        <v>246</v>
      </c>
      <c r="D484" s="4" t="s">
        <v>263</v>
      </c>
      <c r="E484" s="4" t="s">
        <v>248</v>
      </c>
      <c r="F484" s="4" t="s">
        <v>195</v>
      </c>
      <c r="G484" s="4" t="s">
        <v>76</v>
      </c>
      <c r="H484" s="4" t="s">
        <v>249</v>
      </c>
      <c r="I484" s="7">
        <v>5.5E-2</v>
      </c>
      <c r="J484" s="7">
        <v>7.5999999999999998E-2</v>
      </c>
      <c r="K484" s="7">
        <v>4.1000000000000002E-2</v>
      </c>
      <c r="L484" s="7">
        <v>8.6999999999999994E-2</v>
      </c>
      <c r="M484" s="7">
        <v>6.5000000000000002E-2</v>
      </c>
      <c r="N484" s="7">
        <v>9.4E-2</v>
      </c>
      <c r="O484" s="7">
        <v>5.0999999999999997E-2</v>
      </c>
      <c r="P484" s="7">
        <v>2.9000000000000001E-2</v>
      </c>
      <c r="Q484" s="7">
        <v>4.0000000000000001E-3</v>
      </c>
      <c r="R484" s="7">
        <v>5.2999999999999999E-2</v>
      </c>
      <c r="S484" s="7">
        <v>3.0000000000000001E-3</v>
      </c>
      <c r="T484" s="7">
        <v>2E-3</v>
      </c>
      <c r="U484" s="7">
        <v>2E-3</v>
      </c>
      <c r="V484" s="7">
        <v>7.0000000000000001E-3</v>
      </c>
      <c r="W484" s="7">
        <v>0.11899999999999999</v>
      </c>
      <c r="X484" s="7">
        <v>0.105</v>
      </c>
      <c r="Y484" s="7">
        <v>5.5E-2</v>
      </c>
      <c r="Z484" s="7">
        <v>4.9000000000000002E-2</v>
      </c>
      <c r="AA484" s="7">
        <v>7.5999999999999998E-2</v>
      </c>
      <c r="AB484" s="7">
        <v>4.7E-2</v>
      </c>
      <c r="AC484" s="7">
        <v>4.4999999999999998E-2</v>
      </c>
      <c r="AD484" s="7">
        <v>3.3000000000000002E-2</v>
      </c>
      <c r="AE484" s="7">
        <v>1.2999999999999999E-2</v>
      </c>
      <c r="AF484" s="7">
        <v>1.9E-2</v>
      </c>
      <c r="AG484" s="7">
        <v>0</v>
      </c>
      <c r="AH484" s="7">
        <v>7.1999999999999995E-2</v>
      </c>
      <c r="AI484" s="7">
        <v>2.1999999999999999E-2</v>
      </c>
      <c r="AJ484" s="7">
        <v>0.14099999999999999</v>
      </c>
      <c r="AK484" s="7">
        <v>0.10100000000000001</v>
      </c>
      <c r="AL484" s="7">
        <v>7.1999999999999995E-2</v>
      </c>
      <c r="AM484" s="7">
        <v>4.1000000000000002E-2</v>
      </c>
      <c r="AN484" s="7">
        <v>3.5999999999999997E-2</v>
      </c>
      <c r="AO484" s="7">
        <v>0.151</v>
      </c>
      <c r="AP484" s="7">
        <v>0.25900000000000001</v>
      </c>
      <c r="AQ484" s="7">
        <v>0.22</v>
      </c>
      <c r="AR484" s="7">
        <v>0.08</v>
      </c>
      <c r="AS484" s="7">
        <v>3.1E-2</v>
      </c>
      <c r="AT484" s="7">
        <v>3.3000000000000002E-2</v>
      </c>
    </row>
    <row r="485" spans="1:46" x14ac:dyDescent="0.25">
      <c r="A485" s="4" t="s">
        <v>197</v>
      </c>
      <c r="B485" s="4" t="s">
        <v>207</v>
      </c>
      <c r="C485" s="4" t="s">
        <v>246</v>
      </c>
      <c r="D485" s="4" t="s">
        <v>263</v>
      </c>
      <c r="E485" s="4" t="s">
        <v>248</v>
      </c>
      <c r="F485" s="4" t="s">
        <v>195</v>
      </c>
      <c r="G485" s="4" t="s">
        <v>76</v>
      </c>
      <c r="H485" s="4" t="s">
        <v>250</v>
      </c>
      <c r="I485" s="7">
        <v>21.326000000000001</v>
      </c>
      <c r="J485" s="7">
        <v>15.945</v>
      </c>
      <c r="K485" s="7">
        <v>17.032</v>
      </c>
      <c r="L485" s="7">
        <v>17.469000000000001</v>
      </c>
      <c r="M485" s="7">
        <v>17.048999999999999</v>
      </c>
      <c r="N485" s="7">
        <v>19.324000000000002</v>
      </c>
      <c r="O485" s="7">
        <v>20.3</v>
      </c>
      <c r="P485" s="7">
        <v>15.462</v>
      </c>
      <c r="Q485" s="7">
        <v>12.742000000000001</v>
      </c>
      <c r="R485" s="7">
        <v>6.3920000000000003</v>
      </c>
      <c r="S485" s="7">
        <v>5.6710000000000003</v>
      </c>
      <c r="T485" s="7">
        <v>6.04</v>
      </c>
      <c r="U485" s="7">
        <v>5.8029999999999999</v>
      </c>
      <c r="V485" s="7">
        <v>5.3890000000000002</v>
      </c>
      <c r="W485" s="7">
        <v>11.891</v>
      </c>
      <c r="X485" s="7">
        <v>19.291</v>
      </c>
      <c r="Y485" s="7">
        <v>16.318000000000001</v>
      </c>
      <c r="Z485" s="7">
        <v>14.547000000000001</v>
      </c>
      <c r="AA485" s="7">
        <v>18.512</v>
      </c>
      <c r="AB485" s="7">
        <v>14.047000000000001</v>
      </c>
      <c r="AC485" s="7">
        <v>12.042</v>
      </c>
      <c r="AD485" s="7">
        <v>10.765000000000001</v>
      </c>
      <c r="AE485" s="7">
        <v>11.795</v>
      </c>
      <c r="AF485" s="7">
        <v>12.641999999999999</v>
      </c>
      <c r="AG485" s="7">
        <v>12.026</v>
      </c>
      <c r="AH485" s="7">
        <v>20.082000000000001</v>
      </c>
      <c r="AI485" s="7">
        <v>9.2029999999999994</v>
      </c>
      <c r="AJ485" s="7">
        <v>11.227</v>
      </c>
      <c r="AK485" s="7">
        <v>9.82</v>
      </c>
      <c r="AL485" s="7">
        <v>7.3090000000000002</v>
      </c>
      <c r="AM485" s="7">
        <v>6.6360000000000001</v>
      </c>
      <c r="AN485" s="7">
        <v>7.4710000000000001</v>
      </c>
      <c r="AO485" s="7">
        <v>14.074999999999999</v>
      </c>
      <c r="AP485" s="7">
        <v>11.872</v>
      </c>
      <c r="AQ485" s="7">
        <v>12.752000000000001</v>
      </c>
      <c r="AR485" s="7">
        <v>11.657999999999999</v>
      </c>
      <c r="AS485" s="7">
        <v>8.6229999999999993</v>
      </c>
      <c r="AT485" s="5">
        <v>247.06700000000001</v>
      </c>
    </row>
    <row r="486" spans="1:46" x14ac:dyDescent="0.25">
      <c r="A486" s="4" t="s">
        <v>197</v>
      </c>
      <c r="B486" s="4" t="s">
        <v>207</v>
      </c>
      <c r="C486" s="4" t="s">
        <v>246</v>
      </c>
      <c r="D486" s="4" t="s">
        <v>263</v>
      </c>
      <c r="E486" s="4" t="s">
        <v>248</v>
      </c>
      <c r="F486" s="4" t="s">
        <v>195</v>
      </c>
      <c r="G486" s="4" t="s">
        <v>76</v>
      </c>
      <c r="H486" s="4" t="s">
        <v>251</v>
      </c>
      <c r="I486" s="7">
        <v>0.57994120000000005</v>
      </c>
      <c r="J486" s="7">
        <v>0.6030527</v>
      </c>
      <c r="K486" s="7">
        <v>0.60298439999999998</v>
      </c>
      <c r="L486" s="7">
        <v>0.70077599999999995</v>
      </c>
      <c r="M486" s="7">
        <v>0.991676</v>
      </c>
      <c r="N486" s="7">
        <v>1.8526735000000001</v>
      </c>
      <c r="O486" s="7">
        <v>1.8295809000000001</v>
      </c>
      <c r="P486" s="7">
        <v>1.788915</v>
      </c>
      <c r="Q486" s="7">
        <v>1.4040075999999999</v>
      </c>
      <c r="R486" s="7">
        <v>1.4038556</v>
      </c>
      <c r="S486" s="7">
        <v>1.405953</v>
      </c>
      <c r="T486" s="7">
        <v>1.3970492000000001</v>
      </c>
      <c r="U486" s="7">
        <v>1.4085741000000001</v>
      </c>
      <c r="V486" s="7">
        <v>1.3396760000000001</v>
      </c>
      <c r="W486" s="7">
        <v>1.4685649000000001</v>
      </c>
      <c r="X486" s="7">
        <v>1.7454969</v>
      </c>
      <c r="Y486" s="7">
        <v>1.6989015000000001</v>
      </c>
      <c r="Z486" s="7">
        <v>1.7176345</v>
      </c>
      <c r="AA486" s="7">
        <v>1.7527841</v>
      </c>
      <c r="AB486" s="7">
        <v>1.9554788000000001</v>
      </c>
      <c r="AC486" s="7">
        <v>1.9138839999999999</v>
      </c>
      <c r="AD486" s="7">
        <v>1.7127663</v>
      </c>
      <c r="AE486" s="7">
        <v>1.7705374</v>
      </c>
      <c r="AF486" s="7">
        <v>1.8237188</v>
      </c>
      <c r="AG486" s="7">
        <v>2.8583946999999998</v>
      </c>
      <c r="AH486" s="7">
        <v>2.9309584000000002</v>
      </c>
      <c r="AI486" s="7">
        <v>2.7023578000000001</v>
      </c>
      <c r="AJ486" s="7">
        <v>2.8512588999999999</v>
      </c>
      <c r="AK486" s="7">
        <v>1.630954</v>
      </c>
      <c r="AL486" s="7">
        <v>1.8077679</v>
      </c>
      <c r="AM486" s="7">
        <v>1.7337855</v>
      </c>
      <c r="AN486" s="7">
        <v>1.6634779</v>
      </c>
      <c r="AO486" s="7">
        <v>3.3006391000000002</v>
      </c>
      <c r="AP486" s="7">
        <v>3.3253873</v>
      </c>
      <c r="AQ486" s="7">
        <v>2.1326524</v>
      </c>
      <c r="AR486" s="7">
        <v>1.5133110000000001</v>
      </c>
      <c r="AS486" s="7">
        <v>1.2291076000000001</v>
      </c>
      <c r="AT486" s="7">
        <v>8.6229999999999993</v>
      </c>
    </row>
    <row r="487" spans="1:46" x14ac:dyDescent="0.25">
      <c r="A487" s="4" t="s">
        <v>197</v>
      </c>
      <c r="B487" s="4" t="s">
        <v>207</v>
      </c>
      <c r="C487" s="4" t="s">
        <v>246</v>
      </c>
      <c r="D487" s="4" t="s">
        <v>263</v>
      </c>
      <c r="E487" s="4" t="s">
        <v>248</v>
      </c>
      <c r="F487" s="4" t="s">
        <v>195</v>
      </c>
      <c r="G487" s="4" t="s">
        <v>76</v>
      </c>
      <c r="H487" s="4" t="s">
        <v>252</v>
      </c>
      <c r="I487" s="16">
        <v>0.61399999999999999</v>
      </c>
      <c r="J487" s="16">
        <v>0.60499999999999998</v>
      </c>
      <c r="K487" s="16">
        <v>0.433</v>
      </c>
      <c r="L487" s="16">
        <v>0.503</v>
      </c>
      <c r="M487" s="16">
        <v>0.83199999999999996</v>
      </c>
      <c r="N487" s="16">
        <v>0.80300000000000005</v>
      </c>
      <c r="O487" s="16">
        <v>0.79200000000000004</v>
      </c>
      <c r="P487" s="16">
        <v>0.38200000000000001</v>
      </c>
      <c r="Q487" s="16">
        <v>0.316</v>
      </c>
      <c r="R487" s="16">
        <v>0.214</v>
      </c>
      <c r="S487" s="16">
        <v>0.39</v>
      </c>
      <c r="T487" s="16">
        <v>0.374</v>
      </c>
      <c r="U487" s="16">
        <v>0.34899999999999998</v>
      </c>
      <c r="V487" s="16">
        <v>0.32600000000000001</v>
      </c>
      <c r="W487" s="16">
        <v>0.41499999999999998</v>
      </c>
      <c r="X487" s="16">
        <v>0.65500000000000003</v>
      </c>
      <c r="Y487" s="16">
        <v>0.72599999999999998</v>
      </c>
      <c r="Z487" s="16">
        <v>0.59399999999999997</v>
      </c>
      <c r="AA487" s="16">
        <v>0.57899999999999996</v>
      </c>
      <c r="AB487" s="16">
        <v>0.68700000000000006</v>
      </c>
      <c r="AC487" s="16">
        <v>0.46700000000000003</v>
      </c>
      <c r="AD487" s="16">
        <v>0.48499999999999999</v>
      </c>
      <c r="AE487" s="16">
        <v>0.49199999999999999</v>
      </c>
      <c r="AF487" s="16">
        <v>0.70399999999999996</v>
      </c>
      <c r="AG487" s="16">
        <v>1.002</v>
      </c>
      <c r="AH487" s="16">
        <v>0.74199999999999999</v>
      </c>
      <c r="AI487" s="16">
        <v>0.79700000000000004</v>
      </c>
      <c r="AJ487" s="16">
        <v>0.68700000000000006</v>
      </c>
      <c r="AK487" s="16">
        <v>0.34399999999999997</v>
      </c>
      <c r="AL487" s="16">
        <v>0.50700000000000001</v>
      </c>
      <c r="AM487" s="16">
        <v>0.54800000000000004</v>
      </c>
      <c r="AN487" s="16">
        <v>0.752</v>
      </c>
      <c r="AO487" s="16">
        <v>1.1859999999999999</v>
      </c>
      <c r="AP487" s="16">
        <v>0.63400000000000001</v>
      </c>
      <c r="AQ487" s="16">
        <v>0.90600000000000003</v>
      </c>
      <c r="AR487" s="16">
        <v>0.71399999999999997</v>
      </c>
      <c r="AS487" s="16">
        <v>0.61599999999999999</v>
      </c>
      <c r="AT487" s="7">
        <v>1.2291076000000001</v>
      </c>
    </row>
    <row r="488" spans="1:46" x14ac:dyDescent="0.25">
      <c r="A488" s="4" t="s">
        <v>197</v>
      </c>
      <c r="B488" s="4" t="s">
        <v>207</v>
      </c>
      <c r="C488" s="4" t="s">
        <v>246</v>
      </c>
      <c r="D488" s="4" t="s">
        <v>263</v>
      </c>
      <c r="E488" s="4" t="s">
        <v>248</v>
      </c>
      <c r="F488" s="4" t="s">
        <v>195</v>
      </c>
      <c r="G488" s="4" t="s">
        <v>85</v>
      </c>
      <c r="H488" s="4" t="s">
        <v>151</v>
      </c>
      <c r="I488" s="5">
        <v>1242.021</v>
      </c>
      <c r="J488" s="5">
        <v>1151.0139999999999</v>
      </c>
      <c r="K488" s="5">
        <v>1454.479</v>
      </c>
      <c r="L488" s="5">
        <v>1701.912</v>
      </c>
      <c r="M488" s="5">
        <v>3502.634</v>
      </c>
      <c r="N488" s="5">
        <v>3259.451</v>
      </c>
      <c r="O488" s="5">
        <v>3198.694</v>
      </c>
      <c r="P488" s="5">
        <v>2654.8049999999998</v>
      </c>
      <c r="Q488" s="5">
        <v>1787.259</v>
      </c>
      <c r="R488" s="5">
        <v>1452.5250000000001</v>
      </c>
      <c r="S488" s="5">
        <v>1464.01</v>
      </c>
      <c r="T488" s="5">
        <v>1927.76</v>
      </c>
      <c r="U488" s="5">
        <v>2142.4540000000002</v>
      </c>
      <c r="V488" s="5">
        <v>2276.203</v>
      </c>
      <c r="W488" s="5">
        <v>2292.1439999999998</v>
      </c>
      <c r="X488" s="5">
        <v>2683.3939999999998</v>
      </c>
      <c r="Y488" s="5">
        <v>2611.4</v>
      </c>
      <c r="Z488" s="5">
        <v>2804.7260000000001</v>
      </c>
      <c r="AA488" s="5">
        <v>2130.165</v>
      </c>
      <c r="AB488" s="5">
        <v>1881.9090000000001</v>
      </c>
      <c r="AC488" s="5">
        <v>1297.827</v>
      </c>
      <c r="AD488" s="5">
        <v>1102.0160000000001</v>
      </c>
      <c r="AE488" s="5">
        <v>950.85799999999995</v>
      </c>
      <c r="AF488" s="5">
        <v>981.45699999999999</v>
      </c>
      <c r="AG488" s="5">
        <v>727.59400000000005</v>
      </c>
      <c r="AH488" s="5">
        <v>851.33199999999999</v>
      </c>
      <c r="AI488" s="5">
        <v>740.36800000000005</v>
      </c>
      <c r="AJ488" s="5">
        <v>1379.5309999999999</v>
      </c>
      <c r="AK488" s="5">
        <v>3163.337</v>
      </c>
      <c r="AL488" s="5">
        <v>3268.4050000000002</v>
      </c>
      <c r="AM488" s="5">
        <v>4154.1080000000002</v>
      </c>
      <c r="AN488" s="5">
        <v>4178.4120000000003</v>
      </c>
      <c r="AO488" s="5">
        <v>2811.9369999999999</v>
      </c>
      <c r="AP488" s="5">
        <v>1839.3420000000001</v>
      </c>
      <c r="AQ488" s="5">
        <v>1315.9259999999999</v>
      </c>
      <c r="AR488" s="5">
        <v>893.50400000000002</v>
      </c>
      <c r="AS488" s="5">
        <v>876.56799999999998</v>
      </c>
      <c r="AT488" s="5">
        <v>19270.583999999999</v>
      </c>
    </row>
    <row r="489" spans="1:46" x14ac:dyDescent="0.25">
      <c r="A489" s="4" t="s">
        <v>197</v>
      </c>
      <c r="B489" s="4" t="s">
        <v>207</v>
      </c>
      <c r="C489" s="4" t="s">
        <v>246</v>
      </c>
      <c r="D489" s="4" t="s">
        <v>263</v>
      </c>
      <c r="E489" s="4" t="s">
        <v>248</v>
      </c>
      <c r="F489" s="4" t="s">
        <v>195</v>
      </c>
      <c r="G489" s="4" t="s">
        <v>85</v>
      </c>
      <c r="H489" s="4" t="s">
        <v>205</v>
      </c>
      <c r="I489" s="6">
        <v>248814.899</v>
      </c>
      <c r="J489" s="6">
        <v>238484.98300000001</v>
      </c>
      <c r="K489" s="6">
        <v>308544.03100000002</v>
      </c>
      <c r="L489" s="6">
        <v>360234.321</v>
      </c>
      <c r="M489" s="6">
        <v>755759.73400000005</v>
      </c>
      <c r="N489" s="6">
        <v>699288.36600000004</v>
      </c>
      <c r="O489" s="6">
        <v>684345.18</v>
      </c>
      <c r="P489" s="6">
        <v>551178.929</v>
      </c>
      <c r="Q489" s="6">
        <v>378458.50799999997</v>
      </c>
      <c r="R489" s="6">
        <v>278962.05599999998</v>
      </c>
      <c r="S489" s="6">
        <v>249174.022</v>
      </c>
      <c r="T489" s="6">
        <v>182602.413</v>
      </c>
      <c r="U489" s="6">
        <v>289693.27100000001</v>
      </c>
      <c r="V489" s="6">
        <v>291884.18699999998</v>
      </c>
      <c r="W489" s="6">
        <v>305442.71299999999</v>
      </c>
      <c r="X489" s="6">
        <v>431403.23700000002</v>
      </c>
      <c r="Y489" s="6">
        <v>375819.51299999998</v>
      </c>
      <c r="Z489" s="6">
        <v>439570.30200000003</v>
      </c>
      <c r="AA489" s="6">
        <v>449206.821</v>
      </c>
      <c r="AB489" s="6">
        <v>403680.283</v>
      </c>
      <c r="AC489" s="6">
        <v>274774.55200000003</v>
      </c>
      <c r="AD489" s="6">
        <v>216092.72</v>
      </c>
      <c r="AE489" s="6">
        <v>178339.93700000001</v>
      </c>
      <c r="AF489" s="6">
        <v>202595.769</v>
      </c>
      <c r="AG489" s="6">
        <v>142389.38399999999</v>
      </c>
      <c r="AH489" s="6">
        <v>171741.97700000001</v>
      </c>
      <c r="AI489" s="6">
        <v>185442.61900000001</v>
      </c>
      <c r="AJ489" s="6">
        <v>313922.27899999998</v>
      </c>
      <c r="AK489" s="6">
        <v>676447.11</v>
      </c>
      <c r="AL489" s="6">
        <v>704771.23100000003</v>
      </c>
      <c r="AM489" s="6">
        <v>970657.64399999997</v>
      </c>
      <c r="AN489" s="6">
        <v>1001433.134</v>
      </c>
      <c r="AO489" s="6">
        <v>618262.804</v>
      </c>
      <c r="AP489" s="6">
        <v>425180.53899999999</v>
      </c>
      <c r="AQ489" s="6">
        <v>297654.59700000001</v>
      </c>
      <c r="AR489" s="6">
        <v>215705.85200000001</v>
      </c>
      <c r="AS489" s="6">
        <v>191257.44699999999</v>
      </c>
      <c r="AT489" s="6">
        <v>191257.44699999999</v>
      </c>
    </row>
    <row r="490" spans="1:46" x14ac:dyDescent="0.25">
      <c r="A490" s="4" t="s">
        <v>197</v>
      </c>
      <c r="B490" s="4" t="s">
        <v>207</v>
      </c>
      <c r="C490" s="4" t="s">
        <v>246</v>
      </c>
      <c r="D490" s="4" t="s">
        <v>263</v>
      </c>
      <c r="E490" s="4" t="s">
        <v>248</v>
      </c>
      <c r="F490" s="4" t="s">
        <v>195</v>
      </c>
      <c r="G490" s="4" t="s">
        <v>85</v>
      </c>
      <c r="H490" s="4" t="s">
        <v>249</v>
      </c>
      <c r="I490" s="7">
        <v>0.47299999999999998</v>
      </c>
      <c r="J490" s="7">
        <v>0.378</v>
      </c>
      <c r="K490" s="7">
        <v>0.39500000000000002</v>
      </c>
      <c r="L490" s="7">
        <v>0.33400000000000002</v>
      </c>
      <c r="M490" s="7">
        <v>0.626</v>
      </c>
      <c r="N490" s="7">
        <v>0.59699999999999998</v>
      </c>
      <c r="O490" s="7">
        <v>0.61</v>
      </c>
      <c r="P490" s="7">
        <v>0.64500000000000002</v>
      </c>
      <c r="Q490" s="7">
        <v>0.499</v>
      </c>
      <c r="R490" s="7">
        <v>0.52400000000000002</v>
      </c>
      <c r="S490" s="7">
        <v>0.58499999999999996</v>
      </c>
      <c r="T490" s="7">
        <v>0.79400000000000004</v>
      </c>
      <c r="U490" s="7">
        <v>0.83799999999999997</v>
      </c>
      <c r="V490" s="7">
        <v>0.876</v>
      </c>
      <c r="W490" s="7">
        <v>0.77</v>
      </c>
      <c r="X490" s="7">
        <v>0.67400000000000004</v>
      </c>
      <c r="Y490" s="7">
        <v>0.64600000000000002</v>
      </c>
      <c r="Z490" s="7">
        <v>0.70799999999999996</v>
      </c>
      <c r="AA490" s="7">
        <v>0.53500000000000003</v>
      </c>
      <c r="AB490" s="7">
        <v>0.54500000000000004</v>
      </c>
      <c r="AC490" s="7">
        <v>0.42599999999999999</v>
      </c>
      <c r="AD490" s="7">
        <v>0.42099999999999999</v>
      </c>
      <c r="AE490" s="7">
        <v>0.434</v>
      </c>
      <c r="AF490" s="7">
        <v>0.49199999999999999</v>
      </c>
      <c r="AG490" s="7">
        <v>0.34399999999999997</v>
      </c>
      <c r="AH490" s="7">
        <v>0.317</v>
      </c>
      <c r="AI490" s="7">
        <v>0.23100000000000001</v>
      </c>
      <c r="AJ490" s="7">
        <v>0.316</v>
      </c>
      <c r="AK490" s="7">
        <v>0.66500000000000004</v>
      </c>
      <c r="AL490" s="7">
        <v>0.60699999999999998</v>
      </c>
      <c r="AM490" s="7">
        <v>0.7</v>
      </c>
      <c r="AN490" s="7">
        <v>0.68899999999999995</v>
      </c>
      <c r="AO490" s="7">
        <v>0.51800000000000002</v>
      </c>
      <c r="AP490" s="7">
        <v>0.47799999999999998</v>
      </c>
      <c r="AQ490" s="7">
        <v>0.47399999999999998</v>
      </c>
      <c r="AR490" s="7">
        <v>0.52200000000000002</v>
      </c>
      <c r="AS490" s="7">
        <v>0.70399999999999996</v>
      </c>
      <c r="AT490" s="7">
        <v>33.29</v>
      </c>
    </row>
    <row r="491" spans="1:46" x14ac:dyDescent="0.25">
      <c r="A491" s="4" t="s">
        <v>197</v>
      </c>
      <c r="B491" s="4" t="s">
        <v>207</v>
      </c>
      <c r="C491" s="4" t="s">
        <v>246</v>
      </c>
      <c r="D491" s="4" t="s">
        <v>263</v>
      </c>
      <c r="E491" s="4" t="s">
        <v>248</v>
      </c>
      <c r="F491" s="4" t="s">
        <v>195</v>
      </c>
      <c r="G491" s="4" t="s">
        <v>85</v>
      </c>
      <c r="H491" s="4" t="s">
        <v>250</v>
      </c>
      <c r="I491" s="7">
        <v>57.295999999999999</v>
      </c>
      <c r="J491" s="7">
        <v>55.115000000000002</v>
      </c>
      <c r="K491" s="7">
        <v>61.978999999999999</v>
      </c>
      <c r="L491" s="7">
        <v>52.465000000000003</v>
      </c>
      <c r="M491" s="7">
        <v>62.078000000000003</v>
      </c>
      <c r="N491" s="7">
        <v>58.56</v>
      </c>
      <c r="O491" s="7">
        <v>55.344000000000001</v>
      </c>
      <c r="P491" s="7">
        <v>52.363999999999997</v>
      </c>
      <c r="Q491" s="7">
        <v>51.168999999999997</v>
      </c>
      <c r="R491" s="7">
        <v>54.500999999999998</v>
      </c>
      <c r="S491" s="7">
        <v>53.936</v>
      </c>
      <c r="T491" s="7">
        <v>54.206000000000003</v>
      </c>
      <c r="U491" s="7">
        <v>58.619</v>
      </c>
      <c r="V491" s="7">
        <v>58.921999999999997</v>
      </c>
      <c r="W491" s="7">
        <v>59.284999999999997</v>
      </c>
      <c r="X491" s="7">
        <v>59.530999999999999</v>
      </c>
      <c r="Y491" s="7">
        <v>43.848999999999997</v>
      </c>
      <c r="Z491" s="7">
        <v>44.069000000000003</v>
      </c>
      <c r="AA491" s="7">
        <v>43.853000000000002</v>
      </c>
      <c r="AB491" s="7">
        <v>53.073</v>
      </c>
      <c r="AC491" s="7">
        <v>53.048999999999999</v>
      </c>
      <c r="AD491" s="7">
        <v>56.284999999999997</v>
      </c>
      <c r="AE491" s="7">
        <v>64.924000000000007</v>
      </c>
      <c r="AF491" s="7">
        <v>58.927999999999997</v>
      </c>
      <c r="AG491" s="7">
        <v>57.652000000000001</v>
      </c>
      <c r="AH491" s="7">
        <v>61.253</v>
      </c>
      <c r="AI491" s="7">
        <v>51.792999999999999</v>
      </c>
      <c r="AJ491" s="7">
        <v>47.543999999999997</v>
      </c>
      <c r="AK491" s="7">
        <v>59.256</v>
      </c>
      <c r="AL491" s="7">
        <v>60.866999999999997</v>
      </c>
      <c r="AM491" s="7">
        <v>63.978999999999999</v>
      </c>
      <c r="AN491" s="7">
        <v>53.386000000000003</v>
      </c>
      <c r="AO491" s="7">
        <v>38.097000000000001</v>
      </c>
      <c r="AP491" s="7">
        <v>48.191000000000003</v>
      </c>
      <c r="AQ491" s="7">
        <v>50.228999999999999</v>
      </c>
      <c r="AR491" s="7">
        <v>59.185000000000002</v>
      </c>
      <c r="AS491" s="7">
        <v>66.093999999999994</v>
      </c>
      <c r="AT491" s="5">
        <v>109469.852</v>
      </c>
    </row>
    <row r="492" spans="1:46" x14ac:dyDescent="0.25">
      <c r="A492" s="4" t="s">
        <v>197</v>
      </c>
      <c r="B492" s="4" t="s">
        <v>207</v>
      </c>
      <c r="C492" s="4" t="s">
        <v>246</v>
      </c>
      <c r="D492" s="4" t="s">
        <v>263</v>
      </c>
      <c r="E492" s="4" t="s">
        <v>248</v>
      </c>
      <c r="F492" s="4" t="s">
        <v>195</v>
      </c>
      <c r="G492" s="4" t="s">
        <v>85</v>
      </c>
      <c r="H492" s="4" t="s">
        <v>251</v>
      </c>
      <c r="I492" s="7">
        <v>12.567673900000001</v>
      </c>
      <c r="J492" s="7">
        <v>11.9917488</v>
      </c>
      <c r="K492" s="7">
        <v>13.5187445</v>
      </c>
      <c r="L492" s="7">
        <v>12.9758209</v>
      </c>
      <c r="M492" s="7">
        <v>16.730123599999999</v>
      </c>
      <c r="N492" s="7">
        <v>14.6279118</v>
      </c>
      <c r="O492" s="7">
        <v>13.767786600000001</v>
      </c>
      <c r="P492" s="7">
        <v>11.9237562</v>
      </c>
      <c r="Q492" s="7">
        <v>12.003351</v>
      </c>
      <c r="R492" s="7">
        <v>10.6757034</v>
      </c>
      <c r="S492" s="7">
        <v>10.8752259</v>
      </c>
      <c r="T492" s="7">
        <v>11.146661</v>
      </c>
      <c r="U492" s="7">
        <v>11.8385368</v>
      </c>
      <c r="V492" s="7">
        <v>11.825956100000001</v>
      </c>
      <c r="W492" s="7">
        <v>10.9663287</v>
      </c>
      <c r="X492" s="7">
        <v>13.9769694</v>
      </c>
      <c r="Y492" s="7">
        <v>11.609765400000001</v>
      </c>
      <c r="Z492" s="7">
        <v>12.359516599999999</v>
      </c>
      <c r="AA492" s="7">
        <v>10.7420709</v>
      </c>
      <c r="AB492" s="7">
        <v>12.4420474</v>
      </c>
      <c r="AC492" s="7">
        <v>11.800796699999999</v>
      </c>
      <c r="AD492" s="7">
        <v>11.840716199999999</v>
      </c>
      <c r="AE492" s="7">
        <v>11.006659300000001</v>
      </c>
      <c r="AF492" s="7">
        <v>10.460807300000001</v>
      </c>
      <c r="AG492" s="7">
        <v>10.2285118</v>
      </c>
      <c r="AH492" s="7">
        <v>10.4060641</v>
      </c>
      <c r="AI492" s="7">
        <v>11.946574200000001</v>
      </c>
      <c r="AJ492" s="7">
        <v>12.4264115</v>
      </c>
      <c r="AK492" s="7">
        <v>18.043582099999998</v>
      </c>
      <c r="AL492" s="7">
        <v>19.234212400000001</v>
      </c>
      <c r="AM492" s="7">
        <v>18.965852999999999</v>
      </c>
      <c r="AN492" s="7">
        <v>16.170045999999999</v>
      </c>
      <c r="AO492" s="7">
        <v>13.713026899999999</v>
      </c>
      <c r="AP492" s="7">
        <v>13.426596399999999</v>
      </c>
      <c r="AQ492" s="7">
        <v>12.3641535</v>
      </c>
      <c r="AR492" s="7">
        <v>12.9037092</v>
      </c>
      <c r="AS492" s="7">
        <v>13.6550145</v>
      </c>
      <c r="AT492" s="7">
        <v>66.093999999999994</v>
      </c>
    </row>
    <row r="493" spans="1:46" x14ac:dyDescent="0.25">
      <c r="A493" s="4" t="s">
        <v>197</v>
      </c>
      <c r="B493" s="4" t="s">
        <v>207</v>
      </c>
      <c r="C493" s="4" t="s">
        <v>246</v>
      </c>
      <c r="D493" s="4" t="s">
        <v>263</v>
      </c>
      <c r="E493" s="4" t="s">
        <v>248</v>
      </c>
      <c r="F493" s="4" t="s">
        <v>195</v>
      </c>
      <c r="G493" s="4" t="s">
        <v>85</v>
      </c>
      <c r="H493" s="4" t="s">
        <v>252</v>
      </c>
      <c r="I493" s="16">
        <v>10.465</v>
      </c>
      <c r="J493" s="16">
        <v>9.8840000000000003</v>
      </c>
      <c r="K493" s="16">
        <v>7.734</v>
      </c>
      <c r="L493" s="16">
        <v>7.7939999999999996</v>
      </c>
      <c r="M493" s="16">
        <v>8.7309999999999999</v>
      </c>
      <c r="N493" s="16">
        <v>9.0939999999999994</v>
      </c>
      <c r="O493" s="16">
        <v>7.7729999999999997</v>
      </c>
      <c r="P493" s="16">
        <v>4.8090000000000002</v>
      </c>
      <c r="Q493" s="16">
        <v>5.5380000000000003</v>
      </c>
      <c r="R493" s="16">
        <v>5.1280000000000001</v>
      </c>
      <c r="S493" s="16">
        <v>5.694</v>
      </c>
      <c r="T493" s="16">
        <v>5.5179999999999998</v>
      </c>
      <c r="U493" s="16">
        <v>4.8899999999999997</v>
      </c>
      <c r="V493" s="16">
        <v>4.3289999999999997</v>
      </c>
      <c r="W493" s="16">
        <v>4.423</v>
      </c>
      <c r="X493" s="16">
        <v>4.8019999999999996</v>
      </c>
      <c r="Y493" s="16">
        <v>4.9340000000000002</v>
      </c>
      <c r="Z493" s="16">
        <v>4.3440000000000003</v>
      </c>
      <c r="AA493" s="16">
        <v>4.55</v>
      </c>
      <c r="AB493" s="16">
        <v>6.1580000000000004</v>
      </c>
      <c r="AC493" s="16">
        <v>6.125</v>
      </c>
      <c r="AD493" s="16">
        <v>6.1289999999999996</v>
      </c>
      <c r="AE493" s="16">
        <v>5.3209999999999997</v>
      </c>
      <c r="AF493" s="16">
        <v>6.5679999999999996</v>
      </c>
      <c r="AG493" s="16">
        <v>6.6619999999999999</v>
      </c>
      <c r="AH493" s="16">
        <v>5.2569999999999997</v>
      </c>
      <c r="AI493" s="16">
        <v>5.726</v>
      </c>
      <c r="AJ493" s="16">
        <v>6.81</v>
      </c>
      <c r="AK493" s="16">
        <v>6.45</v>
      </c>
      <c r="AL493" s="16">
        <v>6.431</v>
      </c>
      <c r="AM493" s="16">
        <v>7.3070000000000004</v>
      </c>
      <c r="AN493" s="16">
        <v>6.4749999999999996</v>
      </c>
      <c r="AO493" s="16">
        <v>5.0439999999999996</v>
      </c>
      <c r="AP493" s="16">
        <v>10.061999999999999</v>
      </c>
      <c r="AQ493" s="16">
        <v>9.9359999999999999</v>
      </c>
      <c r="AR493" s="16">
        <v>10.439</v>
      </c>
      <c r="AS493" s="16">
        <v>11.851000000000001</v>
      </c>
      <c r="AT493" s="7">
        <v>13.6550145</v>
      </c>
    </row>
    <row r="494" spans="1:46" x14ac:dyDescent="0.25">
      <c r="A494" s="4" t="s">
        <v>197</v>
      </c>
      <c r="B494" s="4" t="s">
        <v>207</v>
      </c>
      <c r="C494" s="4" t="s">
        <v>246</v>
      </c>
      <c r="D494" s="4" t="s">
        <v>265</v>
      </c>
      <c r="E494" s="4" t="s">
        <v>266</v>
      </c>
      <c r="F494" s="4" t="s">
        <v>195</v>
      </c>
      <c r="G494" s="4" t="s">
        <v>93</v>
      </c>
      <c r="H494" s="4" t="s">
        <v>151</v>
      </c>
      <c r="I494" s="5">
        <v>50.686</v>
      </c>
      <c r="J494" s="5">
        <v>72.108000000000004</v>
      </c>
      <c r="K494" s="5">
        <v>133.52699999999999</v>
      </c>
      <c r="L494" s="5">
        <v>157.749</v>
      </c>
      <c r="M494" s="5">
        <v>308.82299999999998</v>
      </c>
      <c r="N494" s="5">
        <v>74.055999999999997</v>
      </c>
      <c r="O494" s="5">
        <v>269.87299999999999</v>
      </c>
      <c r="P494" s="5">
        <v>235.46100000000001</v>
      </c>
      <c r="Q494" s="5">
        <v>217.36600000000001</v>
      </c>
      <c r="R494" s="5">
        <v>125.505</v>
      </c>
      <c r="S494" s="5">
        <v>107.646</v>
      </c>
      <c r="T494" s="5">
        <v>147.55099999999999</v>
      </c>
      <c r="U494" s="5">
        <v>198.78100000000001</v>
      </c>
      <c r="V494" s="5">
        <v>230.15299999999999</v>
      </c>
      <c r="W494" s="5">
        <v>118.914</v>
      </c>
      <c r="X494" s="5">
        <v>167.453</v>
      </c>
      <c r="Y494" s="5">
        <v>172.119</v>
      </c>
      <c r="Z494" s="5">
        <v>262.517</v>
      </c>
      <c r="AA494" s="5">
        <v>308.846</v>
      </c>
      <c r="AB494" s="5">
        <v>252.55799999999999</v>
      </c>
      <c r="AC494" s="5">
        <v>208.024</v>
      </c>
      <c r="AD494" s="5">
        <v>162.27000000000001</v>
      </c>
      <c r="AE494" s="5">
        <v>187.261</v>
      </c>
      <c r="AF494" s="5">
        <v>45.465000000000003</v>
      </c>
      <c r="AG494" s="5">
        <v>24.443999999999999</v>
      </c>
      <c r="AH494" s="5">
        <v>75.778999999999996</v>
      </c>
      <c r="AI494" s="5">
        <v>35.058999999999997</v>
      </c>
      <c r="AJ494" s="5">
        <v>256.24900000000002</v>
      </c>
      <c r="AK494" s="5">
        <v>349.815</v>
      </c>
      <c r="AL494" s="5">
        <v>446.642</v>
      </c>
      <c r="AM494" s="5">
        <v>533.22299999999996</v>
      </c>
      <c r="AN494" s="5">
        <v>495.31099999999998</v>
      </c>
      <c r="AO494" s="5">
        <v>609.71600000000001</v>
      </c>
      <c r="AP494" s="5">
        <v>388.59</v>
      </c>
      <c r="AQ494" s="5">
        <v>423.18</v>
      </c>
      <c r="AR494" s="5">
        <v>374.87200000000001</v>
      </c>
      <c r="AS494" s="5">
        <v>291.80599999999998</v>
      </c>
      <c r="AT494" s="5">
        <v>291.80599999999998</v>
      </c>
    </row>
    <row r="495" spans="1:46" x14ac:dyDescent="0.25">
      <c r="A495" s="4" t="s">
        <v>197</v>
      </c>
      <c r="B495" s="4" t="s">
        <v>207</v>
      </c>
      <c r="C495" s="4" t="s">
        <v>246</v>
      </c>
      <c r="D495" s="4" t="s">
        <v>265</v>
      </c>
      <c r="E495" s="4" t="s">
        <v>266</v>
      </c>
      <c r="F495" s="4" t="s">
        <v>195</v>
      </c>
      <c r="G495" s="4" t="s">
        <v>93</v>
      </c>
      <c r="H495" s="4" t="s">
        <v>205</v>
      </c>
      <c r="I495" s="6">
        <v>11485.357</v>
      </c>
      <c r="J495" s="6">
        <v>14187.481</v>
      </c>
      <c r="K495" s="6">
        <v>26975.758000000002</v>
      </c>
      <c r="L495" s="6">
        <v>35007.322</v>
      </c>
      <c r="M495" s="6">
        <v>65545.131999999998</v>
      </c>
      <c r="N495" s="6">
        <v>13096.191999999999</v>
      </c>
      <c r="O495" s="6">
        <v>60856.339</v>
      </c>
      <c r="P495" s="6">
        <v>53678.046999999999</v>
      </c>
      <c r="Q495" s="6">
        <v>51028.09</v>
      </c>
      <c r="R495" s="6">
        <v>29381.351999999999</v>
      </c>
      <c r="S495" s="6">
        <v>23506.43</v>
      </c>
      <c r="T495" s="6">
        <v>33275.968999999997</v>
      </c>
      <c r="U495" s="6">
        <v>46558.457999999999</v>
      </c>
      <c r="V495" s="6">
        <v>48363.423999999999</v>
      </c>
      <c r="W495" s="6">
        <v>28713.728999999999</v>
      </c>
      <c r="X495" s="6">
        <v>42323.095000000001</v>
      </c>
      <c r="Y495" s="6">
        <v>43857.612000000001</v>
      </c>
      <c r="Z495" s="6">
        <v>43281.705999999998</v>
      </c>
      <c r="AA495" s="6">
        <v>61774.023999999998</v>
      </c>
      <c r="AB495" s="6">
        <v>47450.165000000001</v>
      </c>
      <c r="AC495" s="6">
        <v>33329.883000000002</v>
      </c>
      <c r="AD495" s="6">
        <v>25961.602999999999</v>
      </c>
      <c r="AE495" s="6">
        <v>30835.852999999999</v>
      </c>
      <c r="AF495" s="6">
        <v>11002.578</v>
      </c>
      <c r="AG495" s="6">
        <v>5915.4960000000001</v>
      </c>
      <c r="AH495" s="6">
        <v>19153.254000000001</v>
      </c>
      <c r="AI495" s="6">
        <v>9577.9179999999997</v>
      </c>
      <c r="AJ495" s="6">
        <v>50582.845000000001</v>
      </c>
      <c r="AK495" s="6">
        <v>76605.328999999998</v>
      </c>
      <c r="AL495" s="6">
        <v>101315.939</v>
      </c>
      <c r="AM495" s="6">
        <v>115409.353</v>
      </c>
      <c r="AN495" s="6">
        <v>109924.81</v>
      </c>
      <c r="AO495" s="6">
        <v>132302.51199999999</v>
      </c>
      <c r="AP495" s="6">
        <v>77606.491999999998</v>
      </c>
      <c r="AQ495" s="6">
        <v>91099.645999999993</v>
      </c>
      <c r="AR495" s="6">
        <v>79686.236999999994</v>
      </c>
      <c r="AS495" s="6">
        <v>62570.525999999998</v>
      </c>
      <c r="AT495" s="6">
        <v>62570.525999999998</v>
      </c>
    </row>
    <row r="496" spans="1:46" x14ac:dyDescent="0.25">
      <c r="A496" s="4" t="s">
        <v>197</v>
      </c>
      <c r="B496" s="4" t="s">
        <v>207</v>
      </c>
      <c r="C496" s="4" t="s">
        <v>246</v>
      </c>
      <c r="D496" s="4" t="s">
        <v>265</v>
      </c>
      <c r="E496" s="4" t="s">
        <v>266</v>
      </c>
      <c r="F496" s="4" t="s">
        <v>195</v>
      </c>
      <c r="G496" s="4" t="s">
        <v>93</v>
      </c>
      <c r="H496" s="4" t="s">
        <v>249</v>
      </c>
      <c r="I496" s="7">
        <v>0.35499999999999998</v>
      </c>
      <c r="J496" s="7">
        <v>0.42299999999999999</v>
      </c>
      <c r="K496" s="7">
        <v>0.61599999999999999</v>
      </c>
      <c r="L496" s="7">
        <v>0.54200000000000004</v>
      </c>
      <c r="M496" s="7">
        <v>0.91800000000000004</v>
      </c>
      <c r="N496" s="7">
        <v>0.20799999999999999</v>
      </c>
      <c r="O496" s="7">
        <v>0.876</v>
      </c>
      <c r="P496" s="7">
        <v>1.016</v>
      </c>
      <c r="Q496" s="7">
        <v>1.046</v>
      </c>
      <c r="R496" s="7">
        <v>0.79100000000000004</v>
      </c>
      <c r="S496" s="7">
        <v>0.77800000000000002</v>
      </c>
      <c r="T496" s="7">
        <v>1.1240000000000001</v>
      </c>
      <c r="U496" s="7">
        <v>1.524</v>
      </c>
      <c r="V496" s="7">
        <v>1.6839999999999999</v>
      </c>
      <c r="W496" s="7">
        <v>0.75600000000000001</v>
      </c>
      <c r="X496" s="7">
        <v>0.82399999999999995</v>
      </c>
      <c r="Y496" s="7">
        <v>0.79300000000000004</v>
      </c>
      <c r="Z496" s="7">
        <v>1.2110000000000001</v>
      </c>
      <c r="AA496" s="7">
        <v>1.423</v>
      </c>
      <c r="AB496" s="7">
        <v>1.256</v>
      </c>
      <c r="AC496" s="7">
        <v>1.1779999999999999</v>
      </c>
      <c r="AD496" s="7">
        <v>1.0620000000000001</v>
      </c>
      <c r="AE496" s="7">
        <v>1.4730000000000001</v>
      </c>
      <c r="AF496" s="7">
        <v>0.42799999999999999</v>
      </c>
      <c r="AG496" s="7">
        <v>0.20499999999999999</v>
      </c>
      <c r="AH496" s="7">
        <v>0.52</v>
      </c>
      <c r="AI496" s="7">
        <v>0.19700000000000001</v>
      </c>
      <c r="AJ496" s="7">
        <v>1.0269999999999999</v>
      </c>
      <c r="AK496" s="7">
        <v>1.2809999999999999</v>
      </c>
      <c r="AL496" s="7">
        <v>1.498</v>
      </c>
      <c r="AM496" s="7">
        <v>1.5329999999999999</v>
      </c>
      <c r="AN496" s="7">
        <v>1.343</v>
      </c>
      <c r="AO496" s="7">
        <v>1.9710000000000001</v>
      </c>
      <c r="AP496" s="7">
        <v>1.615</v>
      </c>
      <c r="AQ496" s="7">
        <v>2.5979999999999999</v>
      </c>
      <c r="AR496" s="7">
        <v>3.5760000000000001</v>
      </c>
      <c r="AS496" s="7">
        <v>4.12</v>
      </c>
      <c r="AT496" s="7">
        <v>0.504</v>
      </c>
    </row>
    <row r="497" spans="1:46" x14ac:dyDescent="0.25">
      <c r="A497" s="4" t="s">
        <v>197</v>
      </c>
      <c r="B497" s="4" t="s">
        <v>207</v>
      </c>
      <c r="C497" s="4" t="s">
        <v>246</v>
      </c>
      <c r="D497" s="4" t="s">
        <v>265</v>
      </c>
      <c r="E497" s="4" t="s">
        <v>266</v>
      </c>
      <c r="F497" s="4" t="s">
        <v>195</v>
      </c>
      <c r="G497" s="4" t="s">
        <v>93</v>
      </c>
      <c r="H497" s="4" t="s">
        <v>250</v>
      </c>
      <c r="I497" s="7">
        <v>19.495999999999999</v>
      </c>
      <c r="J497" s="7">
        <v>15.314</v>
      </c>
      <c r="K497" s="7">
        <v>17.606000000000002</v>
      </c>
      <c r="L497" s="7">
        <v>18.821999999999999</v>
      </c>
      <c r="M497" s="7">
        <v>18.835000000000001</v>
      </c>
      <c r="N497" s="7">
        <v>19.417000000000002</v>
      </c>
      <c r="O497" s="7">
        <v>24.443000000000001</v>
      </c>
      <c r="P497" s="7">
        <v>18.937999999999999</v>
      </c>
      <c r="Q497" s="7">
        <v>17.300999999999998</v>
      </c>
      <c r="R497" s="7">
        <v>10.362</v>
      </c>
      <c r="S497" s="7">
        <v>9.0449999999999999</v>
      </c>
      <c r="T497" s="7">
        <v>8.7230000000000008</v>
      </c>
      <c r="U497" s="7">
        <v>8.6340000000000003</v>
      </c>
      <c r="V497" s="7">
        <v>6.9939999999999998</v>
      </c>
      <c r="W497" s="7">
        <v>7.2030000000000003</v>
      </c>
      <c r="X497" s="7">
        <v>11.098000000000001</v>
      </c>
      <c r="Y497" s="7">
        <v>11.071999999999999</v>
      </c>
      <c r="Z497" s="7">
        <v>9.8960000000000008</v>
      </c>
      <c r="AA497" s="7">
        <v>11.837999999999999</v>
      </c>
      <c r="AB497" s="7">
        <v>9.8170000000000002</v>
      </c>
      <c r="AC497" s="7">
        <v>9.5399999999999991</v>
      </c>
      <c r="AD497" s="7">
        <v>8.1329999999999991</v>
      </c>
      <c r="AE497" s="7">
        <v>8.9469999999999992</v>
      </c>
      <c r="AF497" s="7">
        <v>6.8010000000000002</v>
      </c>
      <c r="AG497" s="7">
        <v>4.649</v>
      </c>
      <c r="AH497" s="7">
        <v>13.538</v>
      </c>
      <c r="AI497" s="7">
        <v>8.4700000000000006</v>
      </c>
      <c r="AJ497" s="7">
        <v>8.6059999999999999</v>
      </c>
      <c r="AK497" s="7">
        <v>7.3559999999999999</v>
      </c>
      <c r="AL497" s="7">
        <v>7.351</v>
      </c>
      <c r="AM497" s="7">
        <v>8.26</v>
      </c>
      <c r="AN497" s="7">
        <v>7.2930000000000001</v>
      </c>
      <c r="AO497" s="7">
        <v>11.048</v>
      </c>
      <c r="AP497" s="7">
        <v>5.57</v>
      </c>
      <c r="AQ497" s="7">
        <v>6.4180000000000001</v>
      </c>
      <c r="AR497" s="7">
        <v>8.2420000000000009</v>
      </c>
      <c r="AS497" s="7">
        <v>10.445</v>
      </c>
      <c r="AT497" s="5">
        <v>7.3360000000000003</v>
      </c>
    </row>
    <row r="498" spans="1:46" x14ac:dyDescent="0.25">
      <c r="A498" s="4" t="s">
        <v>197</v>
      </c>
      <c r="B498" s="4" t="s">
        <v>207</v>
      </c>
      <c r="C498" s="4" t="s">
        <v>246</v>
      </c>
      <c r="D498" s="4" t="s">
        <v>265</v>
      </c>
      <c r="E498" s="4" t="s">
        <v>266</v>
      </c>
      <c r="F498" s="4" t="s">
        <v>195</v>
      </c>
      <c r="G498" s="4" t="s">
        <v>93</v>
      </c>
      <c r="H498" s="4" t="s">
        <v>251</v>
      </c>
      <c r="I498" s="7">
        <v>0.87176209999999998</v>
      </c>
      <c r="J498" s="7">
        <v>0.90178939999999996</v>
      </c>
      <c r="K498" s="7">
        <v>0.91328509999999996</v>
      </c>
      <c r="L498" s="7">
        <v>1.1702048</v>
      </c>
      <c r="M498" s="7">
        <v>1.2079675999999999</v>
      </c>
      <c r="N498" s="7">
        <v>1.7615178</v>
      </c>
      <c r="O498" s="7">
        <v>2.4095255</v>
      </c>
      <c r="P498" s="7">
        <v>2.3804053000000001</v>
      </c>
      <c r="Q498" s="7">
        <v>2.3832274</v>
      </c>
      <c r="R498" s="7">
        <v>1.6756917</v>
      </c>
      <c r="S498" s="7">
        <v>1.6661014999999999</v>
      </c>
      <c r="T498" s="7">
        <v>1.6657706999999999</v>
      </c>
      <c r="U498" s="7">
        <v>1.6686277</v>
      </c>
      <c r="V498" s="7">
        <v>0.67532550000000002</v>
      </c>
      <c r="W498" s="7">
        <v>0.67532919999999996</v>
      </c>
      <c r="X498" s="7">
        <v>0.72192789999999996</v>
      </c>
      <c r="Y498" s="7">
        <v>0.73083229999999999</v>
      </c>
      <c r="Z498" s="7">
        <v>0.69099049999999995</v>
      </c>
      <c r="AA498" s="7">
        <v>0.47451710000000002</v>
      </c>
      <c r="AB498" s="7">
        <v>0.48623349999999999</v>
      </c>
      <c r="AC498" s="7">
        <v>0.47451670000000001</v>
      </c>
      <c r="AD498" s="7">
        <v>0.46276729999999999</v>
      </c>
      <c r="AE498" s="7">
        <v>0.47446129999999997</v>
      </c>
      <c r="AF498" s="7">
        <v>0.41207139999999998</v>
      </c>
      <c r="AG498" s="7">
        <v>0.36116860000000001</v>
      </c>
      <c r="AH498" s="7">
        <v>0.36116890000000001</v>
      </c>
      <c r="AI498" s="7">
        <v>0.37322709999999998</v>
      </c>
      <c r="AJ498" s="7">
        <v>0.38531510000000002</v>
      </c>
      <c r="AK498" s="7">
        <v>0.38521889999999998</v>
      </c>
      <c r="AL498" s="7">
        <v>0.43488070000000001</v>
      </c>
      <c r="AM498" s="7">
        <v>0.54111750000000003</v>
      </c>
      <c r="AN498" s="7">
        <v>0.66164480000000003</v>
      </c>
      <c r="AO498" s="7">
        <v>0.8600122</v>
      </c>
      <c r="AP498" s="7">
        <v>0.45072210000000001</v>
      </c>
      <c r="AQ498" s="7">
        <v>0.45071860000000002</v>
      </c>
      <c r="AR498" s="7">
        <v>0.36806509999999998</v>
      </c>
      <c r="AS498" s="7">
        <v>0.36794529999999998</v>
      </c>
      <c r="AT498" s="7">
        <v>10.445</v>
      </c>
    </row>
    <row r="499" spans="1:46" x14ac:dyDescent="0.25">
      <c r="A499" s="4" t="s">
        <v>197</v>
      </c>
      <c r="B499" s="4" t="s">
        <v>207</v>
      </c>
      <c r="C499" s="4" t="s">
        <v>246</v>
      </c>
      <c r="D499" s="4" t="s">
        <v>265</v>
      </c>
      <c r="E499" s="4" t="s">
        <v>266</v>
      </c>
      <c r="F499" s="4" t="s">
        <v>195</v>
      </c>
      <c r="G499" s="4" t="s">
        <v>93</v>
      </c>
      <c r="H499" s="4" t="s">
        <v>252</v>
      </c>
      <c r="I499" s="16">
        <v>0.56100000000000005</v>
      </c>
      <c r="J499" s="16">
        <v>0.52700000000000002</v>
      </c>
      <c r="K499" s="16">
        <v>0.40200000000000002</v>
      </c>
      <c r="L499" s="16">
        <v>0.7</v>
      </c>
      <c r="M499" s="16">
        <v>0.42499999999999999</v>
      </c>
      <c r="N499" s="16">
        <v>0.752</v>
      </c>
      <c r="O499" s="16">
        <v>0.55600000000000005</v>
      </c>
      <c r="P499" s="16">
        <v>0.30399999999999999</v>
      </c>
      <c r="Q499" s="16">
        <v>0.317</v>
      </c>
      <c r="R499" s="16">
        <v>0.39600000000000002</v>
      </c>
      <c r="S499" s="16">
        <v>0.375</v>
      </c>
      <c r="T499" s="16">
        <v>0.34300000000000003</v>
      </c>
      <c r="U499" s="16">
        <v>0.155</v>
      </c>
      <c r="V499" s="16">
        <v>0.17100000000000001</v>
      </c>
      <c r="W499" s="16">
        <v>0.79</v>
      </c>
      <c r="X499" s="16">
        <v>0.76200000000000001</v>
      </c>
      <c r="Y499" s="16">
        <v>0.76</v>
      </c>
      <c r="Z499" s="16">
        <v>0.32800000000000001</v>
      </c>
      <c r="AA499" s="17">
        <v>0</v>
      </c>
      <c r="AB499" s="16">
        <v>6.7000000000000004E-2</v>
      </c>
      <c r="AC499" s="16">
        <v>5.2999999999999999E-2</v>
      </c>
      <c r="AD499" s="16">
        <v>5.2999999999999999E-2</v>
      </c>
      <c r="AE499" s="16">
        <v>5.2999999999999999E-2</v>
      </c>
      <c r="AF499" s="16">
        <v>9.6000000000000002E-2</v>
      </c>
      <c r="AG499" s="16">
        <v>9.8000000000000004E-2</v>
      </c>
      <c r="AH499" s="16">
        <v>7.5999999999999998E-2</v>
      </c>
      <c r="AI499" s="16">
        <v>5.6000000000000001E-2</v>
      </c>
      <c r="AJ499" s="16">
        <v>0.13100000000000001</v>
      </c>
      <c r="AK499" s="16">
        <v>0.13400000000000001</v>
      </c>
      <c r="AL499" s="16">
        <v>0.08</v>
      </c>
      <c r="AM499" s="16">
        <v>0.124</v>
      </c>
      <c r="AN499" s="16">
        <v>0.106</v>
      </c>
      <c r="AO499" s="16">
        <v>0.115</v>
      </c>
      <c r="AP499" s="16">
        <v>0.113</v>
      </c>
      <c r="AQ499" s="16">
        <v>9.6000000000000002E-2</v>
      </c>
      <c r="AR499" s="16">
        <v>4.4999999999999998E-2</v>
      </c>
      <c r="AS499" s="16">
        <v>1.7999999999999999E-2</v>
      </c>
      <c r="AT499" s="7">
        <v>0.36794529999999998</v>
      </c>
    </row>
    <row r="500" spans="1:46" x14ac:dyDescent="0.25">
      <c r="A500" s="4" t="s">
        <v>206</v>
      </c>
      <c r="B500" s="4" t="s">
        <v>207</v>
      </c>
      <c r="C500" s="4" t="s">
        <v>246</v>
      </c>
      <c r="D500" s="4" t="s">
        <v>247</v>
      </c>
      <c r="E500" s="4" t="s">
        <v>248</v>
      </c>
      <c r="F500" s="4" t="s">
        <v>201</v>
      </c>
      <c r="G500" s="4" t="s">
        <v>93</v>
      </c>
      <c r="H500" s="4" t="s">
        <v>151</v>
      </c>
      <c r="I500" s="5">
        <v>658.71299999999997</v>
      </c>
      <c r="J500" s="5">
        <v>2407.1370000000002</v>
      </c>
      <c r="K500" s="5">
        <v>4349.8620000000001</v>
      </c>
      <c r="L500" s="5">
        <v>5538.5429999999997</v>
      </c>
      <c r="M500" s="5">
        <v>11347.456</v>
      </c>
      <c r="N500" s="5">
        <v>12462.779</v>
      </c>
      <c r="O500" s="5">
        <v>8426.2860000000001</v>
      </c>
      <c r="P500" s="5">
        <v>3808.835</v>
      </c>
      <c r="Q500" s="5">
        <v>1759.068</v>
      </c>
      <c r="R500" s="5">
        <v>942.52200000000005</v>
      </c>
      <c r="S500" s="5">
        <v>866.70600000000002</v>
      </c>
      <c r="T500" s="5">
        <v>706.73599999999999</v>
      </c>
      <c r="U500" s="5">
        <v>734.97699999999998</v>
      </c>
      <c r="V500" s="5">
        <v>1189.3230000000001</v>
      </c>
      <c r="W500" s="5">
        <v>3927.4209999999998</v>
      </c>
      <c r="X500" s="5">
        <v>7218.1790000000001</v>
      </c>
      <c r="Y500" s="5">
        <v>10309.694</v>
      </c>
      <c r="Z500" s="5">
        <v>10474.557000000001</v>
      </c>
      <c r="AA500" s="5">
        <v>9747.1589999999997</v>
      </c>
      <c r="AB500" s="5">
        <v>4481.8810000000003</v>
      </c>
      <c r="AC500" s="5">
        <v>2179.239</v>
      </c>
      <c r="AD500" s="5">
        <v>1128.6420000000001</v>
      </c>
      <c r="AE500" s="5">
        <v>946.93399999999997</v>
      </c>
      <c r="AF500" s="5">
        <v>1114.635</v>
      </c>
      <c r="AG500" s="5">
        <v>830.14800000000002</v>
      </c>
      <c r="AH500" s="5">
        <v>1404.8340000000001</v>
      </c>
      <c r="AI500" s="5">
        <v>3714.1959999999999</v>
      </c>
      <c r="AJ500" s="5">
        <v>9422.9500000000007</v>
      </c>
      <c r="AK500" s="5">
        <v>19503.153999999999</v>
      </c>
      <c r="AL500" s="5">
        <v>16582.846000000001</v>
      </c>
      <c r="AM500" s="5">
        <v>24794.295999999998</v>
      </c>
      <c r="AN500" s="5">
        <v>26433.965</v>
      </c>
      <c r="AO500" s="5">
        <v>9119.9590000000007</v>
      </c>
      <c r="AP500" s="5">
        <v>3582.962</v>
      </c>
      <c r="AQ500" s="5">
        <v>1804.579</v>
      </c>
      <c r="AR500" s="5">
        <v>1155.6890000000001</v>
      </c>
      <c r="AS500" s="5">
        <v>2036.8910000000001</v>
      </c>
      <c r="AT500" s="5">
        <v>2036.8910000000001</v>
      </c>
    </row>
    <row r="501" spans="1:46" x14ac:dyDescent="0.25">
      <c r="A501" s="4" t="s">
        <v>206</v>
      </c>
      <c r="B501" s="4" t="s">
        <v>207</v>
      </c>
      <c r="C501" s="4" t="s">
        <v>246</v>
      </c>
      <c r="D501" s="4" t="s">
        <v>247</v>
      </c>
      <c r="E501" s="4" t="s">
        <v>248</v>
      </c>
      <c r="F501" s="4" t="s">
        <v>201</v>
      </c>
      <c r="G501" s="4" t="s">
        <v>93</v>
      </c>
      <c r="H501" s="4" t="s">
        <v>205</v>
      </c>
      <c r="I501" s="6">
        <v>106649.788</v>
      </c>
      <c r="J501" s="6">
        <v>402691.67099999997</v>
      </c>
      <c r="K501" s="6">
        <v>718024.43200000003</v>
      </c>
      <c r="L501" s="6">
        <v>931516.85199999996</v>
      </c>
      <c r="M501" s="6">
        <v>1873462.7620000001</v>
      </c>
      <c r="N501" s="6">
        <v>1914736.2690000001</v>
      </c>
      <c r="O501" s="6">
        <v>1375065.5179999999</v>
      </c>
      <c r="P501" s="6">
        <v>632740.52099999995</v>
      </c>
      <c r="Q501" s="6">
        <v>317111.75799999997</v>
      </c>
      <c r="R501" s="6">
        <v>177449.14799999999</v>
      </c>
      <c r="S501" s="6">
        <v>162210.46400000001</v>
      </c>
      <c r="T501" s="6">
        <v>128580.11500000001</v>
      </c>
      <c r="U501" s="6">
        <v>132940.33499999999</v>
      </c>
      <c r="V501" s="6">
        <v>209201</v>
      </c>
      <c r="W501" s="6">
        <v>633515.14099999995</v>
      </c>
      <c r="X501" s="6">
        <v>1222602.977</v>
      </c>
      <c r="Y501" s="6">
        <v>1783268.524</v>
      </c>
      <c r="Z501" s="6">
        <v>1840354.044</v>
      </c>
      <c r="AA501" s="6">
        <v>1756327.6869999999</v>
      </c>
      <c r="AB501" s="6">
        <v>823476.21600000001</v>
      </c>
      <c r="AC501" s="6">
        <v>399962.147</v>
      </c>
      <c r="AD501" s="6">
        <v>205400.69500000001</v>
      </c>
      <c r="AE501" s="6">
        <v>173831.73</v>
      </c>
      <c r="AF501" s="6">
        <v>211818.342</v>
      </c>
      <c r="AG501" s="6">
        <v>156555.14300000001</v>
      </c>
      <c r="AH501" s="6">
        <v>270666.598</v>
      </c>
      <c r="AI501" s="6">
        <v>722896.26800000004</v>
      </c>
      <c r="AJ501" s="6">
        <v>1846228.148</v>
      </c>
      <c r="AK501" s="6">
        <v>3837453.5350000001</v>
      </c>
      <c r="AL501" s="6">
        <v>3390909.713</v>
      </c>
      <c r="AM501" s="6">
        <v>5062974.1040000003</v>
      </c>
      <c r="AN501" s="6">
        <v>5399313.1299999999</v>
      </c>
      <c r="AO501" s="6">
        <v>1968258.902</v>
      </c>
      <c r="AP501" s="6">
        <v>765592.52300000004</v>
      </c>
      <c r="AQ501" s="6">
        <v>369943.79700000002</v>
      </c>
      <c r="AR501" s="6">
        <v>245223.60200000001</v>
      </c>
      <c r="AS501" s="6">
        <v>435848.38199999998</v>
      </c>
      <c r="AT501" s="6">
        <v>435848.38199999998</v>
      </c>
    </row>
    <row r="502" spans="1:46" x14ac:dyDescent="0.25">
      <c r="A502" s="4" t="s">
        <v>206</v>
      </c>
      <c r="B502" s="4" t="s">
        <v>207</v>
      </c>
      <c r="C502" s="4" t="s">
        <v>246</v>
      </c>
      <c r="D502" s="4" t="s">
        <v>247</v>
      </c>
      <c r="E502" s="4" t="s">
        <v>248</v>
      </c>
      <c r="F502" s="4" t="s">
        <v>201</v>
      </c>
      <c r="G502" s="4" t="s">
        <v>93</v>
      </c>
      <c r="H502" s="4" t="s">
        <v>249</v>
      </c>
      <c r="I502" s="7">
        <v>0.16300000000000001</v>
      </c>
      <c r="J502" s="7">
        <v>0.41499999999999998</v>
      </c>
      <c r="K502" s="7">
        <v>0.53700000000000003</v>
      </c>
      <c r="L502" s="7">
        <v>0.52600000000000002</v>
      </c>
      <c r="M502" s="7">
        <v>0.80700000000000005</v>
      </c>
      <c r="N502" s="7">
        <v>0.90200000000000002</v>
      </c>
      <c r="O502" s="7">
        <v>0.68500000000000005</v>
      </c>
      <c r="P502" s="7">
        <v>0.433</v>
      </c>
      <c r="Q502" s="7">
        <v>0.29099999999999998</v>
      </c>
      <c r="R502" s="7">
        <v>0.24099999999999999</v>
      </c>
      <c r="S502" s="7">
        <v>0.26500000000000001</v>
      </c>
      <c r="T502" s="7">
        <v>0.22500000000000001</v>
      </c>
      <c r="U502" s="7">
        <v>0.20699999999999999</v>
      </c>
      <c r="V502" s="7">
        <v>0.251</v>
      </c>
      <c r="W502" s="7">
        <v>0.54300000000000004</v>
      </c>
      <c r="X502" s="7">
        <v>0.71</v>
      </c>
      <c r="Y502" s="7">
        <v>0.875</v>
      </c>
      <c r="Z502" s="7">
        <v>0.95099999999999996</v>
      </c>
      <c r="AA502" s="7">
        <v>0.84799999999999998</v>
      </c>
      <c r="AB502" s="7">
        <v>0.51400000000000001</v>
      </c>
      <c r="AC502" s="7">
        <v>0.32300000000000001</v>
      </c>
      <c r="AD502" s="7">
        <v>0.22500000000000001</v>
      </c>
      <c r="AE502" s="7">
        <v>0.23899999999999999</v>
      </c>
      <c r="AF502" s="7">
        <v>0.313</v>
      </c>
      <c r="AG502" s="7">
        <v>0.22</v>
      </c>
      <c r="AH502" s="7">
        <v>0.28100000000000003</v>
      </c>
      <c r="AI502" s="7">
        <v>0.55200000000000005</v>
      </c>
      <c r="AJ502" s="7">
        <v>0.93700000000000006</v>
      </c>
      <c r="AK502" s="7">
        <v>1.52</v>
      </c>
      <c r="AL502" s="7">
        <v>1.3169999999999999</v>
      </c>
      <c r="AM502" s="7">
        <v>1.6910000000000001</v>
      </c>
      <c r="AN502" s="7">
        <v>1.83</v>
      </c>
      <c r="AO502" s="7">
        <v>0.97599999999999998</v>
      </c>
      <c r="AP502" s="7">
        <v>0.53500000000000003</v>
      </c>
      <c r="AQ502" s="7">
        <v>0.36299999999999999</v>
      </c>
      <c r="AR502" s="7">
        <v>0.33300000000000002</v>
      </c>
      <c r="AS502" s="7">
        <v>0.71299999999999997</v>
      </c>
      <c r="AT502" s="7">
        <v>0.23100000000000001</v>
      </c>
    </row>
    <row r="503" spans="1:46" x14ac:dyDescent="0.25">
      <c r="A503" s="4" t="s">
        <v>206</v>
      </c>
      <c r="B503" s="4" t="s">
        <v>207</v>
      </c>
      <c r="C503" s="4" t="s">
        <v>246</v>
      </c>
      <c r="D503" s="4" t="s">
        <v>247</v>
      </c>
      <c r="E503" s="4" t="s">
        <v>248</v>
      </c>
      <c r="F503" s="4" t="s">
        <v>201</v>
      </c>
      <c r="G503" s="4" t="s">
        <v>93</v>
      </c>
      <c r="H503" s="4" t="s">
        <v>250</v>
      </c>
      <c r="I503" s="7">
        <v>22.620999999999999</v>
      </c>
      <c r="J503" s="7">
        <v>41.045000000000002</v>
      </c>
      <c r="K503" s="7">
        <v>53.009</v>
      </c>
      <c r="L503" s="7">
        <v>52.728000000000002</v>
      </c>
      <c r="M503" s="7">
        <v>58.171999999999997</v>
      </c>
      <c r="N503" s="7">
        <v>50.572000000000003</v>
      </c>
      <c r="O503" s="7">
        <v>48.921999999999997</v>
      </c>
      <c r="P503" s="7">
        <v>43.164000000000001</v>
      </c>
      <c r="Q503" s="7">
        <v>32.734999999999999</v>
      </c>
      <c r="R503" s="7">
        <v>20.170000000000002</v>
      </c>
      <c r="S503" s="7">
        <v>20.256</v>
      </c>
      <c r="T503" s="7">
        <v>23.948</v>
      </c>
      <c r="U503" s="7">
        <v>30.225000000000001</v>
      </c>
      <c r="V503" s="7">
        <v>38.630000000000003</v>
      </c>
      <c r="W503" s="7">
        <v>54.978999999999999</v>
      </c>
      <c r="X503" s="7">
        <v>57.371000000000002</v>
      </c>
      <c r="Y503" s="7">
        <v>60.246000000000002</v>
      </c>
      <c r="Z503" s="7">
        <v>58.576000000000001</v>
      </c>
      <c r="AA503" s="7">
        <v>56.265999999999998</v>
      </c>
      <c r="AB503" s="7">
        <v>52.472999999999999</v>
      </c>
      <c r="AC503" s="7">
        <v>40.627000000000002</v>
      </c>
      <c r="AD503" s="7">
        <v>23.492999999999999</v>
      </c>
      <c r="AE503" s="7">
        <v>19.594000000000001</v>
      </c>
      <c r="AF503" s="7">
        <v>19.349</v>
      </c>
      <c r="AG503" s="7">
        <v>20.917999999999999</v>
      </c>
      <c r="AH503" s="7">
        <v>37.121000000000002</v>
      </c>
      <c r="AI503" s="7">
        <v>51.195999999999998</v>
      </c>
      <c r="AJ503" s="7">
        <v>62.16</v>
      </c>
      <c r="AK503" s="7">
        <v>62.912999999999997</v>
      </c>
      <c r="AL503" s="7">
        <v>55.356999999999999</v>
      </c>
      <c r="AM503" s="7">
        <v>56.835999999999999</v>
      </c>
      <c r="AN503" s="7">
        <v>60.53</v>
      </c>
      <c r="AO503" s="7">
        <v>37.805</v>
      </c>
      <c r="AP503" s="7">
        <v>31.954000000000001</v>
      </c>
      <c r="AQ503" s="7">
        <v>23.805</v>
      </c>
      <c r="AR503" s="7">
        <v>21.963999999999999</v>
      </c>
      <c r="AS503" s="7">
        <v>36.109000000000002</v>
      </c>
      <c r="AT503" s="5">
        <v>3757.7159999999999</v>
      </c>
    </row>
    <row r="504" spans="1:46" x14ac:dyDescent="0.25">
      <c r="A504" s="4" t="s">
        <v>206</v>
      </c>
      <c r="B504" s="4" t="s">
        <v>207</v>
      </c>
      <c r="C504" s="4" t="s">
        <v>246</v>
      </c>
      <c r="D504" s="4" t="s">
        <v>247</v>
      </c>
      <c r="E504" s="4" t="s">
        <v>248</v>
      </c>
      <c r="F504" s="4" t="s">
        <v>201</v>
      </c>
      <c r="G504" s="4" t="s">
        <v>93</v>
      </c>
      <c r="H504" s="4" t="s">
        <v>251</v>
      </c>
      <c r="I504" s="7">
        <v>4.9351548999999997</v>
      </c>
      <c r="J504" s="7">
        <v>6.0629081999999999</v>
      </c>
      <c r="K504" s="7">
        <v>6.8004879999999996</v>
      </c>
      <c r="L504" s="7">
        <v>7.5318421999999998</v>
      </c>
      <c r="M504" s="7">
        <v>7.7725909</v>
      </c>
      <c r="N504" s="7">
        <v>7.5616902000000001</v>
      </c>
      <c r="O504" s="7">
        <v>7.4972791000000001</v>
      </c>
      <c r="P504" s="7">
        <v>6.7169397000000002</v>
      </c>
      <c r="Q504" s="7">
        <v>5.9936172000000001</v>
      </c>
      <c r="R504" s="7">
        <v>5.1499275999999998</v>
      </c>
      <c r="S504" s="7">
        <v>5.1355389000000002</v>
      </c>
      <c r="T504" s="7">
        <v>5.0058546000000002</v>
      </c>
      <c r="U504" s="7">
        <v>5.2533738999999997</v>
      </c>
      <c r="V504" s="7">
        <v>5.7551652999999998</v>
      </c>
      <c r="W504" s="7">
        <v>6.8403391999999998</v>
      </c>
      <c r="X504" s="7">
        <v>7.2824891000000003</v>
      </c>
      <c r="Y504" s="7">
        <v>7.4463233000000004</v>
      </c>
      <c r="Z504" s="7">
        <v>8.3374343</v>
      </c>
      <c r="AA504" s="7">
        <v>8.5010334000000007</v>
      </c>
      <c r="AB504" s="7">
        <v>9.0683346999999994</v>
      </c>
      <c r="AC504" s="7">
        <v>8.1062309999999993</v>
      </c>
      <c r="AD504" s="7">
        <v>7.1590391999999996</v>
      </c>
      <c r="AE504" s="7">
        <v>7.0375845000000004</v>
      </c>
      <c r="AF504" s="7">
        <v>6.5740970000000001</v>
      </c>
      <c r="AG504" s="7">
        <v>6.1246619000000004</v>
      </c>
      <c r="AH504" s="7">
        <v>7.2563686000000001</v>
      </c>
      <c r="AI504" s="7">
        <v>8.2719468000000003</v>
      </c>
      <c r="AJ504" s="7">
        <v>9.4797045999999998</v>
      </c>
      <c r="AK504" s="7">
        <v>10.119184499999999</v>
      </c>
      <c r="AL504" s="7">
        <v>10.4630949</v>
      </c>
      <c r="AM504" s="7">
        <v>11.4662635</v>
      </c>
      <c r="AN504" s="7">
        <v>12.020974199999999</v>
      </c>
      <c r="AO504" s="7">
        <v>9.9587044999999996</v>
      </c>
      <c r="AP504" s="7">
        <v>8.4312577999999991</v>
      </c>
      <c r="AQ504" s="7">
        <v>7.0490003999999997</v>
      </c>
      <c r="AR504" s="7">
        <v>6.7648012</v>
      </c>
      <c r="AS504" s="7">
        <v>7.3629750999999999</v>
      </c>
      <c r="AT504" s="7">
        <v>36.109000000000002</v>
      </c>
    </row>
    <row r="505" spans="1:46" x14ac:dyDescent="0.25">
      <c r="A505" s="4" t="s">
        <v>206</v>
      </c>
      <c r="B505" s="4" t="s">
        <v>207</v>
      </c>
      <c r="C505" s="4" t="s">
        <v>246</v>
      </c>
      <c r="D505" s="4" t="s">
        <v>247</v>
      </c>
      <c r="E505" s="4" t="s">
        <v>248</v>
      </c>
      <c r="F505" s="4" t="s">
        <v>201</v>
      </c>
      <c r="G505" s="4" t="s">
        <v>93</v>
      </c>
      <c r="H505" s="4" t="s">
        <v>252</v>
      </c>
      <c r="I505" s="16">
        <v>0.66800000000000004</v>
      </c>
      <c r="J505" s="16">
        <v>0.66</v>
      </c>
      <c r="K505" s="16">
        <v>0.62</v>
      </c>
      <c r="L505" s="16">
        <v>0.54800000000000004</v>
      </c>
      <c r="M505" s="16">
        <v>0.61799999999999999</v>
      </c>
      <c r="N505" s="16">
        <v>0.55100000000000005</v>
      </c>
      <c r="O505" s="16">
        <v>0.625</v>
      </c>
      <c r="P505" s="16">
        <v>0.65100000000000002</v>
      </c>
      <c r="Q505" s="16">
        <v>0.53600000000000003</v>
      </c>
      <c r="R505" s="16">
        <v>0.46300000000000002</v>
      </c>
      <c r="S505" s="16">
        <v>0.51300000000000001</v>
      </c>
      <c r="T505" s="16">
        <v>0.53100000000000003</v>
      </c>
      <c r="U505" s="16">
        <v>0.52</v>
      </c>
      <c r="V505" s="16">
        <v>0.45800000000000002</v>
      </c>
      <c r="W505" s="16">
        <v>0.67700000000000005</v>
      </c>
      <c r="X505" s="16">
        <v>0.58199999999999996</v>
      </c>
      <c r="Y505" s="16">
        <v>0.54600000000000004</v>
      </c>
      <c r="Z505" s="16">
        <v>0.59899999999999998</v>
      </c>
      <c r="AA505" s="16">
        <v>0.59499999999999997</v>
      </c>
      <c r="AB505" s="16">
        <v>0.72399999999999998</v>
      </c>
      <c r="AC505" s="16">
        <v>0.68700000000000006</v>
      </c>
      <c r="AD505" s="16">
        <v>0.67100000000000004</v>
      </c>
      <c r="AE505" s="16">
        <v>0.67900000000000005</v>
      </c>
      <c r="AF505" s="16">
        <v>0.58599999999999997</v>
      </c>
      <c r="AG505" s="16">
        <v>0.59799999999999998</v>
      </c>
      <c r="AH505" s="16">
        <v>0.55500000000000005</v>
      </c>
      <c r="AI505" s="16">
        <v>0.47</v>
      </c>
      <c r="AJ505" s="16">
        <v>0.57399999999999995</v>
      </c>
      <c r="AK505" s="16">
        <v>0.61099999999999999</v>
      </c>
      <c r="AL505" s="16">
        <v>0.60099999999999998</v>
      </c>
      <c r="AM505" s="16">
        <v>0.86499999999999999</v>
      </c>
      <c r="AN505" s="16">
        <v>0.85199999999999998</v>
      </c>
      <c r="AO505" s="16">
        <v>0.79400000000000004</v>
      </c>
      <c r="AP505" s="16">
        <v>0.85099999999999998</v>
      </c>
      <c r="AQ505" s="16">
        <v>0.70699999999999996</v>
      </c>
      <c r="AR505" s="16">
        <v>0.77100000000000002</v>
      </c>
      <c r="AS505" s="16">
        <v>0.74</v>
      </c>
      <c r="AT505" s="7">
        <v>7.3629750999999999</v>
      </c>
    </row>
    <row r="506" spans="1:46" x14ac:dyDescent="0.25">
      <c r="A506" s="4" t="s">
        <v>206</v>
      </c>
      <c r="B506" s="4" t="s">
        <v>207</v>
      </c>
      <c r="C506" s="4" t="s">
        <v>246</v>
      </c>
      <c r="D506" s="4" t="s">
        <v>247</v>
      </c>
      <c r="E506" s="4" t="s">
        <v>248</v>
      </c>
      <c r="F506" s="4" t="s">
        <v>201</v>
      </c>
      <c r="G506" s="4" t="s">
        <v>253</v>
      </c>
      <c r="H506" s="4" t="s">
        <v>151</v>
      </c>
      <c r="I506" s="5">
        <v>145.97399999999999</v>
      </c>
      <c r="J506" s="5">
        <v>152.14500000000001</v>
      </c>
      <c r="K506" s="5">
        <v>165.874</v>
      </c>
      <c r="L506" s="5">
        <v>160.57900000000001</v>
      </c>
      <c r="M506" s="5">
        <v>298.32</v>
      </c>
      <c r="N506" s="5">
        <v>260.07400000000001</v>
      </c>
      <c r="O506" s="5">
        <v>11.340999999999999</v>
      </c>
      <c r="P506" s="5">
        <v>107.483</v>
      </c>
      <c r="Q506" s="5">
        <v>89.364000000000004</v>
      </c>
      <c r="R506" s="5">
        <v>63.162999999999997</v>
      </c>
      <c r="S506" s="5">
        <v>73.353999999999999</v>
      </c>
      <c r="T506" s="5">
        <v>60.113</v>
      </c>
      <c r="U506" s="5">
        <v>81.537000000000006</v>
      </c>
      <c r="V506" s="5">
        <v>127.631</v>
      </c>
      <c r="W506" s="5">
        <v>60.195999999999998</v>
      </c>
      <c r="X506" s="5">
        <v>41.933</v>
      </c>
      <c r="Y506" s="5">
        <v>18.640999999999998</v>
      </c>
      <c r="Z506" s="5">
        <v>21.146999999999998</v>
      </c>
      <c r="AA506" s="5">
        <v>40.512999999999998</v>
      </c>
      <c r="AB506" s="5">
        <v>21.074000000000002</v>
      </c>
      <c r="AC506" s="8">
        <v>0</v>
      </c>
      <c r="AD506" s="9">
        <v>0</v>
      </c>
      <c r="AE506" s="9">
        <v>0</v>
      </c>
      <c r="AF506" s="5">
        <v>1</v>
      </c>
      <c r="AG506" s="5">
        <v>2</v>
      </c>
      <c r="AH506" s="5">
        <v>2.1429999999999998</v>
      </c>
      <c r="AI506" s="5">
        <v>0.85699999999999998</v>
      </c>
      <c r="AJ506" s="8">
        <v>0</v>
      </c>
      <c r="AK506" s="5">
        <v>1</v>
      </c>
      <c r="AL506" s="8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</row>
    <row r="507" spans="1:46" x14ac:dyDescent="0.25">
      <c r="A507" s="4" t="s">
        <v>206</v>
      </c>
      <c r="B507" s="4" t="s">
        <v>207</v>
      </c>
      <c r="C507" s="4" t="s">
        <v>246</v>
      </c>
      <c r="D507" s="4" t="s">
        <v>247</v>
      </c>
      <c r="E507" s="4" t="s">
        <v>248</v>
      </c>
      <c r="F507" s="4" t="s">
        <v>201</v>
      </c>
      <c r="G507" s="4" t="s">
        <v>253</v>
      </c>
      <c r="H507" s="4" t="s">
        <v>205</v>
      </c>
      <c r="I507" s="6">
        <v>13840.603999999999</v>
      </c>
      <c r="J507" s="6">
        <v>13070.643</v>
      </c>
      <c r="K507" s="6">
        <v>13423.466</v>
      </c>
      <c r="L507" s="6">
        <v>14099.416999999999</v>
      </c>
      <c r="M507" s="6">
        <v>27146.733</v>
      </c>
      <c r="N507" s="6">
        <v>22101.131000000001</v>
      </c>
      <c r="O507" s="6">
        <v>783.90200000000004</v>
      </c>
      <c r="P507" s="6">
        <v>9681.7160000000003</v>
      </c>
      <c r="Q507" s="6">
        <v>7949.348</v>
      </c>
      <c r="R507" s="6">
        <v>5684.665</v>
      </c>
      <c r="S507" s="6">
        <v>6550.8850000000002</v>
      </c>
      <c r="T507" s="6">
        <v>5410.1760000000004</v>
      </c>
      <c r="U507" s="6">
        <v>7473.1559999999999</v>
      </c>
      <c r="V507" s="6">
        <v>11200.781000000001</v>
      </c>
      <c r="W507" s="6">
        <v>3616.5920000000001</v>
      </c>
      <c r="X507" s="6">
        <v>4029.3319999999999</v>
      </c>
      <c r="Y507" s="6">
        <v>1768.338</v>
      </c>
      <c r="Z507" s="6">
        <v>1993.5329999999999</v>
      </c>
      <c r="AA507" s="6">
        <v>3368.2730000000001</v>
      </c>
      <c r="AB507" s="6">
        <v>1664.721</v>
      </c>
      <c r="AC507" s="10">
        <v>0</v>
      </c>
      <c r="AD507" s="9">
        <v>0</v>
      </c>
      <c r="AE507" s="9">
        <v>0</v>
      </c>
      <c r="AF507" s="6">
        <v>72</v>
      </c>
      <c r="AG507" s="6">
        <v>122.4</v>
      </c>
      <c r="AH507" s="6">
        <v>139.87899999999999</v>
      </c>
      <c r="AI507" s="6">
        <v>61.710999999999999</v>
      </c>
      <c r="AJ507" s="10">
        <v>0</v>
      </c>
      <c r="AK507" s="6">
        <v>65</v>
      </c>
      <c r="AL507" s="10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</row>
    <row r="508" spans="1:46" x14ac:dyDescent="0.25">
      <c r="A508" s="4" t="s">
        <v>206</v>
      </c>
      <c r="B508" s="4" t="s">
        <v>207</v>
      </c>
      <c r="C508" s="4" t="s">
        <v>246</v>
      </c>
      <c r="D508" s="4" t="s">
        <v>247</v>
      </c>
      <c r="E508" s="4" t="s">
        <v>248</v>
      </c>
      <c r="F508" s="4" t="s">
        <v>201</v>
      </c>
      <c r="G508" s="4" t="s">
        <v>253</v>
      </c>
      <c r="H508" s="4" t="s">
        <v>249</v>
      </c>
      <c r="I508" s="7">
        <v>1.2999999999999999E-2</v>
      </c>
      <c r="J508" s="7">
        <v>0.01</v>
      </c>
      <c r="K508" s="7">
        <v>7.0000000000000001E-3</v>
      </c>
      <c r="L508" s="7">
        <v>6.0000000000000001E-3</v>
      </c>
      <c r="M508" s="7">
        <v>8.0000000000000002E-3</v>
      </c>
      <c r="N508" s="7">
        <v>7.0000000000000001E-3</v>
      </c>
      <c r="O508" s="7">
        <v>0</v>
      </c>
      <c r="P508" s="7">
        <v>4.0000000000000001E-3</v>
      </c>
      <c r="Q508" s="7">
        <v>5.0000000000000001E-3</v>
      </c>
      <c r="R508" s="7">
        <v>6.0000000000000001E-3</v>
      </c>
      <c r="S508" s="7">
        <v>8.0000000000000002E-3</v>
      </c>
      <c r="T508" s="7">
        <v>7.0000000000000001E-3</v>
      </c>
      <c r="U508" s="7">
        <v>8.0000000000000002E-3</v>
      </c>
      <c r="V508" s="7">
        <v>0.01</v>
      </c>
      <c r="W508" s="7">
        <v>3.0000000000000001E-3</v>
      </c>
      <c r="X508" s="7">
        <v>1E-3</v>
      </c>
      <c r="Y508" s="7">
        <v>1E-3</v>
      </c>
      <c r="Z508" s="7">
        <v>1E-3</v>
      </c>
      <c r="AA508" s="7">
        <v>1E-3</v>
      </c>
      <c r="AB508" s="7">
        <v>1E-3</v>
      </c>
      <c r="AC508" s="11">
        <v>0</v>
      </c>
      <c r="AD508" s="9">
        <v>0</v>
      </c>
      <c r="AE508" s="9">
        <v>0</v>
      </c>
      <c r="AF508" s="7">
        <v>0</v>
      </c>
      <c r="AG508" s="7">
        <v>0</v>
      </c>
      <c r="AH508" s="7">
        <v>0</v>
      </c>
      <c r="AI508" s="7">
        <v>0</v>
      </c>
      <c r="AJ508" s="11">
        <v>0</v>
      </c>
      <c r="AK508" s="7">
        <v>0</v>
      </c>
      <c r="AL508" s="11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0</v>
      </c>
      <c r="AR508" s="9">
        <v>0</v>
      </c>
      <c r="AS508" s="9">
        <v>0</v>
      </c>
      <c r="AT508" s="9">
        <v>0</v>
      </c>
    </row>
    <row r="509" spans="1:46" x14ac:dyDescent="0.25">
      <c r="A509" s="4" t="s">
        <v>206</v>
      </c>
      <c r="B509" s="4" t="s">
        <v>207</v>
      </c>
      <c r="C509" s="4" t="s">
        <v>246</v>
      </c>
      <c r="D509" s="4" t="s">
        <v>247</v>
      </c>
      <c r="E509" s="4" t="s">
        <v>248</v>
      </c>
      <c r="F509" s="4" t="s">
        <v>201</v>
      </c>
      <c r="G509" s="4" t="s">
        <v>253</v>
      </c>
      <c r="H509" s="4" t="s">
        <v>250</v>
      </c>
      <c r="I509" s="7">
        <v>2.2829999999999999</v>
      </c>
      <c r="J509" s="7">
        <v>2.593</v>
      </c>
      <c r="K509" s="7">
        <v>2.742</v>
      </c>
      <c r="L509" s="7">
        <v>3.016</v>
      </c>
      <c r="M509" s="7">
        <v>3.0230000000000001</v>
      </c>
      <c r="N509" s="7">
        <v>2.8519999999999999</v>
      </c>
      <c r="O509" s="7">
        <v>2.3239999999999998</v>
      </c>
      <c r="P509" s="7">
        <v>2.5529999999999999</v>
      </c>
      <c r="Q509" s="7">
        <v>1.8839999999999999</v>
      </c>
      <c r="R509" s="7">
        <v>2.5499999999999998</v>
      </c>
      <c r="S509" s="7">
        <v>2.3090000000000002</v>
      </c>
      <c r="T509" s="7">
        <v>1.8480000000000001</v>
      </c>
      <c r="U509" s="7">
        <v>2.573</v>
      </c>
      <c r="V509" s="7">
        <v>1.772</v>
      </c>
      <c r="W509" s="7">
        <v>1.8819999999999999</v>
      </c>
      <c r="X509" s="7">
        <v>2.1269999999999998</v>
      </c>
      <c r="Y509" s="7">
        <v>3.8450000000000002</v>
      </c>
      <c r="Z509" s="7">
        <v>3.298</v>
      </c>
      <c r="AA509" s="7">
        <v>1.347</v>
      </c>
      <c r="AB509" s="7">
        <v>1.583</v>
      </c>
      <c r="AC509" s="11">
        <v>0</v>
      </c>
      <c r="AD509" s="9">
        <v>0</v>
      </c>
      <c r="AE509" s="9">
        <v>0</v>
      </c>
      <c r="AF509" s="7">
        <v>0.09</v>
      </c>
      <c r="AG509" s="7">
        <v>0.64100000000000001</v>
      </c>
      <c r="AH509" s="7">
        <v>0.46200000000000002</v>
      </c>
      <c r="AI509" s="7">
        <v>4.3999999999999997E-2</v>
      </c>
      <c r="AJ509" s="11">
        <v>0</v>
      </c>
      <c r="AK509" s="7">
        <v>0.158</v>
      </c>
      <c r="AL509" s="11">
        <v>0</v>
      </c>
      <c r="AM509" s="9">
        <v>0</v>
      </c>
      <c r="AN509" s="9">
        <v>0</v>
      </c>
      <c r="AO509" s="9">
        <v>0</v>
      </c>
      <c r="AP509" s="9">
        <v>0</v>
      </c>
      <c r="AQ509" s="9">
        <v>0</v>
      </c>
      <c r="AR509" s="9">
        <v>0</v>
      </c>
      <c r="AS509" s="9">
        <v>0</v>
      </c>
      <c r="AT509" s="9">
        <v>0</v>
      </c>
    </row>
    <row r="510" spans="1:46" x14ac:dyDescent="0.25">
      <c r="A510" s="4" t="s">
        <v>206</v>
      </c>
      <c r="B510" s="4" t="s">
        <v>207</v>
      </c>
      <c r="C510" s="4" t="s">
        <v>246</v>
      </c>
      <c r="D510" s="4" t="s">
        <v>247</v>
      </c>
      <c r="E510" s="4" t="s">
        <v>248</v>
      </c>
      <c r="F510" s="4" t="s">
        <v>201</v>
      </c>
      <c r="G510" s="4" t="s">
        <v>253</v>
      </c>
      <c r="H510" s="4" t="s">
        <v>251</v>
      </c>
      <c r="I510" s="7">
        <v>1.0392790999999999</v>
      </c>
      <c r="J510" s="7">
        <v>0.74408470000000004</v>
      </c>
      <c r="K510" s="7">
        <v>0.7923945</v>
      </c>
      <c r="L510" s="7">
        <v>0.82805030000000002</v>
      </c>
      <c r="M510" s="7">
        <v>0.80119169999999995</v>
      </c>
      <c r="N510" s="7">
        <v>0.78130330000000003</v>
      </c>
      <c r="O510" s="7">
        <v>0.69250829999999997</v>
      </c>
      <c r="P510" s="7">
        <v>0.74674879999999999</v>
      </c>
      <c r="Q510" s="7">
        <v>0.64902939999999998</v>
      </c>
      <c r="R510" s="7">
        <v>0.57669190000000004</v>
      </c>
      <c r="S510" s="7">
        <v>0.57662179999999996</v>
      </c>
      <c r="T510" s="7">
        <v>0.4903013</v>
      </c>
      <c r="U510" s="7">
        <v>0.50393209999999999</v>
      </c>
      <c r="V510" s="7">
        <v>0.50129849999999998</v>
      </c>
      <c r="W510" s="7">
        <v>0.42359180000000002</v>
      </c>
      <c r="X510" s="7">
        <v>0.3026103</v>
      </c>
      <c r="Y510" s="7">
        <v>0.19549639999999999</v>
      </c>
      <c r="Z510" s="7">
        <v>0.1954794</v>
      </c>
      <c r="AA510" s="7">
        <v>0.1961521</v>
      </c>
      <c r="AB510" s="7">
        <v>0.15505640000000001</v>
      </c>
      <c r="AC510" s="7">
        <v>0</v>
      </c>
      <c r="AD510" s="9">
        <v>0</v>
      </c>
      <c r="AE510" s="9">
        <v>0</v>
      </c>
      <c r="AF510" s="7">
        <v>4.3888E-3</v>
      </c>
      <c r="AG510" s="7">
        <v>4.3888E-3</v>
      </c>
      <c r="AH510" s="7">
        <v>8.7755000000000003E-3</v>
      </c>
      <c r="AI510" s="7">
        <v>4.3867000000000003E-3</v>
      </c>
      <c r="AJ510" s="7">
        <v>0</v>
      </c>
      <c r="AK510" s="7">
        <v>4.3820999999999999E-3</v>
      </c>
      <c r="AL510" s="7">
        <v>0</v>
      </c>
      <c r="AM510" s="9">
        <v>0</v>
      </c>
      <c r="AN510" s="9">
        <v>0</v>
      </c>
      <c r="AO510" s="9">
        <v>0</v>
      </c>
      <c r="AP510" s="9">
        <v>0</v>
      </c>
      <c r="AQ510" s="9">
        <v>0</v>
      </c>
      <c r="AR510" s="9">
        <v>0</v>
      </c>
      <c r="AS510" s="9">
        <v>0</v>
      </c>
      <c r="AT510" s="9">
        <v>0</v>
      </c>
    </row>
    <row r="511" spans="1:46" x14ac:dyDescent="0.25">
      <c r="A511" s="4" t="s">
        <v>206</v>
      </c>
      <c r="B511" s="4" t="s">
        <v>207</v>
      </c>
      <c r="C511" s="4" t="s">
        <v>246</v>
      </c>
      <c r="D511" s="4" t="s">
        <v>247</v>
      </c>
      <c r="E511" s="4" t="s">
        <v>248</v>
      </c>
      <c r="F511" s="4" t="s">
        <v>201</v>
      </c>
      <c r="G511" s="4" t="s">
        <v>253</v>
      </c>
      <c r="H511" s="4" t="s">
        <v>252</v>
      </c>
      <c r="I511" s="16">
        <v>8.8999999999999996E-2</v>
      </c>
      <c r="J511" s="16">
        <v>7.1999999999999995E-2</v>
      </c>
      <c r="K511" s="16">
        <v>6.0999999999999999E-2</v>
      </c>
      <c r="L511" s="16">
        <v>7.8E-2</v>
      </c>
      <c r="M511" s="16">
        <v>5.8999999999999997E-2</v>
      </c>
      <c r="N511" s="16">
        <v>3.6999999999999998E-2</v>
      </c>
      <c r="O511" s="16">
        <v>3.9E-2</v>
      </c>
      <c r="P511" s="16">
        <v>7.1999999999999995E-2</v>
      </c>
      <c r="Q511" s="16">
        <v>0.08</v>
      </c>
      <c r="R511" s="16">
        <v>8.1000000000000003E-2</v>
      </c>
      <c r="S511" s="16">
        <v>0.08</v>
      </c>
      <c r="T511" s="16">
        <v>7.4999999999999997E-2</v>
      </c>
      <c r="U511" s="16">
        <v>7.1999999999999995E-2</v>
      </c>
      <c r="V511" s="16">
        <v>2.5999999999999999E-2</v>
      </c>
      <c r="W511" s="16">
        <v>1.0999999999999999E-2</v>
      </c>
      <c r="X511" s="16">
        <v>7.0000000000000001E-3</v>
      </c>
      <c r="Y511" s="16">
        <v>7.0000000000000001E-3</v>
      </c>
      <c r="Z511" s="16">
        <v>7.0000000000000001E-3</v>
      </c>
      <c r="AA511" s="17">
        <v>0</v>
      </c>
      <c r="AB511" s="17">
        <v>0</v>
      </c>
      <c r="AC511" s="17">
        <v>0</v>
      </c>
      <c r="AD511" s="9">
        <v>0</v>
      </c>
      <c r="AE511" s="9">
        <v>0</v>
      </c>
      <c r="AF511" s="17">
        <v>0</v>
      </c>
      <c r="AG511" s="17">
        <v>0</v>
      </c>
      <c r="AH511" s="17">
        <v>0</v>
      </c>
      <c r="AI511" s="17">
        <v>0</v>
      </c>
      <c r="AJ511" s="17">
        <v>0</v>
      </c>
      <c r="AK511" s="17">
        <v>0</v>
      </c>
      <c r="AL511" s="17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</row>
    <row r="512" spans="1:46" x14ac:dyDescent="0.25">
      <c r="A512" s="4" t="s">
        <v>206</v>
      </c>
      <c r="B512" s="4" t="s">
        <v>207</v>
      </c>
      <c r="C512" s="4" t="s">
        <v>246</v>
      </c>
      <c r="D512" s="4" t="s">
        <v>247</v>
      </c>
      <c r="E512" s="4" t="s">
        <v>248</v>
      </c>
      <c r="F512" s="4" t="s">
        <v>202</v>
      </c>
      <c r="G512" s="4" t="s">
        <v>93</v>
      </c>
      <c r="H512" s="4" t="s">
        <v>151</v>
      </c>
      <c r="I512" s="5">
        <v>4202.5950000000003</v>
      </c>
      <c r="J512" s="5">
        <v>11372.148999999999</v>
      </c>
      <c r="K512" s="5">
        <v>19465.990000000002</v>
      </c>
      <c r="L512" s="5">
        <v>25511.405999999999</v>
      </c>
      <c r="M512" s="5">
        <v>53134.847999999998</v>
      </c>
      <c r="N512" s="5">
        <v>47267.065999999999</v>
      </c>
      <c r="O512" s="5">
        <v>33075.760000000002</v>
      </c>
      <c r="P512" s="5">
        <v>16282.031000000001</v>
      </c>
      <c r="Q512" s="5">
        <v>7655.0789999999997</v>
      </c>
      <c r="R512" s="5">
        <v>4911.3950000000004</v>
      </c>
      <c r="S512" s="5">
        <v>4309.7489999999998</v>
      </c>
      <c r="T512" s="5">
        <v>3989.41</v>
      </c>
      <c r="U512" s="5">
        <v>4709.4390000000003</v>
      </c>
      <c r="V512" s="5">
        <v>6407.2209999999995</v>
      </c>
      <c r="W512" s="5">
        <v>15433.812</v>
      </c>
      <c r="X512" s="5">
        <v>32157.263999999999</v>
      </c>
      <c r="Y512" s="5">
        <v>39167.733999999997</v>
      </c>
      <c r="Z512" s="5">
        <v>34282.828999999998</v>
      </c>
      <c r="AA512" s="5">
        <v>34364.838000000003</v>
      </c>
      <c r="AB512" s="5">
        <v>20799.149000000001</v>
      </c>
      <c r="AC512" s="5">
        <v>13165.776</v>
      </c>
      <c r="AD512" s="5">
        <v>7157.8879999999999</v>
      </c>
      <c r="AE512" s="5">
        <v>5558.4889999999996</v>
      </c>
      <c r="AF512" s="5">
        <v>4459.3900000000003</v>
      </c>
      <c r="AG512" s="5">
        <v>5413.37</v>
      </c>
      <c r="AH512" s="5">
        <v>8379.8150000000005</v>
      </c>
      <c r="AI512" s="5">
        <v>15176.716</v>
      </c>
      <c r="AJ512" s="5">
        <v>43073.639000000003</v>
      </c>
      <c r="AK512" s="5">
        <v>88655.464999999997</v>
      </c>
      <c r="AL512" s="5">
        <v>64873.593999999997</v>
      </c>
      <c r="AM512" s="5">
        <v>102089.446</v>
      </c>
      <c r="AN512" s="5">
        <v>141861.74</v>
      </c>
      <c r="AO512" s="5">
        <v>47758.197999999997</v>
      </c>
      <c r="AP512" s="5">
        <v>19053.23</v>
      </c>
      <c r="AQ512" s="5">
        <v>10452.394</v>
      </c>
      <c r="AR512" s="5">
        <v>7078.049</v>
      </c>
      <c r="AS512" s="5">
        <v>7762.4780000000001</v>
      </c>
      <c r="AT512" s="5">
        <v>7762.4780000000001</v>
      </c>
    </row>
    <row r="513" spans="1:46" x14ac:dyDescent="0.25">
      <c r="A513" s="4" t="s">
        <v>206</v>
      </c>
      <c r="B513" s="4" t="s">
        <v>207</v>
      </c>
      <c r="C513" s="4" t="s">
        <v>246</v>
      </c>
      <c r="D513" s="4" t="s">
        <v>247</v>
      </c>
      <c r="E513" s="4" t="s">
        <v>248</v>
      </c>
      <c r="F513" s="4" t="s">
        <v>202</v>
      </c>
      <c r="G513" s="4" t="s">
        <v>93</v>
      </c>
      <c r="H513" s="4" t="s">
        <v>205</v>
      </c>
      <c r="I513" s="6">
        <v>1106194.156</v>
      </c>
      <c r="J513" s="6">
        <v>3174940.449</v>
      </c>
      <c r="K513" s="6">
        <v>5558277.9189999998</v>
      </c>
      <c r="L513" s="6">
        <v>7368504.8830000004</v>
      </c>
      <c r="M513" s="6">
        <v>15434025.640000001</v>
      </c>
      <c r="N513" s="6">
        <v>13373444.970000001</v>
      </c>
      <c r="O513" s="6">
        <v>9329900.9989999998</v>
      </c>
      <c r="P513" s="6">
        <v>4574357.5889999997</v>
      </c>
      <c r="Q513" s="6">
        <v>2126182.4670000002</v>
      </c>
      <c r="R513" s="6">
        <v>1323278.787</v>
      </c>
      <c r="S513" s="6">
        <v>1173176.1880000001</v>
      </c>
      <c r="T513" s="6">
        <v>1066873.2649999999</v>
      </c>
      <c r="U513" s="6">
        <v>1279158.1939999999</v>
      </c>
      <c r="V513" s="6">
        <v>1784437.149</v>
      </c>
      <c r="W513" s="6">
        <v>4605086.2060000002</v>
      </c>
      <c r="X513" s="6">
        <v>9693228.7039999999</v>
      </c>
      <c r="Y513" s="6">
        <v>12221601.183</v>
      </c>
      <c r="Z513" s="6">
        <v>10756483.914999999</v>
      </c>
      <c r="AA513" s="6">
        <v>10696060.093</v>
      </c>
      <c r="AB513" s="6">
        <v>6275635.6569999997</v>
      </c>
      <c r="AC513" s="6">
        <v>3892755.0720000002</v>
      </c>
      <c r="AD513" s="6">
        <v>1973612.5830000001</v>
      </c>
      <c r="AE513" s="6">
        <v>1514289.66</v>
      </c>
      <c r="AF513" s="6">
        <v>1194388.098</v>
      </c>
      <c r="AG513" s="6">
        <v>1463146.327</v>
      </c>
      <c r="AH513" s="6">
        <v>2479307.452</v>
      </c>
      <c r="AI513" s="6">
        <v>4941325.9689999996</v>
      </c>
      <c r="AJ513" s="6">
        <v>15716182.096000001</v>
      </c>
      <c r="AK513" s="6">
        <v>32783621.776000001</v>
      </c>
      <c r="AL513" s="6">
        <v>23638401.941</v>
      </c>
      <c r="AM513" s="6">
        <v>38778566.816</v>
      </c>
      <c r="AN513" s="6">
        <v>54459036.535999998</v>
      </c>
      <c r="AO513" s="6">
        <v>16722485.472999999</v>
      </c>
      <c r="AP513" s="6">
        <v>6284305.3640000001</v>
      </c>
      <c r="AQ513" s="6">
        <v>3226664.5959999999</v>
      </c>
      <c r="AR513" s="6">
        <v>2100140.9929999998</v>
      </c>
      <c r="AS513" s="6">
        <v>2752591.6519999998</v>
      </c>
      <c r="AT513" s="6">
        <v>2752591.6519999998</v>
      </c>
    </row>
    <row r="514" spans="1:46" x14ac:dyDescent="0.25">
      <c r="A514" s="4" t="s">
        <v>206</v>
      </c>
      <c r="B514" s="4" t="s">
        <v>207</v>
      </c>
      <c r="C514" s="4" t="s">
        <v>246</v>
      </c>
      <c r="D514" s="4" t="s">
        <v>247</v>
      </c>
      <c r="E514" s="4" t="s">
        <v>248</v>
      </c>
      <c r="F514" s="4" t="s">
        <v>202</v>
      </c>
      <c r="G514" s="4" t="s">
        <v>93</v>
      </c>
      <c r="H514" s="4" t="s">
        <v>249</v>
      </c>
      <c r="I514" s="7">
        <v>1.0629999999999999</v>
      </c>
      <c r="J514" s="7">
        <v>2.04</v>
      </c>
      <c r="K514" s="7">
        <v>2.5230000000000001</v>
      </c>
      <c r="L514" s="7">
        <v>2.5739999999999998</v>
      </c>
      <c r="M514" s="7">
        <v>4.1310000000000002</v>
      </c>
      <c r="N514" s="7">
        <v>3.6840000000000002</v>
      </c>
      <c r="O514" s="7">
        <v>2.8769999999999998</v>
      </c>
      <c r="P514" s="7">
        <v>1.9330000000000001</v>
      </c>
      <c r="Q514" s="7">
        <v>1.278</v>
      </c>
      <c r="R514" s="7">
        <v>1.2649999999999999</v>
      </c>
      <c r="S514" s="7">
        <v>1.327</v>
      </c>
      <c r="T514" s="7">
        <v>1.282</v>
      </c>
      <c r="U514" s="7">
        <v>1.3620000000000001</v>
      </c>
      <c r="V514" s="7">
        <v>1.371</v>
      </c>
      <c r="W514" s="7">
        <v>2.246</v>
      </c>
      <c r="X514" s="7">
        <v>3.4129999999999998</v>
      </c>
      <c r="Y514" s="7">
        <v>3.5739999999999998</v>
      </c>
      <c r="Z514" s="7">
        <v>3.3559999999999999</v>
      </c>
      <c r="AA514" s="7">
        <v>3.23</v>
      </c>
      <c r="AB514" s="7">
        <v>2.5409999999999999</v>
      </c>
      <c r="AC514" s="7">
        <v>2.0049999999999999</v>
      </c>
      <c r="AD514" s="7">
        <v>1.46</v>
      </c>
      <c r="AE514" s="7">
        <v>1.4390000000000001</v>
      </c>
      <c r="AF514" s="7">
        <v>1.2769999999999999</v>
      </c>
      <c r="AG514" s="7">
        <v>1.472</v>
      </c>
      <c r="AH514" s="7">
        <v>1.7010000000000001</v>
      </c>
      <c r="AI514" s="7">
        <v>2.3279999999999998</v>
      </c>
      <c r="AJ514" s="7">
        <v>4.6890000000000001</v>
      </c>
      <c r="AK514" s="7">
        <v>7.6929999999999996</v>
      </c>
      <c r="AL514" s="7">
        <v>5.6710000000000003</v>
      </c>
      <c r="AM514" s="7">
        <v>7.7460000000000004</v>
      </c>
      <c r="AN514" s="7">
        <v>10.679</v>
      </c>
      <c r="AO514" s="7">
        <v>5.1820000000000004</v>
      </c>
      <c r="AP514" s="7">
        <v>2.8919999999999999</v>
      </c>
      <c r="AQ514" s="7">
        <v>2.133</v>
      </c>
      <c r="AR514" s="7">
        <v>2.0750000000000002</v>
      </c>
      <c r="AS514" s="7">
        <v>2.8010000000000002</v>
      </c>
      <c r="AT514" s="7">
        <v>0.88</v>
      </c>
    </row>
    <row r="515" spans="1:46" x14ac:dyDescent="0.25">
      <c r="A515" s="4" t="s">
        <v>206</v>
      </c>
      <c r="B515" s="4" t="s">
        <v>207</v>
      </c>
      <c r="C515" s="4" t="s">
        <v>246</v>
      </c>
      <c r="D515" s="4" t="s">
        <v>247</v>
      </c>
      <c r="E515" s="4" t="s">
        <v>248</v>
      </c>
      <c r="F515" s="4" t="s">
        <v>202</v>
      </c>
      <c r="G515" s="4" t="s">
        <v>93</v>
      </c>
      <c r="H515" s="4" t="s">
        <v>250</v>
      </c>
      <c r="I515" s="7">
        <v>58.914000000000001</v>
      </c>
      <c r="J515" s="7">
        <v>69.456999999999994</v>
      </c>
      <c r="K515" s="7">
        <v>76.947999999999993</v>
      </c>
      <c r="L515" s="7">
        <v>79.929000000000002</v>
      </c>
      <c r="M515" s="7">
        <v>85.504999999999995</v>
      </c>
      <c r="N515" s="7">
        <v>82.03</v>
      </c>
      <c r="O515" s="7">
        <v>79.253</v>
      </c>
      <c r="P515" s="7">
        <v>75.623999999999995</v>
      </c>
      <c r="Q515" s="7">
        <v>68.334999999999994</v>
      </c>
      <c r="R515" s="7">
        <v>59.106000000000002</v>
      </c>
      <c r="S515" s="7">
        <v>60.917000000000002</v>
      </c>
      <c r="T515" s="7">
        <v>63.481999999999999</v>
      </c>
      <c r="U515" s="7">
        <v>65.090999999999994</v>
      </c>
      <c r="V515" s="7">
        <v>72.914000000000001</v>
      </c>
      <c r="W515" s="7">
        <v>83.373000000000005</v>
      </c>
      <c r="X515" s="7">
        <v>86.201999999999998</v>
      </c>
      <c r="Y515" s="7">
        <v>85.587000000000003</v>
      </c>
      <c r="Z515" s="7">
        <v>85.813000000000002</v>
      </c>
      <c r="AA515" s="7">
        <v>83.44</v>
      </c>
      <c r="AB515" s="7">
        <v>80.113</v>
      </c>
      <c r="AC515" s="7">
        <v>74.366</v>
      </c>
      <c r="AD515" s="7">
        <v>59.152000000000001</v>
      </c>
      <c r="AE515" s="7">
        <v>54.137999999999998</v>
      </c>
      <c r="AF515" s="7">
        <v>56.081000000000003</v>
      </c>
      <c r="AG515" s="7">
        <v>57.470999999999997</v>
      </c>
      <c r="AH515" s="7">
        <v>70.706000000000003</v>
      </c>
      <c r="AI515" s="7">
        <v>79.03</v>
      </c>
      <c r="AJ515" s="7">
        <v>84.825000000000003</v>
      </c>
      <c r="AK515" s="7">
        <v>87.667000000000002</v>
      </c>
      <c r="AL515" s="7">
        <v>86.274000000000001</v>
      </c>
      <c r="AM515" s="7">
        <v>86.156000000000006</v>
      </c>
      <c r="AN515" s="7">
        <v>87.760999999999996</v>
      </c>
      <c r="AO515" s="7">
        <v>72.072000000000003</v>
      </c>
      <c r="AP515" s="7">
        <v>61.673000000000002</v>
      </c>
      <c r="AQ515" s="7">
        <v>50.234000000000002</v>
      </c>
      <c r="AR515" s="7">
        <v>50.313000000000002</v>
      </c>
      <c r="AS515" s="7">
        <v>60.942999999999998</v>
      </c>
      <c r="AT515" s="5">
        <v>16663.603999999999</v>
      </c>
    </row>
    <row r="516" spans="1:46" x14ac:dyDescent="0.25">
      <c r="A516" s="4" t="s">
        <v>206</v>
      </c>
      <c r="B516" s="4" t="s">
        <v>207</v>
      </c>
      <c r="C516" s="4" t="s">
        <v>246</v>
      </c>
      <c r="D516" s="4" t="s">
        <v>247</v>
      </c>
      <c r="E516" s="4" t="s">
        <v>248</v>
      </c>
      <c r="F516" s="4" t="s">
        <v>202</v>
      </c>
      <c r="G516" s="4" t="s">
        <v>93</v>
      </c>
      <c r="H516" s="4" t="s">
        <v>251</v>
      </c>
      <c r="I516" s="7">
        <v>23.671851199999999</v>
      </c>
      <c r="J516" s="7">
        <v>24.0015222</v>
      </c>
      <c r="K516" s="7">
        <v>25.834268900000001</v>
      </c>
      <c r="L516" s="7">
        <v>27.585289499999998</v>
      </c>
      <c r="M516" s="7">
        <v>29.549795799999998</v>
      </c>
      <c r="N516" s="7">
        <v>31.005462000000001</v>
      </c>
      <c r="O516" s="7">
        <v>30.3875995</v>
      </c>
      <c r="P516" s="7">
        <v>30.01755</v>
      </c>
      <c r="Q516" s="7">
        <v>28.1079972</v>
      </c>
      <c r="R516" s="7">
        <v>26.846130500000001</v>
      </c>
      <c r="S516" s="7">
        <v>26.105504</v>
      </c>
      <c r="T516" s="7">
        <v>25.8902176</v>
      </c>
      <c r="U516" s="7">
        <v>25.9967787</v>
      </c>
      <c r="V516" s="7">
        <v>26.267483200000001</v>
      </c>
      <c r="W516" s="7">
        <v>29.180372200000001</v>
      </c>
      <c r="X516" s="7">
        <v>31.729320399999999</v>
      </c>
      <c r="Y516" s="7">
        <v>33.265818899999999</v>
      </c>
      <c r="Z516" s="7">
        <v>32.884807500000001</v>
      </c>
      <c r="AA516" s="7">
        <v>32.156872200000002</v>
      </c>
      <c r="AB516" s="7">
        <v>31.459772399999999</v>
      </c>
      <c r="AC516" s="7">
        <v>30.450028</v>
      </c>
      <c r="AD516" s="7">
        <v>28.986035399999999</v>
      </c>
      <c r="AE516" s="7">
        <v>27.563546500000001</v>
      </c>
      <c r="AF516" s="7">
        <v>27.9185169</v>
      </c>
      <c r="AG516" s="7">
        <v>28.988971599999999</v>
      </c>
      <c r="AH516" s="7">
        <v>30.3020973</v>
      </c>
      <c r="AI516" s="7">
        <v>32.820262300000003</v>
      </c>
      <c r="AJ516" s="7">
        <v>34.686787799999998</v>
      </c>
      <c r="AK516" s="7">
        <v>37.625741499999997</v>
      </c>
      <c r="AL516" s="7">
        <v>38.0729015</v>
      </c>
      <c r="AM516" s="7">
        <v>37.735826000000003</v>
      </c>
      <c r="AN516" s="7">
        <v>35.932199500000003</v>
      </c>
      <c r="AO516" s="7">
        <v>31.3634147</v>
      </c>
      <c r="AP516" s="7">
        <v>28.997616300000001</v>
      </c>
      <c r="AQ516" s="7">
        <v>22.5263156</v>
      </c>
      <c r="AR516" s="7">
        <v>21.850833399999999</v>
      </c>
      <c r="AS516" s="7">
        <v>21.9167913</v>
      </c>
      <c r="AT516" s="7">
        <v>60.942999999999998</v>
      </c>
    </row>
    <row r="517" spans="1:46" x14ac:dyDescent="0.25">
      <c r="A517" s="4" t="s">
        <v>206</v>
      </c>
      <c r="B517" s="4" t="s">
        <v>207</v>
      </c>
      <c r="C517" s="4" t="s">
        <v>246</v>
      </c>
      <c r="D517" s="4" t="s">
        <v>247</v>
      </c>
      <c r="E517" s="4" t="s">
        <v>248</v>
      </c>
      <c r="F517" s="4" t="s">
        <v>202</v>
      </c>
      <c r="G517" s="4" t="s">
        <v>93</v>
      </c>
      <c r="H517" s="4" t="s">
        <v>252</v>
      </c>
      <c r="I517" s="16">
        <v>3.8730000000000002</v>
      </c>
      <c r="J517" s="16">
        <v>3.3460000000000001</v>
      </c>
      <c r="K517" s="16">
        <v>3.5449999999999999</v>
      </c>
      <c r="L517" s="16">
        <v>3.6669999999999998</v>
      </c>
      <c r="M517" s="16">
        <v>3.766</v>
      </c>
      <c r="N517" s="16">
        <v>3.948</v>
      </c>
      <c r="O517" s="16">
        <v>3.8290000000000002</v>
      </c>
      <c r="P517" s="16">
        <v>3.6640000000000001</v>
      </c>
      <c r="Q517" s="16">
        <v>3.7589999999999999</v>
      </c>
      <c r="R517" s="16">
        <v>3.891</v>
      </c>
      <c r="S517" s="16">
        <v>3.8260000000000001</v>
      </c>
      <c r="T517" s="16">
        <v>3.9740000000000002</v>
      </c>
      <c r="U517" s="16">
        <v>3.93</v>
      </c>
      <c r="V517" s="16">
        <v>4.1950000000000003</v>
      </c>
      <c r="W517" s="16">
        <v>4.4279999999999999</v>
      </c>
      <c r="X517" s="16">
        <v>4.4550000000000001</v>
      </c>
      <c r="Y517" s="16">
        <v>4.1189999999999998</v>
      </c>
      <c r="Z517" s="16">
        <v>4.2910000000000004</v>
      </c>
      <c r="AA517" s="16">
        <v>4.109</v>
      </c>
      <c r="AB517" s="16">
        <v>4.2370000000000001</v>
      </c>
      <c r="AC517" s="16">
        <v>4.109</v>
      </c>
      <c r="AD517" s="16">
        <v>3.81</v>
      </c>
      <c r="AE517" s="16">
        <v>3.9849999999999999</v>
      </c>
      <c r="AF517" s="16">
        <v>4.0590000000000002</v>
      </c>
      <c r="AG517" s="16">
        <v>3.8820000000000001</v>
      </c>
      <c r="AH517" s="16">
        <v>4.0190000000000001</v>
      </c>
      <c r="AI517" s="16">
        <v>3.9990000000000001</v>
      </c>
      <c r="AJ517" s="16">
        <v>4.1159999999999997</v>
      </c>
      <c r="AK517" s="16">
        <v>4.1559999999999997</v>
      </c>
      <c r="AL517" s="16">
        <v>4.1120000000000001</v>
      </c>
      <c r="AM517" s="16">
        <v>3.931</v>
      </c>
      <c r="AN517" s="16">
        <v>3.3820000000000001</v>
      </c>
      <c r="AO517" s="16">
        <v>3.3519999999999999</v>
      </c>
      <c r="AP517" s="16">
        <v>3.0059999999999998</v>
      </c>
      <c r="AQ517" s="16">
        <v>2.8980000000000001</v>
      </c>
      <c r="AR517" s="16">
        <v>3.105</v>
      </c>
      <c r="AS517" s="16">
        <v>3.206</v>
      </c>
      <c r="AT517" s="7">
        <v>21.9167913</v>
      </c>
    </row>
    <row r="518" spans="1:46" x14ac:dyDescent="0.25">
      <c r="A518" s="4" t="s">
        <v>206</v>
      </c>
      <c r="B518" s="4" t="s">
        <v>207</v>
      </c>
      <c r="C518" s="4" t="s">
        <v>246</v>
      </c>
      <c r="D518" s="4" t="s">
        <v>247</v>
      </c>
      <c r="E518" s="4" t="s">
        <v>248</v>
      </c>
      <c r="F518" s="4" t="s">
        <v>202</v>
      </c>
      <c r="G518" s="4" t="s">
        <v>113</v>
      </c>
      <c r="H518" s="4" t="s">
        <v>151</v>
      </c>
      <c r="I518" s="5">
        <v>220.286</v>
      </c>
      <c r="J518" s="5">
        <v>297.35000000000002</v>
      </c>
      <c r="K518" s="5">
        <v>481.517</v>
      </c>
      <c r="L518" s="5">
        <v>871.548</v>
      </c>
      <c r="M518" s="5">
        <v>1367.52</v>
      </c>
      <c r="N518" s="5">
        <v>1259.4680000000001</v>
      </c>
      <c r="O518" s="5">
        <v>1008.783</v>
      </c>
      <c r="P518" s="5">
        <v>413.77300000000002</v>
      </c>
      <c r="Q518" s="5">
        <v>248.50800000000001</v>
      </c>
      <c r="R518" s="5">
        <v>182.37299999999999</v>
      </c>
      <c r="S518" s="5">
        <v>93.308000000000007</v>
      </c>
      <c r="T518" s="5">
        <v>103.33</v>
      </c>
      <c r="U518" s="5">
        <v>82.289000000000001</v>
      </c>
      <c r="V518" s="5">
        <v>222.69800000000001</v>
      </c>
      <c r="W518" s="5">
        <v>660.12800000000004</v>
      </c>
      <c r="X518" s="5">
        <v>1109.4000000000001</v>
      </c>
      <c r="Y518" s="5">
        <v>1250.527</v>
      </c>
      <c r="Z518" s="5">
        <v>1099.6869999999999</v>
      </c>
      <c r="AA518" s="5">
        <v>950.54399999999998</v>
      </c>
      <c r="AB518" s="5">
        <v>356.327</v>
      </c>
      <c r="AC518" s="5">
        <v>405.32</v>
      </c>
      <c r="AD518" s="5">
        <v>197.87299999999999</v>
      </c>
      <c r="AE518" s="5">
        <v>264.755</v>
      </c>
      <c r="AF518" s="5">
        <v>108.663</v>
      </c>
      <c r="AG518" s="5">
        <v>195.27799999999999</v>
      </c>
      <c r="AH518" s="5">
        <v>264.18799999999999</v>
      </c>
      <c r="AI518" s="5">
        <v>759.39599999999996</v>
      </c>
      <c r="AJ518" s="5">
        <v>1646.9860000000001</v>
      </c>
      <c r="AK518" s="5">
        <v>2865.5250000000001</v>
      </c>
      <c r="AL518" s="5">
        <v>2287.0210000000002</v>
      </c>
      <c r="AM518" s="5">
        <v>3411.2829999999999</v>
      </c>
      <c r="AN518" s="5">
        <v>4628.741</v>
      </c>
      <c r="AO518" s="5">
        <v>2208.0410000000002</v>
      </c>
      <c r="AP518" s="5">
        <v>836.63</v>
      </c>
      <c r="AQ518" s="5">
        <v>702.40300000000002</v>
      </c>
      <c r="AR518" s="5">
        <v>294.79000000000002</v>
      </c>
      <c r="AS518" s="5">
        <v>398.601</v>
      </c>
      <c r="AT518" s="5">
        <v>398.601</v>
      </c>
    </row>
    <row r="519" spans="1:46" x14ac:dyDescent="0.25">
      <c r="A519" s="4" t="s">
        <v>206</v>
      </c>
      <c r="B519" s="4" t="s">
        <v>207</v>
      </c>
      <c r="C519" s="4" t="s">
        <v>246</v>
      </c>
      <c r="D519" s="4" t="s">
        <v>247</v>
      </c>
      <c r="E519" s="4" t="s">
        <v>248</v>
      </c>
      <c r="F519" s="4" t="s">
        <v>202</v>
      </c>
      <c r="G519" s="4" t="s">
        <v>113</v>
      </c>
      <c r="H519" s="4" t="s">
        <v>205</v>
      </c>
      <c r="I519" s="6">
        <v>66165.426999999996</v>
      </c>
      <c r="J519" s="6">
        <v>88696.516000000003</v>
      </c>
      <c r="K519" s="6">
        <v>147088.451</v>
      </c>
      <c r="L519" s="6">
        <v>286771.77399999998</v>
      </c>
      <c r="M519" s="6">
        <v>457508.27399999998</v>
      </c>
      <c r="N519" s="6">
        <v>398517.516</v>
      </c>
      <c r="O519" s="6">
        <v>329183.27399999998</v>
      </c>
      <c r="P519" s="6">
        <v>148156.72700000001</v>
      </c>
      <c r="Q519" s="6">
        <v>94622.486000000004</v>
      </c>
      <c r="R519" s="6">
        <v>66344.683999999994</v>
      </c>
      <c r="S519" s="6">
        <v>29639.161</v>
      </c>
      <c r="T519" s="6">
        <v>38359.900999999998</v>
      </c>
      <c r="U519" s="6">
        <v>30619.746999999999</v>
      </c>
      <c r="V519" s="6">
        <v>72085.17</v>
      </c>
      <c r="W519" s="6">
        <v>235106.38500000001</v>
      </c>
      <c r="X519" s="6">
        <v>382135.12199999997</v>
      </c>
      <c r="Y519" s="6">
        <v>431567.75</v>
      </c>
      <c r="Z519" s="6">
        <v>391236.38500000001</v>
      </c>
      <c r="AA519" s="6">
        <v>339544.516</v>
      </c>
      <c r="AB519" s="6">
        <v>132666.08499999999</v>
      </c>
      <c r="AC519" s="6">
        <v>142850.42600000001</v>
      </c>
      <c r="AD519" s="6">
        <v>65699.596000000005</v>
      </c>
      <c r="AE519" s="6">
        <v>86639.153000000006</v>
      </c>
      <c r="AF519" s="6">
        <v>30529.226999999999</v>
      </c>
      <c r="AG519" s="6">
        <v>57939.027000000002</v>
      </c>
      <c r="AH519" s="6">
        <v>108603.837</v>
      </c>
      <c r="AI519" s="6">
        <v>320008.07500000001</v>
      </c>
      <c r="AJ519" s="6">
        <v>682153.28200000001</v>
      </c>
      <c r="AK519" s="6">
        <v>1190582.3119999999</v>
      </c>
      <c r="AL519" s="6">
        <v>953632.09600000002</v>
      </c>
      <c r="AM519" s="6">
        <v>1381921.25</v>
      </c>
      <c r="AN519" s="6">
        <v>1925580.175</v>
      </c>
      <c r="AO519" s="6">
        <v>810817.11899999995</v>
      </c>
      <c r="AP519" s="6">
        <v>308519.21500000003</v>
      </c>
      <c r="AQ519" s="6">
        <v>265313.25099999999</v>
      </c>
      <c r="AR519" s="6">
        <v>126322.109</v>
      </c>
      <c r="AS519" s="6">
        <v>160820.80499999999</v>
      </c>
      <c r="AT519" s="6">
        <v>160820.80499999999</v>
      </c>
    </row>
    <row r="520" spans="1:46" x14ac:dyDescent="0.25">
      <c r="A520" s="4" t="s">
        <v>206</v>
      </c>
      <c r="B520" s="4" t="s">
        <v>207</v>
      </c>
      <c r="C520" s="4" t="s">
        <v>246</v>
      </c>
      <c r="D520" s="4" t="s">
        <v>247</v>
      </c>
      <c r="E520" s="4" t="s">
        <v>248</v>
      </c>
      <c r="F520" s="4" t="s">
        <v>202</v>
      </c>
      <c r="G520" s="4" t="s">
        <v>113</v>
      </c>
      <c r="H520" s="4" t="s">
        <v>249</v>
      </c>
      <c r="I520" s="7">
        <v>3.3000000000000002E-2</v>
      </c>
      <c r="J520" s="7">
        <v>3.1E-2</v>
      </c>
      <c r="K520" s="7">
        <v>3.5999999999999997E-2</v>
      </c>
      <c r="L520" s="7">
        <v>0.05</v>
      </c>
      <c r="M520" s="7">
        <v>5.8999999999999997E-2</v>
      </c>
      <c r="N520" s="7">
        <v>5.5E-2</v>
      </c>
      <c r="O520" s="7">
        <v>0.05</v>
      </c>
      <c r="P520" s="7">
        <v>2.9000000000000001E-2</v>
      </c>
      <c r="Q520" s="7">
        <v>2.5000000000000001E-2</v>
      </c>
      <c r="R520" s="7">
        <v>2.8000000000000001E-2</v>
      </c>
      <c r="S520" s="7">
        <v>1.7000000000000001E-2</v>
      </c>
      <c r="T520" s="7">
        <v>0.02</v>
      </c>
      <c r="U520" s="7">
        <v>1.4E-2</v>
      </c>
      <c r="V520" s="7">
        <v>2.8000000000000001E-2</v>
      </c>
      <c r="W520" s="7">
        <v>5.3999999999999999E-2</v>
      </c>
      <c r="X520" s="7">
        <v>6.5000000000000002E-2</v>
      </c>
      <c r="Y520" s="7">
        <v>6.3E-2</v>
      </c>
      <c r="Z520" s="7">
        <v>5.8999999999999997E-2</v>
      </c>
      <c r="AA520" s="7">
        <v>4.9000000000000002E-2</v>
      </c>
      <c r="AB520" s="7">
        <v>2.4E-2</v>
      </c>
      <c r="AC520" s="7">
        <v>3.5999999999999997E-2</v>
      </c>
      <c r="AD520" s="7">
        <v>2.3E-2</v>
      </c>
      <c r="AE520" s="7">
        <v>0.04</v>
      </c>
      <c r="AF520" s="7">
        <v>1.7999999999999999E-2</v>
      </c>
      <c r="AG520" s="7">
        <v>3.1E-2</v>
      </c>
      <c r="AH520" s="7">
        <v>3.1E-2</v>
      </c>
      <c r="AI520" s="7">
        <v>6.6000000000000003E-2</v>
      </c>
      <c r="AJ520" s="7">
        <v>9.6000000000000002E-2</v>
      </c>
      <c r="AK520" s="7">
        <v>0.13100000000000001</v>
      </c>
      <c r="AL520" s="7">
        <v>0.107</v>
      </c>
      <c r="AM520" s="7">
        <v>0.13700000000000001</v>
      </c>
      <c r="AN520" s="7">
        <v>0.189</v>
      </c>
      <c r="AO520" s="7">
        <v>0.14000000000000001</v>
      </c>
      <c r="AP520" s="7">
        <v>7.3999999999999996E-2</v>
      </c>
      <c r="AQ520" s="7">
        <v>8.3000000000000004E-2</v>
      </c>
      <c r="AR520" s="7">
        <v>0.05</v>
      </c>
      <c r="AS520" s="7">
        <v>8.2000000000000003E-2</v>
      </c>
      <c r="AT520" s="7">
        <v>4.4999999999999998E-2</v>
      </c>
    </row>
    <row r="521" spans="1:46" x14ac:dyDescent="0.25">
      <c r="A521" s="4" t="s">
        <v>206</v>
      </c>
      <c r="B521" s="4" t="s">
        <v>207</v>
      </c>
      <c r="C521" s="4" t="s">
        <v>246</v>
      </c>
      <c r="D521" s="4" t="s">
        <v>247</v>
      </c>
      <c r="E521" s="4" t="s">
        <v>248</v>
      </c>
      <c r="F521" s="4" t="s">
        <v>202</v>
      </c>
      <c r="G521" s="4" t="s">
        <v>113</v>
      </c>
      <c r="H521" s="4" t="s">
        <v>250</v>
      </c>
      <c r="I521" s="7">
        <v>5.0229999999999997</v>
      </c>
      <c r="J521" s="7">
        <v>4.5110000000000001</v>
      </c>
      <c r="K521" s="7">
        <v>4.9080000000000004</v>
      </c>
      <c r="L521" s="7">
        <v>7.1369999999999996</v>
      </c>
      <c r="M521" s="7">
        <v>7.9569999999999999</v>
      </c>
      <c r="N521" s="7">
        <v>7.1669999999999998</v>
      </c>
      <c r="O521" s="7">
        <v>7.2359999999999998</v>
      </c>
      <c r="P521" s="7">
        <v>4.4960000000000004</v>
      </c>
      <c r="Q521" s="7">
        <v>4.7560000000000002</v>
      </c>
      <c r="R521" s="7">
        <v>3.7320000000000002</v>
      </c>
      <c r="S521" s="7">
        <v>3.2149999999999999</v>
      </c>
      <c r="T521" s="7">
        <v>2.9449999999999998</v>
      </c>
      <c r="U521" s="7">
        <v>3.3660000000000001</v>
      </c>
      <c r="V521" s="7">
        <v>3.641</v>
      </c>
      <c r="W521" s="7">
        <v>6.5659999999999998</v>
      </c>
      <c r="X521" s="7">
        <v>7.72</v>
      </c>
      <c r="Y521" s="7">
        <v>8.2059999999999995</v>
      </c>
      <c r="Z521" s="7">
        <v>7.9969999999999999</v>
      </c>
      <c r="AA521" s="7">
        <v>7.3520000000000003</v>
      </c>
      <c r="AB521" s="7">
        <v>4.4429999999999996</v>
      </c>
      <c r="AC521" s="7">
        <v>4.1980000000000004</v>
      </c>
      <c r="AD521" s="7">
        <v>3.8370000000000002</v>
      </c>
      <c r="AE521" s="7">
        <v>4.5890000000000004</v>
      </c>
      <c r="AF521" s="7">
        <v>3.1539999999999999</v>
      </c>
      <c r="AG521" s="7">
        <v>3.6320000000000001</v>
      </c>
      <c r="AH521" s="7">
        <v>4.8360000000000003</v>
      </c>
      <c r="AI521" s="7">
        <v>6.6779999999999999</v>
      </c>
      <c r="AJ521" s="7">
        <v>10.942</v>
      </c>
      <c r="AK521" s="7">
        <v>14.24</v>
      </c>
      <c r="AL521" s="7">
        <v>11.686999999999999</v>
      </c>
      <c r="AM521" s="7">
        <v>14.75</v>
      </c>
      <c r="AN521" s="7">
        <v>22.722000000000001</v>
      </c>
      <c r="AO521" s="7">
        <v>16.73</v>
      </c>
      <c r="AP521" s="7">
        <v>11.045</v>
      </c>
      <c r="AQ521" s="7">
        <v>8.9390000000000001</v>
      </c>
      <c r="AR521" s="7">
        <v>4.3120000000000003</v>
      </c>
      <c r="AS521" s="7">
        <v>6.8419999999999996</v>
      </c>
      <c r="AT521" s="5">
        <v>1035.905</v>
      </c>
    </row>
    <row r="522" spans="1:46" x14ac:dyDescent="0.25">
      <c r="A522" s="4" t="s">
        <v>206</v>
      </c>
      <c r="B522" s="4" t="s">
        <v>207</v>
      </c>
      <c r="C522" s="4" t="s">
        <v>246</v>
      </c>
      <c r="D522" s="4" t="s">
        <v>247</v>
      </c>
      <c r="E522" s="4" t="s">
        <v>248</v>
      </c>
      <c r="F522" s="4" t="s">
        <v>202</v>
      </c>
      <c r="G522" s="4" t="s">
        <v>113</v>
      </c>
      <c r="H522" s="4" t="s">
        <v>251</v>
      </c>
      <c r="I522" s="7">
        <v>2.0828270999999998</v>
      </c>
      <c r="J522" s="7">
        <v>2.1613178999999998</v>
      </c>
      <c r="K522" s="7">
        <v>2.3309592000000001</v>
      </c>
      <c r="L522" s="7">
        <v>2.6024302000000001</v>
      </c>
      <c r="M522" s="7">
        <v>2.6644527</v>
      </c>
      <c r="N522" s="7">
        <v>2.6007756999999998</v>
      </c>
      <c r="O522" s="7">
        <v>2.7756335999999999</v>
      </c>
      <c r="P522" s="7">
        <v>2.1619796</v>
      </c>
      <c r="Q522" s="7">
        <v>2.0262289</v>
      </c>
      <c r="R522" s="7">
        <v>1.7655270000000001</v>
      </c>
      <c r="S522" s="7">
        <v>1.5768036999999999</v>
      </c>
      <c r="T522" s="7">
        <v>1.5829534999999999</v>
      </c>
      <c r="U522" s="7">
        <v>1.7151198000000001</v>
      </c>
      <c r="V522" s="7">
        <v>1.8162453000000001</v>
      </c>
      <c r="W522" s="7">
        <v>2.5172428</v>
      </c>
      <c r="X522" s="7">
        <v>2.7449881</v>
      </c>
      <c r="Y522" s="7">
        <v>3.1391727999999999</v>
      </c>
      <c r="Z522" s="7">
        <v>3.1030362</v>
      </c>
      <c r="AA522" s="7">
        <v>3.0724795999999999</v>
      </c>
      <c r="AB522" s="7">
        <v>2.4018936000000002</v>
      </c>
      <c r="AC522" s="7">
        <v>2.1540352</v>
      </c>
      <c r="AD522" s="7">
        <v>2.0326797000000001</v>
      </c>
      <c r="AE522" s="7">
        <v>2.1452426</v>
      </c>
      <c r="AF522" s="7">
        <v>1.9795197</v>
      </c>
      <c r="AG522" s="7">
        <v>2.0922331999999999</v>
      </c>
      <c r="AH522" s="7">
        <v>2.503638</v>
      </c>
      <c r="AI522" s="7">
        <v>2.9039261000000001</v>
      </c>
      <c r="AJ522" s="7">
        <v>3.5854241</v>
      </c>
      <c r="AK522" s="7">
        <v>4.0669469999999999</v>
      </c>
      <c r="AL522" s="7">
        <v>3.9799017999999999</v>
      </c>
      <c r="AM522" s="7">
        <v>4.0562301999999999</v>
      </c>
      <c r="AN522" s="7">
        <v>4.2960108000000004</v>
      </c>
      <c r="AO522" s="7">
        <v>3.4638927000000002</v>
      </c>
      <c r="AP522" s="7">
        <v>2.5058041000000002</v>
      </c>
      <c r="AQ522" s="7">
        <v>2.4296294999999999</v>
      </c>
      <c r="AR522" s="7">
        <v>2.1139725999999999</v>
      </c>
      <c r="AS522" s="7">
        <v>2.5040089999999999</v>
      </c>
      <c r="AT522" s="7">
        <v>6.8419999999999996</v>
      </c>
    </row>
    <row r="523" spans="1:46" x14ac:dyDescent="0.25">
      <c r="A523" s="4" t="s">
        <v>206</v>
      </c>
      <c r="B523" s="4" t="s">
        <v>207</v>
      </c>
      <c r="C523" s="4" t="s">
        <v>246</v>
      </c>
      <c r="D523" s="4" t="s">
        <v>247</v>
      </c>
      <c r="E523" s="4" t="s">
        <v>248</v>
      </c>
      <c r="F523" s="4" t="s">
        <v>202</v>
      </c>
      <c r="G523" s="4" t="s">
        <v>113</v>
      </c>
      <c r="H523" s="4" t="s">
        <v>252</v>
      </c>
      <c r="I523" s="16">
        <v>0.20499999999999999</v>
      </c>
      <c r="J523" s="16">
        <v>0.19400000000000001</v>
      </c>
      <c r="K523" s="16">
        <v>0.16900000000000001</v>
      </c>
      <c r="L523" s="16">
        <v>0.187</v>
      </c>
      <c r="M523" s="16">
        <v>0.21</v>
      </c>
      <c r="N523" s="16">
        <v>0.21299999999999999</v>
      </c>
      <c r="O523" s="16">
        <v>0.245</v>
      </c>
      <c r="P523" s="16">
        <v>0.21199999999999999</v>
      </c>
      <c r="Q523" s="16">
        <v>0.21299999999999999</v>
      </c>
      <c r="R523" s="16">
        <v>0.182</v>
      </c>
      <c r="S523" s="16">
        <v>0.191</v>
      </c>
      <c r="T523" s="16">
        <v>0.20799999999999999</v>
      </c>
      <c r="U523" s="16">
        <v>0.16900000000000001</v>
      </c>
      <c r="V523" s="16">
        <v>0.153</v>
      </c>
      <c r="W523" s="16">
        <v>0.157</v>
      </c>
      <c r="X523" s="16">
        <v>0.20200000000000001</v>
      </c>
      <c r="Y523" s="16">
        <v>0.22800000000000001</v>
      </c>
      <c r="Z523" s="16">
        <v>0.218</v>
      </c>
      <c r="AA523" s="16">
        <v>0.19500000000000001</v>
      </c>
      <c r="AB523" s="16">
        <v>0.17699999999999999</v>
      </c>
      <c r="AC523" s="16">
        <v>0.186</v>
      </c>
      <c r="AD523" s="16">
        <v>0.191</v>
      </c>
      <c r="AE523" s="16">
        <v>0.17499999999999999</v>
      </c>
      <c r="AF523" s="16">
        <v>0.17399999999999999</v>
      </c>
      <c r="AG523" s="16">
        <v>0.19600000000000001</v>
      </c>
      <c r="AH523" s="16">
        <v>0.19600000000000001</v>
      </c>
      <c r="AI523" s="16">
        <v>0.17599999999999999</v>
      </c>
      <c r="AJ523" s="16">
        <v>0.20200000000000001</v>
      </c>
      <c r="AK523" s="16">
        <v>0.26</v>
      </c>
      <c r="AL523" s="16">
        <v>0.27800000000000002</v>
      </c>
      <c r="AM523" s="16">
        <v>0.253</v>
      </c>
      <c r="AN523" s="16">
        <v>0.25600000000000001</v>
      </c>
      <c r="AO523" s="16">
        <v>0.219</v>
      </c>
      <c r="AP523" s="16">
        <v>0.20200000000000001</v>
      </c>
      <c r="AQ523" s="16">
        <v>0.17299999999999999</v>
      </c>
      <c r="AR523" s="16">
        <v>0.192</v>
      </c>
      <c r="AS523" s="16">
        <v>0.20399999999999999</v>
      </c>
      <c r="AT523" s="7">
        <v>2.5040089999999999</v>
      </c>
    </row>
    <row r="524" spans="1:46" x14ac:dyDescent="0.25">
      <c r="A524" s="4" t="s">
        <v>206</v>
      </c>
      <c r="B524" s="4" t="s">
        <v>207</v>
      </c>
      <c r="C524" s="4" t="s">
        <v>246</v>
      </c>
      <c r="D524" s="4" t="s">
        <v>247</v>
      </c>
      <c r="E524" s="4" t="s">
        <v>248</v>
      </c>
      <c r="F524" s="4" t="s">
        <v>202</v>
      </c>
      <c r="G524" s="4" t="s">
        <v>116</v>
      </c>
      <c r="H524" s="4" t="s">
        <v>151</v>
      </c>
      <c r="I524" s="5">
        <v>332.97800000000001</v>
      </c>
      <c r="J524" s="5">
        <v>540.17200000000003</v>
      </c>
      <c r="K524" s="5">
        <v>1274.682</v>
      </c>
      <c r="L524" s="5">
        <v>1893.056</v>
      </c>
      <c r="M524" s="5">
        <v>3379.8420000000001</v>
      </c>
      <c r="N524" s="5">
        <v>3121.2860000000001</v>
      </c>
      <c r="O524" s="5">
        <v>2166.1709999999998</v>
      </c>
      <c r="P524" s="5">
        <v>1118.0429999999999</v>
      </c>
      <c r="Q524" s="5">
        <v>401.65899999999999</v>
      </c>
      <c r="R524" s="5">
        <v>269.24400000000003</v>
      </c>
      <c r="S524" s="5">
        <v>257.11399999999998</v>
      </c>
      <c r="T524" s="5">
        <v>145.869</v>
      </c>
      <c r="U524" s="5">
        <v>268.63200000000001</v>
      </c>
      <c r="V524" s="5">
        <v>506.70499999999998</v>
      </c>
      <c r="W524" s="5">
        <v>1387.575</v>
      </c>
      <c r="X524" s="5">
        <v>2739.7</v>
      </c>
      <c r="Y524" s="5">
        <v>3119.0010000000002</v>
      </c>
      <c r="Z524" s="5">
        <v>2643.9740000000002</v>
      </c>
      <c r="AA524" s="5">
        <v>2491.75</v>
      </c>
      <c r="AB524" s="5">
        <v>1567.1579999999999</v>
      </c>
      <c r="AC524" s="5">
        <v>1106.654</v>
      </c>
      <c r="AD524" s="5">
        <v>459.94499999999999</v>
      </c>
      <c r="AE524" s="5">
        <v>442.435</v>
      </c>
      <c r="AF524" s="5">
        <v>218.34399999999999</v>
      </c>
      <c r="AG524" s="5">
        <v>325.92200000000003</v>
      </c>
      <c r="AH524" s="5">
        <v>650.93600000000004</v>
      </c>
      <c r="AI524" s="5">
        <v>1172.057</v>
      </c>
      <c r="AJ524" s="5">
        <v>3239.9679999999998</v>
      </c>
      <c r="AK524" s="5">
        <v>6396.9229999999998</v>
      </c>
      <c r="AL524" s="5">
        <v>4434.0730000000003</v>
      </c>
      <c r="AM524" s="5">
        <v>7309.4309999999996</v>
      </c>
      <c r="AN524" s="5">
        <v>15231.548000000001</v>
      </c>
      <c r="AO524" s="5">
        <v>3680.9270000000001</v>
      </c>
      <c r="AP524" s="5">
        <v>1519.2529999999999</v>
      </c>
      <c r="AQ524" s="5">
        <v>535.47400000000005</v>
      </c>
      <c r="AR524" s="5">
        <v>476.685</v>
      </c>
      <c r="AS524" s="5">
        <v>571.45500000000004</v>
      </c>
      <c r="AT524" s="5">
        <v>571.45500000000004</v>
      </c>
    </row>
    <row r="525" spans="1:46" x14ac:dyDescent="0.25">
      <c r="A525" s="4" t="s">
        <v>206</v>
      </c>
      <c r="B525" s="4" t="s">
        <v>207</v>
      </c>
      <c r="C525" s="4" t="s">
        <v>246</v>
      </c>
      <c r="D525" s="4" t="s">
        <v>247</v>
      </c>
      <c r="E525" s="4" t="s">
        <v>248</v>
      </c>
      <c r="F525" s="4" t="s">
        <v>202</v>
      </c>
      <c r="G525" s="4" t="s">
        <v>116</v>
      </c>
      <c r="H525" s="4" t="s">
        <v>205</v>
      </c>
      <c r="I525" s="6">
        <v>98911.125</v>
      </c>
      <c r="J525" s="6">
        <v>176198.777</v>
      </c>
      <c r="K525" s="6">
        <v>445534.837</v>
      </c>
      <c r="L525" s="6">
        <v>677845.73400000005</v>
      </c>
      <c r="M525" s="6">
        <v>1194900.6680000001</v>
      </c>
      <c r="N525" s="6">
        <v>1084287.3910000001</v>
      </c>
      <c r="O525" s="6">
        <v>762403.53700000001</v>
      </c>
      <c r="P525" s="6">
        <v>387829.38900000002</v>
      </c>
      <c r="Q525" s="6">
        <v>126903.988</v>
      </c>
      <c r="R525" s="6">
        <v>87860.188999999998</v>
      </c>
      <c r="S525" s="6">
        <v>84198.626999999993</v>
      </c>
      <c r="T525" s="6">
        <v>45769.3</v>
      </c>
      <c r="U525" s="6">
        <v>88128.091</v>
      </c>
      <c r="V525" s="6">
        <v>191697.76300000001</v>
      </c>
      <c r="W525" s="6">
        <v>538474.38600000006</v>
      </c>
      <c r="X525" s="6">
        <v>1005170.785</v>
      </c>
      <c r="Y525" s="6">
        <v>1175836.1599999999</v>
      </c>
      <c r="Z525" s="6">
        <v>1037952.754</v>
      </c>
      <c r="AA525" s="6">
        <v>934894.27599999995</v>
      </c>
      <c r="AB525" s="6">
        <v>576788.88300000003</v>
      </c>
      <c r="AC525" s="6">
        <v>451325.17300000001</v>
      </c>
      <c r="AD525" s="6">
        <v>194876.05100000001</v>
      </c>
      <c r="AE525" s="6">
        <v>174932.071</v>
      </c>
      <c r="AF525" s="6">
        <v>76316.160999999993</v>
      </c>
      <c r="AG525" s="6">
        <v>120399.72500000001</v>
      </c>
      <c r="AH525" s="6">
        <v>264876.88799999998</v>
      </c>
      <c r="AI525" s="6">
        <v>491589.93300000002</v>
      </c>
      <c r="AJ525" s="6">
        <v>1394919.6459999999</v>
      </c>
      <c r="AK525" s="6">
        <v>2792357.406</v>
      </c>
      <c r="AL525" s="6">
        <v>1859339.8089999999</v>
      </c>
      <c r="AM525" s="6">
        <v>3161443.003</v>
      </c>
      <c r="AN525" s="6">
        <v>6960844.017</v>
      </c>
      <c r="AO525" s="6">
        <v>1535735.5490000001</v>
      </c>
      <c r="AP525" s="6">
        <v>592734.37600000005</v>
      </c>
      <c r="AQ525" s="6">
        <v>224227.29500000001</v>
      </c>
      <c r="AR525" s="6">
        <v>199797.28899999999</v>
      </c>
      <c r="AS525" s="6">
        <v>263811.34299999999</v>
      </c>
      <c r="AT525" s="6">
        <v>263811.34299999999</v>
      </c>
    </row>
    <row r="526" spans="1:46" x14ac:dyDescent="0.25">
      <c r="A526" s="4" t="s">
        <v>206</v>
      </c>
      <c r="B526" s="4" t="s">
        <v>207</v>
      </c>
      <c r="C526" s="4" t="s">
        <v>246</v>
      </c>
      <c r="D526" s="4" t="s">
        <v>247</v>
      </c>
      <c r="E526" s="4" t="s">
        <v>248</v>
      </c>
      <c r="F526" s="4" t="s">
        <v>202</v>
      </c>
      <c r="G526" s="4" t="s">
        <v>116</v>
      </c>
      <c r="H526" s="4" t="s">
        <v>249</v>
      </c>
      <c r="I526" s="7">
        <v>7.4999999999999997E-2</v>
      </c>
      <c r="J526" s="7">
        <v>8.6999999999999994E-2</v>
      </c>
      <c r="K526" s="7">
        <v>0.153</v>
      </c>
      <c r="L526" s="7">
        <v>0.16600000000000001</v>
      </c>
      <c r="M526" s="7">
        <v>0.22500000000000001</v>
      </c>
      <c r="N526" s="7">
        <v>0.221</v>
      </c>
      <c r="O526" s="7">
        <v>0.18</v>
      </c>
      <c r="P526" s="7">
        <v>0.126</v>
      </c>
      <c r="Q526" s="7">
        <v>7.1999999999999995E-2</v>
      </c>
      <c r="R526" s="7">
        <v>7.0999999999999994E-2</v>
      </c>
      <c r="S526" s="7">
        <v>7.5999999999999998E-2</v>
      </c>
      <c r="T526" s="7">
        <v>0.05</v>
      </c>
      <c r="U526" s="7">
        <v>6.5000000000000002E-2</v>
      </c>
      <c r="V526" s="7">
        <v>9.9000000000000005E-2</v>
      </c>
      <c r="W526" s="7">
        <v>0.17199999999999999</v>
      </c>
      <c r="X526" s="7">
        <v>0.248</v>
      </c>
      <c r="Y526" s="7">
        <v>0.248</v>
      </c>
      <c r="Z526" s="7">
        <v>0.23400000000000001</v>
      </c>
      <c r="AA526" s="7">
        <v>0.21199999999999999</v>
      </c>
      <c r="AB526" s="7">
        <v>0.17199999999999999</v>
      </c>
      <c r="AC526" s="7">
        <v>0.16</v>
      </c>
      <c r="AD526" s="7">
        <v>8.6999999999999994E-2</v>
      </c>
      <c r="AE526" s="7">
        <v>0.1</v>
      </c>
      <c r="AF526" s="7">
        <v>5.8999999999999997E-2</v>
      </c>
      <c r="AG526" s="7">
        <v>8.5000000000000006E-2</v>
      </c>
      <c r="AH526" s="7">
        <v>0.11600000000000001</v>
      </c>
      <c r="AI526" s="7">
        <v>0.153</v>
      </c>
      <c r="AJ526" s="7">
        <v>0.27600000000000002</v>
      </c>
      <c r="AK526" s="7">
        <v>0.42499999999999999</v>
      </c>
      <c r="AL526" s="7">
        <v>0.28499999999999998</v>
      </c>
      <c r="AM526" s="7">
        <v>0.39700000000000002</v>
      </c>
      <c r="AN526" s="7">
        <v>0.86499999999999999</v>
      </c>
      <c r="AO526" s="7">
        <v>0.32400000000000001</v>
      </c>
      <c r="AP526" s="7">
        <v>0.189</v>
      </c>
      <c r="AQ526" s="7">
        <v>0.1</v>
      </c>
      <c r="AR526" s="7">
        <v>0.121</v>
      </c>
      <c r="AS526" s="7">
        <v>0.158</v>
      </c>
      <c r="AT526" s="7">
        <v>6.5000000000000002E-2</v>
      </c>
    </row>
    <row r="527" spans="1:46" x14ac:dyDescent="0.25">
      <c r="A527" s="4" t="s">
        <v>206</v>
      </c>
      <c r="B527" s="4" t="s">
        <v>207</v>
      </c>
      <c r="C527" s="4" t="s">
        <v>246</v>
      </c>
      <c r="D527" s="4" t="s">
        <v>247</v>
      </c>
      <c r="E527" s="4" t="s">
        <v>248</v>
      </c>
      <c r="F527" s="4" t="s">
        <v>202</v>
      </c>
      <c r="G527" s="4" t="s">
        <v>116</v>
      </c>
      <c r="H527" s="4" t="s">
        <v>250</v>
      </c>
      <c r="I527" s="7">
        <v>9.3249999999999993</v>
      </c>
      <c r="J527" s="7">
        <v>18.382000000000001</v>
      </c>
      <c r="K527" s="7">
        <v>24.125</v>
      </c>
      <c r="L527" s="7">
        <v>25.866</v>
      </c>
      <c r="M527" s="7">
        <v>30.212</v>
      </c>
      <c r="N527" s="7">
        <v>32.064</v>
      </c>
      <c r="O527" s="7">
        <v>26.788</v>
      </c>
      <c r="P527" s="7">
        <v>18.873999999999999</v>
      </c>
      <c r="Q527" s="7">
        <v>11.504</v>
      </c>
      <c r="R527" s="7">
        <v>9.2919999999999998</v>
      </c>
      <c r="S527" s="7">
        <v>7.9649999999999999</v>
      </c>
      <c r="T527" s="7">
        <v>7.0380000000000003</v>
      </c>
      <c r="U527" s="7">
        <v>9.4009999999999998</v>
      </c>
      <c r="V527" s="7">
        <v>16.54</v>
      </c>
      <c r="W527" s="7">
        <v>37.116999999999997</v>
      </c>
      <c r="X527" s="7">
        <v>46.987000000000002</v>
      </c>
      <c r="Y527" s="7">
        <v>46.332999999999998</v>
      </c>
      <c r="Z527" s="7">
        <v>42.755000000000003</v>
      </c>
      <c r="AA527" s="7">
        <v>35.72</v>
      </c>
      <c r="AB527" s="7">
        <v>27.966000000000001</v>
      </c>
      <c r="AC527" s="7">
        <v>20.544</v>
      </c>
      <c r="AD527" s="7">
        <v>11.478999999999999</v>
      </c>
      <c r="AE527" s="7">
        <v>11.502000000000001</v>
      </c>
      <c r="AF527" s="7">
        <v>9.0050000000000008</v>
      </c>
      <c r="AG527" s="7">
        <v>10.369</v>
      </c>
      <c r="AH527" s="7">
        <v>19.021000000000001</v>
      </c>
      <c r="AI527" s="7">
        <v>31.728000000000002</v>
      </c>
      <c r="AJ527" s="7">
        <v>47.23</v>
      </c>
      <c r="AK527" s="7">
        <v>55.353000000000002</v>
      </c>
      <c r="AL527" s="7">
        <v>46.392000000000003</v>
      </c>
      <c r="AM527" s="7">
        <v>46.98</v>
      </c>
      <c r="AN527" s="7">
        <v>53.045000000000002</v>
      </c>
      <c r="AO527" s="7">
        <v>29.225000000000001</v>
      </c>
      <c r="AP527" s="7">
        <v>17.7</v>
      </c>
      <c r="AQ527" s="7">
        <v>12.364000000000001</v>
      </c>
      <c r="AR527" s="7">
        <v>10.292</v>
      </c>
      <c r="AS527" s="7">
        <v>16.053000000000001</v>
      </c>
      <c r="AT527" s="5">
        <v>1468.9480000000001</v>
      </c>
    </row>
    <row r="528" spans="1:46" x14ac:dyDescent="0.25">
      <c r="A528" s="4" t="s">
        <v>206</v>
      </c>
      <c r="B528" s="4" t="s">
        <v>207</v>
      </c>
      <c r="C528" s="4" t="s">
        <v>246</v>
      </c>
      <c r="D528" s="4" t="s">
        <v>247</v>
      </c>
      <c r="E528" s="4" t="s">
        <v>248</v>
      </c>
      <c r="F528" s="4" t="s">
        <v>202</v>
      </c>
      <c r="G528" s="4" t="s">
        <v>116</v>
      </c>
      <c r="H528" s="4" t="s">
        <v>251</v>
      </c>
      <c r="I528" s="7">
        <v>3.2642924999999998</v>
      </c>
      <c r="J528" s="7">
        <v>3.6515996999999998</v>
      </c>
      <c r="K528" s="7">
        <v>4.3427083</v>
      </c>
      <c r="L528" s="7">
        <v>4.6770655999999997</v>
      </c>
      <c r="M528" s="7">
        <v>5.4363602999999996</v>
      </c>
      <c r="N528" s="7">
        <v>5.5711801999999997</v>
      </c>
      <c r="O528" s="7">
        <v>4.7272885999999996</v>
      </c>
      <c r="P528" s="7">
        <v>4.3288171999999996</v>
      </c>
      <c r="Q528" s="7">
        <v>3.7165867000000001</v>
      </c>
      <c r="R528" s="7">
        <v>3.5522033999999998</v>
      </c>
      <c r="S528" s="7">
        <v>3.6340908999999999</v>
      </c>
      <c r="T528" s="7">
        <v>3.6662656999999998</v>
      </c>
      <c r="U528" s="7">
        <v>3.8234911</v>
      </c>
      <c r="V528" s="7">
        <v>4.5424987999999997</v>
      </c>
      <c r="W528" s="7">
        <v>5.5142604999999998</v>
      </c>
      <c r="X528" s="7">
        <v>6.1445479000000001</v>
      </c>
      <c r="Y528" s="7">
        <v>6.3087869000000003</v>
      </c>
      <c r="Z528" s="7">
        <v>6.0584030999999996</v>
      </c>
      <c r="AA528" s="7">
        <v>5.5537261999999998</v>
      </c>
      <c r="AB528" s="7">
        <v>4.6986356000000002</v>
      </c>
      <c r="AC528" s="7">
        <v>4.4672577000000002</v>
      </c>
      <c r="AD528" s="7">
        <v>3.6271073</v>
      </c>
      <c r="AE528" s="7">
        <v>3.6124198999999999</v>
      </c>
      <c r="AF528" s="7">
        <v>3.6961301</v>
      </c>
      <c r="AG528" s="7">
        <v>3.8146857999999999</v>
      </c>
      <c r="AH528" s="7">
        <v>4.2748017000000003</v>
      </c>
      <c r="AI528" s="7">
        <v>4.7678452</v>
      </c>
      <c r="AJ528" s="7">
        <v>5.4778054000000003</v>
      </c>
      <c r="AK528" s="7">
        <v>6.1308252999999997</v>
      </c>
      <c r="AL528" s="7">
        <v>5.7941678999999997</v>
      </c>
      <c r="AM528" s="7">
        <v>5.6733507000000003</v>
      </c>
      <c r="AN528" s="7">
        <v>5.5130501000000001</v>
      </c>
      <c r="AO528" s="7">
        <v>4.4629608999999997</v>
      </c>
      <c r="AP528" s="7">
        <v>3.6072454</v>
      </c>
      <c r="AQ528" s="7">
        <v>3.0170509999999999</v>
      </c>
      <c r="AR528" s="7">
        <v>2.8936451999999999</v>
      </c>
      <c r="AS528" s="7">
        <v>3.0329793999999999</v>
      </c>
      <c r="AT528" s="7">
        <v>16.053000000000001</v>
      </c>
    </row>
    <row r="529" spans="1:46" x14ac:dyDescent="0.25">
      <c r="A529" s="4" t="s">
        <v>206</v>
      </c>
      <c r="B529" s="4" t="s">
        <v>207</v>
      </c>
      <c r="C529" s="4" t="s">
        <v>246</v>
      </c>
      <c r="D529" s="4" t="s">
        <v>247</v>
      </c>
      <c r="E529" s="4" t="s">
        <v>248</v>
      </c>
      <c r="F529" s="4" t="s">
        <v>202</v>
      </c>
      <c r="G529" s="4" t="s">
        <v>116</v>
      </c>
      <c r="H529" s="4" t="s">
        <v>252</v>
      </c>
      <c r="I529" s="16">
        <v>0.497</v>
      </c>
      <c r="J529" s="16">
        <v>0.47299999999999998</v>
      </c>
      <c r="K529" s="16">
        <v>0.42399999999999999</v>
      </c>
      <c r="L529" s="16">
        <v>0.39100000000000001</v>
      </c>
      <c r="M529" s="16">
        <v>0.46700000000000003</v>
      </c>
      <c r="N529" s="16">
        <v>0.38600000000000001</v>
      </c>
      <c r="O529" s="16">
        <v>0.39200000000000002</v>
      </c>
      <c r="P529" s="16">
        <v>0.38900000000000001</v>
      </c>
      <c r="Q529" s="16">
        <v>0.38700000000000001</v>
      </c>
      <c r="R529" s="16">
        <v>0.432</v>
      </c>
      <c r="S529" s="16">
        <v>0.44800000000000001</v>
      </c>
      <c r="T529" s="16">
        <v>0.44800000000000001</v>
      </c>
      <c r="U529" s="16">
        <v>0.45300000000000001</v>
      </c>
      <c r="V529" s="16">
        <v>0.52900000000000003</v>
      </c>
      <c r="W529" s="16">
        <v>0.46800000000000003</v>
      </c>
      <c r="X529" s="16">
        <v>0.44</v>
      </c>
      <c r="Y529" s="16">
        <v>0.51</v>
      </c>
      <c r="Z529" s="16">
        <v>0.55700000000000005</v>
      </c>
      <c r="AA529" s="16">
        <v>0.48699999999999999</v>
      </c>
      <c r="AB529" s="16">
        <v>0.46400000000000002</v>
      </c>
      <c r="AC529" s="16">
        <v>0.48099999999999998</v>
      </c>
      <c r="AD529" s="16">
        <v>0.435</v>
      </c>
      <c r="AE529" s="16">
        <v>0.41699999999999998</v>
      </c>
      <c r="AF529" s="16">
        <v>0.441</v>
      </c>
      <c r="AG529" s="16">
        <v>0.45200000000000001</v>
      </c>
      <c r="AH529" s="16">
        <v>0.42899999999999999</v>
      </c>
      <c r="AI529" s="16">
        <v>0.38100000000000001</v>
      </c>
      <c r="AJ529" s="16">
        <v>0.39100000000000001</v>
      </c>
      <c r="AK529" s="16">
        <v>0.374</v>
      </c>
      <c r="AL529" s="16">
        <v>0.312</v>
      </c>
      <c r="AM529" s="16">
        <v>0.308</v>
      </c>
      <c r="AN529" s="16">
        <v>0.34</v>
      </c>
      <c r="AO529" s="16">
        <v>0.27600000000000002</v>
      </c>
      <c r="AP529" s="16">
        <v>0.26400000000000001</v>
      </c>
      <c r="AQ529" s="16">
        <v>0.28399999999999997</v>
      </c>
      <c r="AR529" s="16">
        <v>0.25800000000000001</v>
      </c>
      <c r="AS529" s="16">
        <v>0.28599999999999998</v>
      </c>
      <c r="AT529" s="7">
        <v>3.0329793999999999</v>
      </c>
    </row>
    <row r="530" spans="1:46" x14ac:dyDescent="0.25">
      <c r="A530" s="4" t="s">
        <v>206</v>
      </c>
      <c r="B530" s="4" t="s">
        <v>207</v>
      </c>
      <c r="C530" s="4" t="s">
        <v>246</v>
      </c>
      <c r="D530" s="4" t="s">
        <v>247</v>
      </c>
      <c r="E530" s="4" t="s">
        <v>248</v>
      </c>
      <c r="F530" s="4" t="s">
        <v>202</v>
      </c>
      <c r="G530" s="4" t="s">
        <v>103</v>
      </c>
      <c r="H530" s="4" t="s">
        <v>151</v>
      </c>
      <c r="I530" s="5">
        <v>9695.9380000000001</v>
      </c>
      <c r="J530" s="5">
        <v>15659.77</v>
      </c>
      <c r="K530" s="5">
        <v>25613.953000000001</v>
      </c>
      <c r="L530" s="5">
        <v>33077.222000000002</v>
      </c>
      <c r="M530" s="5">
        <v>47392.714999999997</v>
      </c>
      <c r="N530" s="5">
        <v>43761.553</v>
      </c>
      <c r="O530" s="5">
        <v>34080.906999999999</v>
      </c>
      <c r="P530" s="5">
        <v>22467.061000000002</v>
      </c>
      <c r="Q530" s="5">
        <v>13805.071</v>
      </c>
      <c r="R530" s="5">
        <v>9206.6149999999998</v>
      </c>
      <c r="S530" s="5">
        <v>8634.1479999999992</v>
      </c>
      <c r="T530" s="5">
        <v>7418.4769999999999</v>
      </c>
      <c r="U530" s="5">
        <v>7743.4589999999998</v>
      </c>
      <c r="V530" s="5">
        <v>7943.8590000000004</v>
      </c>
      <c r="W530" s="5">
        <v>16527.105</v>
      </c>
      <c r="X530" s="5">
        <v>32006.464</v>
      </c>
      <c r="Y530" s="5">
        <v>43080.705999999998</v>
      </c>
      <c r="Z530" s="5">
        <v>36993.758999999998</v>
      </c>
      <c r="AA530" s="5">
        <v>40532.466999999997</v>
      </c>
      <c r="AB530" s="5">
        <v>26963.482</v>
      </c>
      <c r="AC530" s="5">
        <v>20441.666000000001</v>
      </c>
      <c r="AD530" s="5">
        <v>14385.266</v>
      </c>
      <c r="AE530" s="5">
        <v>12147.179</v>
      </c>
      <c r="AF530" s="5">
        <v>9903.8340000000007</v>
      </c>
      <c r="AG530" s="5">
        <v>9595.1769999999997</v>
      </c>
      <c r="AH530" s="5">
        <v>14665.516</v>
      </c>
      <c r="AI530" s="5">
        <v>22209.131000000001</v>
      </c>
      <c r="AJ530" s="5">
        <v>39860.811000000002</v>
      </c>
      <c r="AK530" s="5">
        <v>69379.822</v>
      </c>
      <c r="AL530" s="5">
        <v>63050.673999999999</v>
      </c>
      <c r="AM530" s="5">
        <v>78113.900999999998</v>
      </c>
      <c r="AN530" s="5">
        <v>99597.808000000005</v>
      </c>
      <c r="AO530" s="5">
        <v>45575.826000000001</v>
      </c>
      <c r="AP530" s="5">
        <v>24214.524000000001</v>
      </c>
      <c r="AQ530" s="5">
        <v>18116.018</v>
      </c>
      <c r="AR530" s="5">
        <v>12612.146000000001</v>
      </c>
      <c r="AS530" s="5">
        <v>8081.6629999999996</v>
      </c>
      <c r="AT530" s="5">
        <v>8081.6629999999996</v>
      </c>
    </row>
    <row r="531" spans="1:46" x14ac:dyDescent="0.25">
      <c r="A531" s="4" t="s">
        <v>206</v>
      </c>
      <c r="B531" s="4" t="s">
        <v>207</v>
      </c>
      <c r="C531" s="4" t="s">
        <v>246</v>
      </c>
      <c r="D531" s="4" t="s">
        <v>247</v>
      </c>
      <c r="E531" s="4" t="s">
        <v>248</v>
      </c>
      <c r="F531" s="4" t="s">
        <v>202</v>
      </c>
      <c r="G531" s="4" t="s">
        <v>103</v>
      </c>
      <c r="H531" s="4" t="s">
        <v>205</v>
      </c>
      <c r="I531" s="6">
        <v>1185768.855</v>
      </c>
      <c r="J531" s="6">
        <v>2201209.5839999998</v>
      </c>
      <c r="K531" s="6">
        <v>3822033.2710000002</v>
      </c>
      <c r="L531" s="6">
        <v>5006931.0290000001</v>
      </c>
      <c r="M531" s="6">
        <v>7866767.3159999996</v>
      </c>
      <c r="N531" s="6">
        <v>6658627.1119999997</v>
      </c>
      <c r="O531" s="6">
        <v>5042420.5939999996</v>
      </c>
      <c r="P531" s="6">
        <v>3080106.8930000002</v>
      </c>
      <c r="Q531" s="6">
        <v>1843991.0430000001</v>
      </c>
      <c r="R531" s="6">
        <v>1238196.0220000001</v>
      </c>
      <c r="S531" s="6">
        <v>1161325.4129999999</v>
      </c>
      <c r="T531" s="6">
        <v>995425.23499999999</v>
      </c>
      <c r="U531" s="6">
        <v>1086007.128</v>
      </c>
      <c r="V531" s="6">
        <v>1171617.9240000001</v>
      </c>
      <c r="W531" s="6">
        <v>2807433.6439999999</v>
      </c>
      <c r="X531" s="6">
        <v>5319531.9040000001</v>
      </c>
      <c r="Y531" s="6">
        <v>7147518.8969999999</v>
      </c>
      <c r="Z531" s="6">
        <v>6348668.0889999997</v>
      </c>
      <c r="AA531" s="6">
        <v>6615157.2699999996</v>
      </c>
      <c r="AB531" s="6">
        <v>4089623.8119999999</v>
      </c>
      <c r="AC531" s="6">
        <v>3000020.7680000002</v>
      </c>
      <c r="AD531" s="6">
        <v>2069665.9129999999</v>
      </c>
      <c r="AE531" s="6">
        <v>1854166.17</v>
      </c>
      <c r="AF531" s="6">
        <v>1440263.3689999999</v>
      </c>
      <c r="AG531" s="6">
        <v>1456144.3130000001</v>
      </c>
      <c r="AH531" s="6">
        <v>2328553.1680000001</v>
      </c>
      <c r="AI531" s="6">
        <v>3777010.932</v>
      </c>
      <c r="AJ531" s="6">
        <v>7602120.2860000003</v>
      </c>
      <c r="AK531" s="6">
        <v>13896502.183</v>
      </c>
      <c r="AL531" s="6">
        <v>11928774.348999999</v>
      </c>
      <c r="AM531" s="6">
        <v>15120807.375</v>
      </c>
      <c r="AN531" s="6">
        <v>23143070.088</v>
      </c>
      <c r="AO531" s="6">
        <v>8398408.3770000003</v>
      </c>
      <c r="AP531" s="6">
        <v>4069705.9330000002</v>
      </c>
      <c r="AQ531" s="6">
        <v>2944957.53</v>
      </c>
      <c r="AR531" s="6">
        <v>2059830.0830000001</v>
      </c>
      <c r="AS531" s="6">
        <v>1513735.8910000001</v>
      </c>
      <c r="AT531" s="6">
        <v>1513735.8910000001</v>
      </c>
    </row>
    <row r="532" spans="1:46" x14ac:dyDescent="0.25">
      <c r="A532" s="4" t="s">
        <v>206</v>
      </c>
      <c r="B532" s="4" t="s">
        <v>207</v>
      </c>
      <c r="C532" s="4" t="s">
        <v>246</v>
      </c>
      <c r="D532" s="4" t="s">
        <v>247</v>
      </c>
      <c r="E532" s="4" t="s">
        <v>248</v>
      </c>
      <c r="F532" s="4" t="s">
        <v>202</v>
      </c>
      <c r="G532" s="4" t="s">
        <v>103</v>
      </c>
      <c r="H532" s="4" t="s">
        <v>249</v>
      </c>
      <c r="I532" s="7">
        <v>1.0389999999999999</v>
      </c>
      <c r="J532" s="7">
        <v>1.228</v>
      </c>
      <c r="K532" s="7">
        <v>1.534</v>
      </c>
      <c r="L532" s="7">
        <v>1.5189999999999999</v>
      </c>
      <c r="M532" s="7">
        <v>1.7809999999999999</v>
      </c>
      <c r="N532" s="7">
        <v>1.552</v>
      </c>
      <c r="O532" s="7">
        <v>1.333</v>
      </c>
      <c r="P532" s="7">
        <v>1.1539999999999999</v>
      </c>
      <c r="Q532" s="7">
        <v>1.0309999999999999</v>
      </c>
      <c r="R532" s="7">
        <v>1.075</v>
      </c>
      <c r="S532" s="7">
        <v>1.204</v>
      </c>
      <c r="T532" s="7">
        <v>1.0620000000000001</v>
      </c>
      <c r="U532" s="7">
        <v>0.97799999999999998</v>
      </c>
      <c r="V532" s="7">
        <v>0.77300000000000002</v>
      </c>
      <c r="W532" s="7">
        <v>1.159</v>
      </c>
      <c r="X532" s="7">
        <v>1.587</v>
      </c>
      <c r="Y532" s="7">
        <v>1.8160000000000001</v>
      </c>
      <c r="Z532" s="7">
        <v>1.675</v>
      </c>
      <c r="AA532" s="7">
        <v>1.6479999999999999</v>
      </c>
      <c r="AB532" s="7">
        <v>1.3959999999999999</v>
      </c>
      <c r="AC532" s="7">
        <v>1.3520000000000001</v>
      </c>
      <c r="AD532" s="7">
        <v>1.2769999999999999</v>
      </c>
      <c r="AE532" s="7">
        <v>1.454</v>
      </c>
      <c r="AF532" s="7">
        <v>1.367</v>
      </c>
      <c r="AG532" s="7">
        <v>1.242</v>
      </c>
      <c r="AH532" s="7">
        <v>1.3919999999999999</v>
      </c>
      <c r="AI532" s="7">
        <v>1.62</v>
      </c>
      <c r="AJ532" s="7">
        <v>2.0219999999999998</v>
      </c>
      <c r="AK532" s="7">
        <v>2.7450000000000001</v>
      </c>
      <c r="AL532" s="7">
        <v>2.484</v>
      </c>
      <c r="AM532" s="7">
        <v>2.6030000000000002</v>
      </c>
      <c r="AN532" s="7">
        <v>3.762</v>
      </c>
      <c r="AO532" s="7">
        <v>2.387</v>
      </c>
      <c r="AP532" s="7">
        <v>1.7030000000000001</v>
      </c>
      <c r="AQ532" s="7">
        <v>1.732</v>
      </c>
      <c r="AR532" s="7">
        <v>1.7430000000000001</v>
      </c>
      <c r="AS532" s="7">
        <v>1.3560000000000001</v>
      </c>
      <c r="AT532" s="7">
        <v>0.91600000000000004</v>
      </c>
    </row>
    <row r="533" spans="1:46" x14ac:dyDescent="0.25">
      <c r="A533" s="4" t="s">
        <v>206</v>
      </c>
      <c r="B533" s="4" t="s">
        <v>207</v>
      </c>
      <c r="C533" s="4" t="s">
        <v>246</v>
      </c>
      <c r="D533" s="4" t="s">
        <v>247</v>
      </c>
      <c r="E533" s="4" t="s">
        <v>248</v>
      </c>
      <c r="F533" s="4" t="s">
        <v>202</v>
      </c>
      <c r="G533" s="4" t="s">
        <v>103</v>
      </c>
      <c r="H533" s="4" t="s">
        <v>250</v>
      </c>
      <c r="I533" s="7">
        <v>70.753</v>
      </c>
      <c r="J533" s="7">
        <v>82.146000000000001</v>
      </c>
      <c r="K533" s="7">
        <v>87.18</v>
      </c>
      <c r="L533" s="7">
        <v>86.712999999999994</v>
      </c>
      <c r="M533" s="7">
        <v>87.063999999999993</v>
      </c>
      <c r="N533" s="7">
        <v>84.688999999999993</v>
      </c>
      <c r="O533" s="7">
        <v>81.372</v>
      </c>
      <c r="P533" s="7">
        <v>77.894999999999996</v>
      </c>
      <c r="Q533" s="7">
        <v>72.099000000000004</v>
      </c>
      <c r="R533" s="7">
        <v>62.871000000000002</v>
      </c>
      <c r="S533" s="7">
        <v>65.468999999999994</v>
      </c>
      <c r="T533" s="7">
        <v>65.525999999999996</v>
      </c>
      <c r="U533" s="7">
        <v>68.378</v>
      </c>
      <c r="V533" s="7">
        <v>75.155000000000001</v>
      </c>
      <c r="W533" s="7">
        <v>84.122</v>
      </c>
      <c r="X533" s="7">
        <v>87.424000000000007</v>
      </c>
      <c r="Y533" s="7">
        <v>88.950999999999993</v>
      </c>
      <c r="Z533" s="7">
        <v>87.617000000000004</v>
      </c>
      <c r="AA533" s="7">
        <v>86.661000000000001</v>
      </c>
      <c r="AB533" s="7">
        <v>79.893000000000001</v>
      </c>
      <c r="AC533" s="7">
        <v>75.921000000000006</v>
      </c>
      <c r="AD533" s="7">
        <v>66.195999999999998</v>
      </c>
      <c r="AE533" s="7">
        <v>63.959000000000003</v>
      </c>
      <c r="AF533" s="7">
        <v>64.180000000000007</v>
      </c>
      <c r="AG533" s="7">
        <v>68.391000000000005</v>
      </c>
      <c r="AH533" s="7">
        <v>77.253</v>
      </c>
      <c r="AI533" s="7">
        <v>82.971000000000004</v>
      </c>
      <c r="AJ533" s="7">
        <v>86.942999999999998</v>
      </c>
      <c r="AK533" s="7">
        <v>91.007999999999996</v>
      </c>
      <c r="AL533" s="7">
        <v>88.409000000000006</v>
      </c>
      <c r="AM533" s="7">
        <v>87.885000000000005</v>
      </c>
      <c r="AN533" s="7">
        <v>88.665999999999997</v>
      </c>
      <c r="AO533" s="7">
        <v>77.858000000000004</v>
      </c>
      <c r="AP533" s="7">
        <v>67.936999999999998</v>
      </c>
      <c r="AQ533" s="7">
        <v>60.515999999999998</v>
      </c>
      <c r="AR533" s="7">
        <v>60.780999999999999</v>
      </c>
      <c r="AS533" s="7">
        <v>69.570999999999998</v>
      </c>
      <c r="AT533" s="5">
        <v>25778.428</v>
      </c>
    </row>
    <row r="534" spans="1:46" x14ac:dyDescent="0.25">
      <c r="A534" s="4" t="s">
        <v>206</v>
      </c>
      <c r="B534" s="4" t="s">
        <v>207</v>
      </c>
      <c r="C534" s="4" t="s">
        <v>246</v>
      </c>
      <c r="D534" s="4" t="s">
        <v>247</v>
      </c>
      <c r="E534" s="4" t="s">
        <v>248</v>
      </c>
      <c r="F534" s="4" t="s">
        <v>202</v>
      </c>
      <c r="G534" s="4" t="s">
        <v>103</v>
      </c>
      <c r="H534" s="4" t="s">
        <v>251</v>
      </c>
      <c r="I534" s="7">
        <v>37.853936099999999</v>
      </c>
      <c r="J534" s="7">
        <v>36.393083799999999</v>
      </c>
      <c r="K534" s="7">
        <v>38.052012400000002</v>
      </c>
      <c r="L534" s="7">
        <v>39.228106799999999</v>
      </c>
      <c r="M534" s="7">
        <v>38.867027299999997</v>
      </c>
      <c r="N534" s="7">
        <v>38.113855000000001</v>
      </c>
      <c r="O534" s="7">
        <v>38.348019100000002</v>
      </c>
      <c r="P534" s="7">
        <v>36.843894200000001</v>
      </c>
      <c r="Q534" s="7">
        <v>35.924600699999999</v>
      </c>
      <c r="R534" s="7">
        <v>35.043577999999997</v>
      </c>
      <c r="S534" s="7">
        <v>34.841100300000001</v>
      </c>
      <c r="T534" s="7">
        <v>35.282573499999998</v>
      </c>
      <c r="U534" s="7">
        <v>35.487070199999998</v>
      </c>
      <c r="V534" s="7">
        <v>35.218568900000001</v>
      </c>
      <c r="W534" s="7">
        <v>36.946722100000002</v>
      </c>
      <c r="X534" s="7">
        <v>39.867401200000003</v>
      </c>
      <c r="Y534" s="7">
        <v>41.180815299999999</v>
      </c>
      <c r="Z534" s="7">
        <v>40.929321199999997</v>
      </c>
      <c r="AA534" s="7">
        <v>40.108784399999998</v>
      </c>
      <c r="AB534" s="7">
        <v>38.648229899999997</v>
      </c>
      <c r="AC534" s="7">
        <v>38.178435100000002</v>
      </c>
      <c r="AD534" s="7">
        <v>36.409252199999997</v>
      </c>
      <c r="AE534" s="7">
        <v>35.259570199999999</v>
      </c>
      <c r="AF534" s="7">
        <v>35.336855200000002</v>
      </c>
      <c r="AG534" s="7">
        <v>36.929515500000001</v>
      </c>
      <c r="AH534" s="7">
        <v>39.005394099999997</v>
      </c>
      <c r="AI534" s="7">
        <v>40.7187445</v>
      </c>
      <c r="AJ534" s="7">
        <v>42.507928</v>
      </c>
      <c r="AK534" s="7">
        <v>43.964880999999998</v>
      </c>
      <c r="AL534" s="7">
        <v>44.852949700000003</v>
      </c>
      <c r="AM534" s="7">
        <v>44.452126800000002</v>
      </c>
      <c r="AN534" s="7">
        <v>43.536948700000003</v>
      </c>
      <c r="AO534" s="7">
        <v>38.233096500000002</v>
      </c>
      <c r="AP534" s="7">
        <v>34.846483300000003</v>
      </c>
      <c r="AQ534" s="7">
        <v>33.346786199999997</v>
      </c>
      <c r="AR534" s="7">
        <v>32.274291499999997</v>
      </c>
      <c r="AS534" s="7">
        <v>32.5961298</v>
      </c>
      <c r="AT534" s="7">
        <v>69.570999999999998</v>
      </c>
    </row>
    <row r="535" spans="1:46" x14ac:dyDescent="0.25">
      <c r="A535" s="4" t="s">
        <v>206</v>
      </c>
      <c r="B535" s="4" t="s">
        <v>207</v>
      </c>
      <c r="C535" s="4" t="s">
        <v>246</v>
      </c>
      <c r="D535" s="4" t="s">
        <v>247</v>
      </c>
      <c r="E535" s="4" t="s">
        <v>248</v>
      </c>
      <c r="F535" s="4" t="s">
        <v>202</v>
      </c>
      <c r="G535" s="4" t="s">
        <v>103</v>
      </c>
      <c r="H535" s="4" t="s">
        <v>252</v>
      </c>
      <c r="I535" s="16">
        <v>7.3630000000000004</v>
      </c>
      <c r="J535" s="16">
        <v>6.9820000000000002</v>
      </c>
      <c r="K535" s="16">
        <v>6.5890000000000004</v>
      </c>
      <c r="L535" s="16">
        <v>6.343</v>
      </c>
      <c r="M535" s="16">
        <v>6.4370000000000003</v>
      </c>
      <c r="N535" s="16">
        <v>6.59</v>
      </c>
      <c r="O535" s="16">
        <v>6.4530000000000003</v>
      </c>
      <c r="P535" s="16">
        <v>6.8159999999999998</v>
      </c>
      <c r="Q535" s="16">
        <v>6.9340000000000002</v>
      </c>
      <c r="R535" s="16">
        <v>6.9880000000000004</v>
      </c>
      <c r="S535" s="16">
        <v>7.2469999999999999</v>
      </c>
      <c r="T535" s="16">
        <v>7.5149999999999997</v>
      </c>
      <c r="U535" s="16">
        <v>7.407</v>
      </c>
      <c r="V535" s="16">
        <v>7.0679999999999996</v>
      </c>
      <c r="W535" s="16">
        <v>7.194</v>
      </c>
      <c r="X535" s="16">
        <v>7.58</v>
      </c>
      <c r="Y535" s="16">
        <v>7.1539999999999999</v>
      </c>
      <c r="Z535" s="16">
        <v>8.1210000000000004</v>
      </c>
      <c r="AA535" s="16">
        <v>8.1509999999999998</v>
      </c>
      <c r="AB535" s="16">
        <v>7.97</v>
      </c>
      <c r="AC535" s="16">
        <v>7.5190000000000001</v>
      </c>
      <c r="AD535" s="16">
        <v>7.399</v>
      </c>
      <c r="AE535" s="16">
        <v>7.58</v>
      </c>
      <c r="AF535" s="16">
        <v>7.694</v>
      </c>
      <c r="AG535" s="16">
        <v>7.726</v>
      </c>
      <c r="AH535" s="16">
        <v>7.9219999999999997</v>
      </c>
      <c r="AI535" s="16">
        <v>7.218</v>
      </c>
      <c r="AJ535" s="16">
        <v>7.2690000000000001</v>
      </c>
      <c r="AK535" s="16">
        <v>7.3650000000000002</v>
      </c>
      <c r="AL535" s="16">
        <v>7.0990000000000002</v>
      </c>
      <c r="AM535" s="16">
        <v>6.71</v>
      </c>
      <c r="AN535" s="16">
        <v>6.101</v>
      </c>
      <c r="AO535" s="16">
        <v>5.7489999999999997</v>
      </c>
      <c r="AP535" s="16">
        <v>5.3019999999999996</v>
      </c>
      <c r="AQ535" s="16">
        <v>5.2169999999999996</v>
      </c>
      <c r="AR535" s="16">
        <v>4.83</v>
      </c>
      <c r="AS535" s="16">
        <v>5.0330000000000004</v>
      </c>
      <c r="AT535" s="7">
        <v>32.5961298</v>
      </c>
    </row>
    <row r="536" spans="1:46" x14ac:dyDescent="0.25">
      <c r="A536" s="4" t="s">
        <v>206</v>
      </c>
      <c r="B536" s="4" t="s">
        <v>207</v>
      </c>
      <c r="C536" s="4" t="s">
        <v>246</v>
      </c>
      <c r="D536" s="4" t="s">
        <v>254</v>
      </c>
      <c r="E536" s="4" t="s">
        <v>255</v>
      </c>
      <c r="F536" s="4" t="s">
        <v>203</v>
      </c>
      <c r="G536" s="4" t="s">
        <v>93</v>
      </c>
      <c r="H536" s="4" t="s">
        <v>151</v>
      </c>
      <c r="I536" s="5">
        <v>0</v>
      </c>
      <c r="J536" s="5">
        <v>273.983</v>
      </c>
      <c r="K536" s="5">
        <v>229.10400000000001</v>
      </c>
      <c r="L536" s="5">
        <v>369.32100000000003</v>
      </c>
      <c r="M536" s="5">
        <v>455.161</v>
      </c>
      <c r="N536" s="5">
        <v>215.577</v>
      </c>
      <c r="O536" s="5">
        <v>0</v>
      </c>
      <c r="P536" s="5">
        <v>0</v>
      </c>
      <c r="Q536" s="5">
        <v>0</v>
      </c>
      <c r="R536" s="5">
        <v>42.005000000000003</v>
      </c>
      <c r="S536" s="5">
        <v>66.296999999999997</v>
      </c>
      <c r="T536" s="5">
        <v>186.01599999999999</v>
      </c>
      <c r="U536" s="5">
        <v>112.175</v>
      </c>
      <c r="V536" s="5">
        <v>135.59100000000001</v>
      </c>
      <c r="W536" s="5">
        <v>40.383000000000003</v>
      </c>
      <c r="X536" s="5">
        <v>245.887</v>
      </c>
      <c r="Y536" s="8">
        <v>0</v>
      </c>
      <c r="Z536" s="8">
        <v>0</v>
      </c>
      <c r="AA536" s="9">
        <v>0</v>
      </c>
      <c r="AB536" s="9">
        <v>0</v>
      </c>
      <c r="AC536" s="9">
        <v>0</v>
      </c>
      <c r="AD536" s="9">
        <v>0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5">
        <v>40.743000000000002</v>
      </c>
      <c r="AK536" s="5">
        <v>0</v>
      </c>
      <c r="AL536" s="5">
        <v>31.3</v>
      </c>
      <c r="AM536" s="5">
        <v>0</v>
      </c>
      <c r="AN536" s="5">
        <v>0</v>
      </c>
      <c r="AO536" s="5">
        <v>29.521999999999998</v>
      </c>
      <c r="AP536" s="5">
        <v>27.54</v>
      </c>
      <c r="AQ536" s="8">
        <v>0</v>
      </c>
      <c r="AR536" s="9">
        <v>0</v>
      </c>
      <c r="AS536" s="9">
        <v>0</v>
      </c>
      <c r="AT536" s="9">
        <v>0</v>
      </c>
    </row>
    <row r="537" spans="1:46" x14ac:dyDescent="0.25">
      <c r="A537" s="4" t="s">
        <v>206</v>
      </c>
      <c r="B537" s="4" t="s">
        <v>207</v>
      </c>
      <c r="C537" s="4" t="s">
        <v>246</v>
      </c>
      <c r="D537" s="4" t="s">
        <v>254</v>
      </c>
      <c r="E537" s="4" t="s">
        <v>255</v>
      </c>
      <c r="F537" s="4" t="s">
        <v>203</v>
      </c>
      <c r="G537" s="4" t="s">
        <v>93</v>
      </c>
      <c r="H537" s="4" t="s">
        <v>205</v>
      </c>
      <c r="I537" s="6">
        <v>0</v>
      </c>
      <c r="J537" s="6">
        <v>31019.063999999998</v>
      </c>
      <c r="K537" s="6">
        <v>27687.071</v>
      </c>
      <c r="L537" s="6">
        <v>45393.989000000001</v>
      </c>
      <c r="M537" s="6">
        <v>52364.362999999998</v>
      </c>
      <c r="N537" s="6">
        <v>23189.032999999999</v>
      </c>
      <c r="O537" s="6">
        <v>0</v>
      </c>
      <c r="P537" s="6">
        <v>0</v>
      </c>
      <c r="Q537" s="6">
        <v>0</v>
      </c>
      <c r="R537" s="6">
        <v>4977.3069999999998</v>
      </c>
      <c r="S537" s="6">
        <v>7855.6840000000002</v>
      </c>
      <c r="T537" s="6">
        <v>22041.508000000002</v>
      </c>
      <c r="U537" s="6">
        <v>16826.278999999999</v>
      </c>
      <c r="V537" s="6">
        <v>20338.632000000001</v>
      </c>
      <c r="W537" s="6">
        <v>6057.4319999999998</v>
      </c>
      <c r="X537" s="6">
        <v>36882.997000000003</v>
      </c>
      <c r="Y537" s="10">
        <v>0</v>
      </c>
      <c r="Z537" s="10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6">
        <v>5296.6260000000002</v>
      </c>
      <c r="AK537" s="6">
        <v>0</v>
      </c>
      <c r="AL537" s="6">
        <v>4069.02</v>
      </c>
      <c r="AM537" s="6">
        <v>0</v>
      </c>
      <c r="AN537" s="6">
        <v>0</v>
      </c>
      <c r="AO537" s="6">
        <v>3837.9110000000001</v>
      </c>
      <c r="AP537" s="6">
        <v>3580.4389999999999</v>
      </c>
      <c r="AQ537" s="10">
        <v>0</v>
      </c>
      <c r="AR537" s="9">
        <v>0</v>
      </c>
      <c r="AS537" s="9">
        <v>0</v>
      </c>
      <c r="AT537" s="9">
        <v>0</v>
      </c>
    </row>
    <row r="538" spans="1:46" x14ac:dyDescent="0.25">
      <c r="A538" s="4" t="s">
        <v>206</v>
      </c>
      <c r="B538" s="4" t="s">
        <v>207</v>
      </c>
      <c r="C538" s="4" t="s">
        <v>246</v>
      </c>
      <c r="D538" s="4" t="s">
        <v>254</v>
      </c>
      <c r="E538" s="4" t="s">
        <v>255</v>
      </c>
      <c r="F538" s="4" t="s">
        <v>203</v>
      </c>
      <c r="G538" s="4" t="s">
        <v>93</v>
      </c>
      <c r="H538" s="4" t="s">
        <v>249</v>
      </c>
      <c r="I538" s="7">
        <v>0</v>
      </c>
      <c r="J538" s="7">
        <v>0.112</v>
      </c>
      <c r="K538" s="7">
        <v>6.7000000000000004E-2</v>
      </c>
      <c r="L538" s="7">
        <v>8.3000000000000004E-2</v>
      </c>
      <c r="M538" s="7">
        <v>7.6999999999999999E-2</v>
      </c>
      <c r="N538" s="7">
        <v>3.6999999999999998E-2</v>
      </c>
      <c r="O538" s="7">
        <v>0</v>
      </c>
      <c r="P538" s="7">
        <v>0</v>
      </c>
      <c r="Q538" s="7">
        <v>0</v>
      </c>
      <c r="R538" s="7">
        <v>2.5000000000000001E-2</v>
      </c>
      <c r="S538" s="7">
        <v>4.8000000000000001E-2</v>
      </c>
      <c r="T538" s="7">
        <v>0.14000000000000001</v>
      </c>
      <c r="U538" s="7">
        <v>7.4999999999999997E-2</v>
      </c>
      <c r="V538" s="7">
        <v>6.7000000000000004E-2</v>
      </c>
      <c r="W538" s="7">
        <v>1.2999999999999999E-2</v>
      </c>
      <c r="X538" s="7">
        <v>5.6000000000000001E-2</v>
      </c>
      <c r="Y538" s="11">
        <v>0</v>
      </c>
      <c r="Z538" s="11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7">
        <v>0.01</v>
      </c>
      <c r="AK538" s="7">
        <v>0</v>
      </c>
      <c r="AL538" s="7">
        <v>6.0000000000000001E-3</v>
      </c>
      <c r="AM538" s="7">
        <v>0</v>
      </c>
      <c r="AN538" s="7">
        <v>0</v>
      </c>
      <c r="AO538" s="7">
        <v>8.0000000000000002E-3</v>
      </c>
      <c r="AP538" s="7">
        <v>1.0999999999999999E-2</v>
      </c>
      <c r="AQ538" s="11">
        <v>0</v>
      </c>
      <c r="AR538" s="9">
        <v>0</v>
      </c>
      <c r="AS538" s="9">
        <v>0</v>
      </c>
      <c r="AT538" s="9">
        <v>0</v>
      </c>
    </row>
    <row r="539" spans="1:46" x14ac:dyDescent="0.25">
      <c r="A539" s="4" t="s">
        <v>206</v>
      </c>
      <c r="B539" s="4" t="s">
        <v>207</v>
      </c>
      <c r="C539" s="4" t="s">
        <v>246</v>
      </c>
      <c r="D539" s="4" t="s">
        <v>254</v>
      </c>
      <c r="E539" s="4" t="s">
        <v>255</v>
      </c>
      <c r="F539" s="4" t="s">
        <v>203</v>
      </c>
      <c r="G539" s="4" t="s">
        <v>93</v>
      </c>
      <c r="H539" s="4" t="s">
        <v>250</v>
      </c>
      <c r="I539" s="7">
        <v>0.22</v>
      </c>
      <c r="J539" s="7">
        <v>0.63700000000000001</v>
      </c>
      <c r="K539" s="7">
        <v>0.33600000000000002</v>
      </c>
      <c r="L539" s="7">
        <v>0.35599999999999998</v>
      </c>
      <c r="M539" s="7">
        <v>0.34699999999999998</v>
      </c>
      <c r="N539" s="7">
        <v>0.36</v>
      </c>
      <c r="O539" s="7">
        <v>0.192</v>
      </c>
      <c r="P539" s="7">
        <v>0.27800000000000002</v>
      </c>
      <c r="Q539" s="7">
        <v>0.30499999999999999</v>
      </c>
      <c r="R539" s="7">
        <v>0.57699999999999996</v>
      </c>
      <c r="S539" s="7">
        <v>0.76800000000000002</v>
      </c>
      <c r="T539" s="7">
        <v>0.84599999999999997</v>
      </c>
      <c r="U539" s="7">
        <v>0.41799999999999998</v>
      </c>
      <c r="V539" s="7">
        <v>0.41899999999999998</v>
      </c>
      <c r="W539" s="7">
        <v>0.25</v>
      </c>
      <c r="X539" s="7">
        <v>0.13200000000000001</v>
      </c>
      <c r="Y539" s="11">
        <v>0</v>
      </c>
      <c r="Z539" s="11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0</v>
      </c>
      <c r="AI539" s="9">
        <v>0</v>
      </c>
      <c r="AJ539" s="7">
        <v>5.0999999999999997E-2</v>
      </c>
      <c r="AK539" s="7">
        <v>6.4000000000000001E-2</v>
      </c>
      <c r="AL539" s="7">
        <v>4.2999999999999997E-2</v>
      </c>
      <c r="AM539" s="7">
        <v>0</v>
      </c>
      <c r="AN539" s="7">
        <v>2.1000000000000001E-2</v>
      </c>
      <c r="AO539" s="7">
        <v>4.9000000000000002E-2</v>
      </c>
      <c r="AP539" s="7">
        <v>6.3E-2</v>
      </c>
      <c r="AQ539" s="11">
        <v>0</v>
      </c>
      <c r="AR539" s="9">
        <v>0</v>
      </c>
      <c r="AS539" s="9">
        <v>0</v>
      </c>
      <c r="AT539" s="9">
        <v>0</v>
      </c>
    </row>
    <row r="540" spans="1:46" x14ac:dyDescent="0.25">
      <c r="A540" s="4" t="s">
        <v>206</v>
      </c>
      <c r="B540" s="4" t="s">
        <v>207</v>
      </c>
      <c r="C540" s="4" t="s">
        <v>246</v>
      </c>
      <c r="D540" s="4" t="s">
        <v>254</v>
      </c>
      <c r="E540" s="4" t="s">
        <v>255</v>
      </c>
      <c r="F540" s="4" t="s">
        <v>203</v>
      </c>
      <c r="G540" s="4" t="s">
        <v>93</v>
      </c>
      <c r="H540" s="4" t="s">
        <v>251</v>
      </c>
      <c r="I540" s="7">
        <v>0.2116421</v>
      </c>
      <c r="J540" s="7">
        <v>0.64792490000000003</v>
      </c>
      <c r="K540" s="7">
        <v>0.6477714</v>
      </c>
      <c r="L540" s="7">
        <v>0.6303552</v>
      </c>
      <c r="M540" s="7">
        <v>0.64406739999999996</v>
      </c>
      <c r="N540" s="7">
        <v>0.49488169999999998</v>
      </c>
      <c r="O540" s="7">
        <v>0.28191480000000002</v>
      </c>
      <c r="P540" s="7">
        <v>0.28193370000000001</v>
      </c>
      <c r="Q540" s="7">
        <v>0.24626519999999999</v>
      </c>
      <c r="R540" s="7">
        <v>0.2462424</v>
      </c>
      <c r="S540" s="7">
        <v>0.2462124</v>
      </c>
      <c r="T540" s="7">
        <v>0.24616070000000001</v>
      </c>
      <c r="U540" s="7">
        <v>0.2573414</v>
      </c>
      <c r="V540" s="7">
        <v>0.24611340000000001</v>
      </c>
      <c r="W540" s="7">
        <v>0.24608469999999999</v>
      </c>
      <c r="X540" s="7">
        <v>0.22592280000000001</v>
      </c>
      <c r="Y540" s="7">
        <v>0</v>
      </c>
      <c r="Z540" s="7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7">
        <v>0.22718260000000001</v>
      </c>
      <c r="AK540" s="7">
        <v>0.22703429999999999</v>
      </c>
      <c r="AL540" s="7">
        <v>0.22097040000000001</v>
      </c>
      <c r="AM540" s="7">
        <v>0.22093860000000001</v>
      </c>
      <c r="AN540" s="7">
        <v>0.2209546</v>
      </c>
      <c r="AO540" s="7">
        <v>0.2209605</v>
      </c>
      <c r="AP540" s="7">
        <v>0.23201930000000001</v>
      </c>
      <c r="AQ540" s="7">
        <v>0</v>
      </c>
      <c r="AR540" s="9">
        <v>0</v>
      </c>
      <c r="AS540" s="9">
        <v>0</v>
      </c>
      <c r="AT540" s="9">
        <v>0</v>
      </c>
    </row>
    <row r="541" spans="1:46" x14ac:dyDescent="0.25">
      <c r="A541" s="4" t="s">
        <v>206</v>
      </c>
      <c r="B541" s="4" t="s">
        <v>207</v>
      </c>
      <c r="C541" s="4" t="s">
        <v>246</v>
      </c>
      <c r="D541" s="4" t="s">
        <v>254</v>
      </c>
      <c r="E541" s="4" t="s">
        <v>255</v>
      </c>
      <c r="F541" s="4" t="s">
        <v>203</v>
      </c>
      <c r="G541" s="4" t="s">
        <v>93</v>
      </c>
      <c r="H541" s="4" t="s">
        <v>252</v>
      </c>
      <c r="I541" s="16">
        <v>1.2E-2</v>
      </c>
      <c r="J541" s="16">
        <v>0.185</v>
      </c>
      <c r="K541" s="16">
        <v>0.15</v>
      </c>
      <c r="L541" s="16">
        <v>0.121</v>
      </c>
      <c r="M541" s="16">
        <v>6.8000000000000005E-2</v>
      </c>
      <c r="N541" s="16">
        <v>0.03</v>
      </c>
      <c r="O541" s="16">
        <v>4.1000000000000002E-2</v>
      </c>
      <c r="P541" s="16">
        <v>6.6000000000000003E-2</v>
      </c>
      <c r="Q541" s="16">
        <v>5.8000000000000003E-2</v>
      </c>
      <c r="R541" s="17">
        <v>0</v>
      </c>
      <c r="S541" s="16">
        <v>2.5999999999999999E-2</v>
      </c>
      <c r="T541" s="16">
        <v>4.2999999999999997E-2</v>
      </c>
      <c r="U541" s="16">
        <v>6.0999999999999999E-2</v>
      </c>
      <c r="V541" s="16">
        <v>3.4000000000000002E-2</v>
      </c>
      <c r="W541" s="16">
        <v>4.9000000000000002E-2</v>
      </c>
      <c r="X541" s="17">
        <v>0</v>
      </c>
      <c r="Y541" s="17">
        <v>0</v>
      </c>
      <c r="Z541" s="17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16">
        <v>6.0000000000000001E-3</v>
      </c>
      <c r="AK541" s="16">
        <v>6.0000000000000001E-3</v>
      </c>
      <c r="AL541" s="17">
        <v>0</v>
      </c>
      <c r="AM541" s="16">
        <v>6.0000000000000001E-3</v>
      </c>
      <c r="AN541" s="16">
        <v>6.0000000000000001E-3</v>
      </c>
      <c r="AO541" s="17">
        <v>0</v>
      </c>
      <c r="AP541" s="17">
        <v>0</v>
      </c>
      <c r="AQ541" s="17">
        <v>0</v>
      </c>
      <c r="AR541" s="9">
        <v>0</v>
      </c>
      <c r="AS541" s="9">
        <v>0</v>
      </c>
      <c r="AT541" s="9">
        <v>0</v>
      </c>
    </row>
    <row r="542" spans="1:46" x14ac:dyDescent="0.25">
      <c r="A542" s="4" t="s">
        <v>206</v>
      </c>
      <c r="B542" s="4" t="s">
        <v>207</v>
      </c>
      <c r="C542" s="4" t="s">
        <v>246</v>
      </c>
      <c r="D542" s="4" t="s">
        <v>254</v>
      </c>
      <c r="E542" s="4" t="s">
        <v>255</v>
      </c>
      <c r="F542" s="4" t="s">
        <v>203</v>
      </c>
      <c r="G542" s="4" t="s">
        <v>138</v>
      </c>
      <c r="H542" s="4" t="s">
        <v>151</v>
      </c>
      <c r="I542" s="5">
        <v>13.366</v>
      </c>
      <c r="J542" s="5">
        <v>43.72</v>
      </c>
      <c r="K542" s="5">
        <v>91.353999999999999</v>
      </c>
      <c r="L542" s="5">
        <v>31.998000000000001</v>
      </c>
      <c r="M542" s="5">
        <v>60.247999999999998</v>
      </c>
      <c r="N542" s="5">
        <v>52.994999999999997</v>
      </c>
      <c r="O542" s="5">
        <v>0</v>
      </c>
      <c r="P542" s="5">
        <v>0</v>
      </c>
      <c r="Q542" s="5">
        <v>20.794</v>
      </c>
      <c r="R542" s="5">
        <v>19.216000000000001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15.927</v>
      </c>
      <c r="AA542" s="5">
        <v>19.097999999999999</v>
      </c>
      <c r="AB542" s="5">
        <v>0</v>
      </c>
      <c r="AC542" s="5">
        <v>0</v>
      </c>
      <c r="AD542" s="5">
        <v>0</v>
      </c>
      <c r="AE542" s="5">
        <v>24.617000000000001</v>
      </c>
      <c r="AF542" s="5">
        <v>24.832000000000001</v>
      </c>
      <c r="AG542" s="5">
        <v>6.7619999999999996</v>
      </c>
      <c r="AH542" s="5">
        <v>7.2460000000000004</v>
      </c>
      <c r="AI542" s="5">
        <v>7.98</v>
      </c>
      <c r="AJ542" s="5">
        <v>6.1589999999999998</v>
      </c>
      <c r="AK542" s="5">
        <v>31.382000000000001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31.382000000000001</v>
      </c>
      <c r="AS542" s="5">
        <v>25.766999999999999</v>
      </c>
      <c r="AT542" s="5">
        <v>25.766999999999999</v>
      </c>
    </row>
    <row r="543" spans="1:46" x14ac:dyDescent="0.25">
      <c r="A543" s="4" t="s">
        <v>206</v>
      </c>
      <c r="B543" s="4" t="s">
        <v>207</v>
      </c>
      <c r="C543" s="4" t="s">
        <v>246</v>
      </c>
      <c r="D543" s="4" t="s">
        <v>254</v>
      </c>
      <c r="E543" s="4" t="s">
        <v>255</v>
      </c>
      <c r="F543" s="4" t="s">
        <v>203</v>
      </c>
      <c r="G543" s="4" t="s">
        <v>138</v>
      </c>
      <c r="H543" s="4" t="s">
        <v>205</v>
      </c>
      <c r="I543" s="6">
        <v>4059.9879999999998</v>
      </c>
      <c r="J543" s="6">
        <v>13312.771000000001</v>
      </c>
      <c r="K543" s="6">
        <v>22650.984</v>
      </c>
      <c r="L543" s="6">
        <v>7499.5690000000004</v>
      </c>
      <c r="M543" s="6">
        <v>11343.101000000001</v>
      </c>
      <c r="N543" s="6">
        <v>14175.013000000001</v>
      </c>
      <c r="O543" s="6">
        <v>0</v>
      </c>
      <c r="P543" s="6">
        <v>0</v>
      </c>
      <c r="Q543" s="6">
        <v>4408.3320000000003</v>
      </c>
      <c r="R543" s="6">
        <v>4611.9070000000002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3822.4630000000002</v>
      </c>
      <c r="AA543" s="6">
        <v>4583.5159999999996</v>
      </c>
      <c r="AB543" s="6">
        <v>0</v>
      </c>
      <c r="AC543" s="6">
        <v>0</v>
      </c>
      <c r="AD543" s="6">
        <v>0</v>
      </c>
      <c r="AE543" s="6">
        <v>5791.2240000000002</v>
      </c>
      <c r="AF543" s="6">
        <v>5846.665</v>
      </c>
      <c r="AG543" s="6">
        <v>1505.7239999999999</v>
      </c>
      <c r="AH543" s="6">
        <v>1613.5170000000001</v>
      </c>
      <c r="AI543" s="6">
        <v>1776.8050000000001</v>
      </c>
      <c r="AJ543" s="6">
        <v>2155.5909999999999</v>
      </c>
      <c r="AK543" s="6">
        <v>6535.7759999999998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9571.6010000000006</v>
      </c>
      <c r="AS543" s="6">
        <v>7858.8969999999999</v>
      </c>
      <c r="AT543" s="6">
        <v>7858.8969999999999</v>
      </c>
    </row>
    <row r="544" spans="1:46" x14ac:dyDescent="0.25">
      <c r="A544" s="4" t="s">
        <v>206</v>
      </c>
      <c r="B544" s="4" t="s">
        <v>207</v>
      </c>
      <c r="C544" s="4" t="s">
        <v>246</v>
      </c>
      <c r="D544" s="4" t="s">
        <v>254</v>
      </c>
      <c r="E544" s="4" t="s">
        <v>255</v>
      </c>
      <c r="F544" s="4" t="s">
        <v>203</v>
      </c>
      <c r="G544" s="4" t="s">
        <v>138</v>
      </c>
      <c r="H544" s="4" t="s">
        <v>249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3.0000000000000001E-3</v>
      </c>
    </row>
    <row r="545" spans="1:46" x14ac:dyDescent="0.25">
      <c r="A545" s="4" t="s">
        <v>206</v>
      </c>
      <c r="B545" s="4" t="s">
        <v>207</v>
      </c>
      <c r="C545" s="4" t="s">
        <v>246</v>
      </c>
      <c r="D545" s="4" t="s">
        <v>254</v>
      </c>
      <c r="E545" s="4" t="s">
        <v>255</v>
      </c>
      <c r="F545" s="4" t="s">
        <v>203</v>
      </c>
      <c r="G545" s="4" t="s">
        <v>138</v>
      </c>
      <c r="H545" s="4" t="s">
        <v>250</v>
      </c>
      <c r="I545" s="7">
        <v>1.252</v>
      </c>
      <c r="J545" s="7">
        <v>0.78800000000000003</v>
      </c>
      <c r="K545" s="7">
        <v>0.86099999999999999</v>
      </c>
      <c r="L545" s="7">
        <v>0.88100000000000001</v>
      </c>
      <c r="M545" s="7">
        <v>0.86299999999999999</v>
      </c>
      <c r="N545" s="7">
        <v>0.56399999999999995</v>
      </c>
      <c r="O545" s="7">
        <v>0.53400000000000003</v>
      </c>
      <c r="P545" s="7">
        <v>0.51800000000000002</v>
      </c>
      <c r="Q545" s="7">
        <v>0.497</v>
      </c>
      <c r="R545" s="7">
        <v>0.44</v>
      </c>
      <c r="S545" s="7">
        <v>0.39</v>
      </c>
      <c r="T545" s="7">
        <v>0.38200000000000001</v>
      </c>
      <c r="U545" s="7">
        <v>0.28699999999999998</v>
      </c>
      <c r="V545" s="7">
        <v>0.26600000000000001</v>
      </c>
      <c r="W545" s="7">
        <v>0.23300000000000001</v>
      </c>
      <c r="X545" s="7">
        <v>0.28999999999999998</v>
      </c>
      <c r="Y545" s="7">
        <v>0.28100000000000003</v>
      </c>
      <c r="Z545" s="7">
        <v>0.47</v>
      </c>
      <c r="AA545" s="7">
        <v>0.74199999999999999</v>
      </c>
      <c r="AB545" s="7">
        <v>0.71799999999999997</v>
      </c>
      <c r="AC545" s="7">
        <v>0.85399999999999998</v>
      </c>
      <c r="AD545" s="7">
        <v>1.0289999999999999</v>
      </c>
      <c r="AE545" s="7">
        <v>1.6</v>
      </c>
      <c r="AF545" s="7">
        <v>1.319</v>
      </c>
      <c r="AG545" s="7">
        <v>0.78400000000000003</v>
      </c>
      <c r="AH545" s="7">
        <v>0.73199999999999998</v>
      </c>
      <c r="AI545" s="7">
        <v>0.47299999999999998</v>
      </c>
      <c r="AJ545" s="7">
        <v>0.126</v>
      </c>
      <c r="AK545" s="7">
        <v>0.14099999999999999</v>
      </c>
      <c r="AL545" s="7">
        <v>6.2E-2</v>
      </c>
      <c r="AM545" s="7">
        <v>6.0999999999999999E-2</v>
      </c>
      <c r="AN545" s="7">
        <v>6.7000000000000004E-2</v>
      </c>
      <c r="AO545" s="7">
        <v>0.10100000000000001</v>
      </c>
      <c r="AP545" s="7">
        <v>0.22800000000000001</v>
      </c>
      <c r="AQ545" s="7">
        <v>0.27800000000000002</v>
      </c>
      <c r="AR545" s="7">
        <v>0.39800000000000002</v>
      </c>
      <c r="AS545" s="7">
        <v>0.29399999999999998</v>
      </c>
      <c r="AT545" s="5">
        <v>33.389000000000003</v>
      </c>
    </row>
    <row r="546" spans="1:46" x14ac:dyDescent="0.25">
      <c r="A546" s="4" t="s">
        <v>206</v>
      </c>
      <c r="B546" s="4" t="s">
        <v>207</v>
      </c>
      <c r="C546" s="4" t="s">
        <v>246</v>
      </c>
      <c r="D546" s="4" t="s">
        <v>254</v>
      </c>
      <c r="E546" s="4" t="s">
        <v>255</v>
      </c>
      <c r="F546" s="4" t="s">
        <v>203</v>
      </c>
      <c r="G546" s="4" t="s">
        <v>138</v>
      </c>
      <c r="H546" s="4" t="s">
        <v>251</v>
      </c>
      <c r="I546" s="7">
        <v>0.61982230000000005</v>
      </c>
      <c r="J546" s="7">
        <v>0.61761549999999998</v>
      </c>
      <c r="K546" s="7">
        <v>0.65843759999999996</v>
      </c>
      <c r="L546" s="7">
        <v>0.77729559999999998</v>
      </c>
      <c r="M546" s="7">
        <v>0.74808540000000001</v>
      </c>
      <c r="N546" s="7">
        <v>0.52291779999999999</v>
      </c>
      <c r="O546" s="7">
        <v>0.31874479999999999</v>
      </c>
      <c r="P546" s="7">
        <v>0.29486000000000001</v>
      </c>
      <c r="Q546" s="7">
        <v>0.32145499999999999</v>
      </c>
      <c r="R546" s="7">
        <v>0.2247808</v>
      </c>
      <c r="S546" s="7">
        <v>0.27290500000000001</v>
      </c>
      <c r="T546" s="7">
        <v>0.27284770000000003</v>
      </c>
      <c r="U546" s="7">
        <v>0.272839</v>
      </c>
      <c r="V546" s="7">
        <v>0.27279520000000002</v>
      </c>
      <c r="W546" s="7">
        <v>0.28090229999999999</v>
      </c>
      <c r="X546" s="7">
        <v>0.25851180000000001</v>
      </c>
      <c r="Y546" s="7">
        <v>0.24744189999999999</v>
      </c>
      <c r="Z546" s="7">
        <v>0.25122250000000002</v>
      </c>
      <c r="AA546" s="7">
        <v>0.25544020000000001</v>
      </c>
      <c r="AB546" s="7">
        <v>0.23503930000000001</v>
      </c>
      <c r="AC546" s="7">
        <v>0.2350332</v>
      </c>
      <c r="AD546" s="7">
        <v>0.24846779999999999</v>
      </c>
      <c r="AE546" s="7">
        <v>0.30482550000000003</v>
      </c>
      <c r="AF546" s="7">
        <v>0.29552220000000001</v>
      </c>
      <c r="AG546" s="7">
        <v>0.19028639999999999</v>
      </c>
      <c r="AH546" s="7">
        <v>0.1845347</v>
      </c>
      <c r="AI546" s="7">
        <v>0.1778952</v>
      </c>
      <c r="AJ546" s="7">
        <v>0.1469693</v>
      </c>
      <c r="AK546" s="7">
        <v>0.14334140000000001</v>
      </c>
      <c r="AL546" s="7">
        <v>2.6105099999999999E-2</v>
      </c>
      <c r="AM546" s="7">
        <v>2.6101300000000001E-2</v>
      </c>
      <c r="AN546" s="7">
        <v>2.61032E-2</v>
      </c>
      <c r="AO546" s="7">
        <v>2.6103899999999999E-2</v>
      </c>
      <c r="AP546" s="7">
        <v>0.25812429999999997</v>
      </c>
      <c r="AQ546" s="7">
        <v>0.2703314</v>
      </c>
      <c r="AR546" s="7">
        <v>0.2497529</v>
      </c>
      <c r="AS546" s="7">
        <v>0.2497373</v>
      </c>
      <c r="AT546" s="7">
        <v>0.29399999999999998</v>
      </c>
    </row>
    <row r="547" spans="1:46" x14ac:dyDescent="0.25">
      <c r="A547" s="4" t="s">
        <v>206</v>
      </c>
      <c r="B547" s="4" t="s">
        <v>207</v>
      </c>
      <c r="C547" s="4" t="s">
        <v>246</v>
      </c>
      <c r="D547" s="4" t="s">
        <v>254</v>
      </c>
      <c r="E547" s="4" t="s">
        <v>255</v>
      </c>
      <c r="F547" s="4" t="s">
        <v>203</v>
      </c>
      <c r="G547" s="4" t="s">
        <v>138</v>
      </c>
      <c r="H547" s="4" t="s">
        <v>252</v>
      </c>
      <c r="I547" s="16">
        <v>3.9E-2</v>
      </c>
      <c r="J547" s="16">
        <v>2.5000000000000001E-2</v>
      </c>
      <c r="K547" s="16">
        <v>3.1E-2</v>
      </c>
      <c r="L547" s="16">
        <v>3.6999999999999998E-2</v>
      </c>
      <c r="M547" s="16">
        <v>3.2000000000000001E-2</v>
      </c>
      <c r="N547" s="16">
        <v>2.1999999999999999E-2</v>
      </c>
      <c r="O547" s="16">
        <v>2.1999999999999999E-2</v>
      </c>
      <c r="P547" s="16">
        <v>1.4E-2</v>
      </c>
      <c r="Q547" s="16">
        <v>1.0999999999999999E-2</v>
      </c>
      <c r="R547" s="16">
        <v>7.0000000000000001E-3</v>
      </c>
      <c r="S547" s="16">
        <v>1.4E-2</v>
      </c>
      <c r="T547" s="16">
        <v>1.4E-2</v>
      </c>
      <c r="U547" s="16">
        <v>1.4E-2</v>
      </c>
      <c r="V547" s="16">
        <v>1.4E-2</v>
      </c>
      <c r="W547" s="16">
        <v>1.2E-2</v>
      </c>
      <c r="X547" s="16">
        <v>1.0999999999999999E-2</v>
      </c>
      <c r="Y547" s="16">
        <v>0.01</v>
      </c>
      <c r="Z547" s="16">
        <v>1.7000000000000001E-2</v>
      </c>
      <c r="AA547" s="16">
        <v>1.2E-2</v>
      </c>
      <c r="AB547" s="16">
        <v>1.2999999999999999E-2</v>
      </c>
      <c r="AC547" s="16">
        <v>1.2999999999999999E-2</v>
      </c>
      <c r="AD547" s="16">
        <v>1.2999999999999999E-2</v>
      </c>
      <c r="AE547" s="16">
        <v>0.01</v>
      </c>
      <c r="AF547" s="16">
        <v>8.9999999999999993E-3</v>
      </c>
      <c r="AG547" s="16">
        <v>0.01</v>
      </c>
      <c r="AH547" s="16">
        <v>8.9999999999999993E-3</v>
      </c>
      <c r="AI547" s="16">
        <v>7.0000000000000001E-3</v>
      </c>
      <c r="AJ547" s="16">
        <v>6.0000000000000001E-3</v>
      </c>
      <c r="AK547" s="16">
        <v>1E-3</v>
      </c>
      <c r="AL547" s="16">
        <v>1E-3</v>
      </c>
      <c r="AM547" s="16">
        <v>1E-3</v>
      </c>
      <c r="AN547" s="16">
        <v>1E-3</v>
      </c>
      <c r="AO547" s="16">
        <v>1E-3</v>
      </c>
      <c r="AP547" s="16">
        <v>7.0000000000000001E-3</v>
      </c>
      <c r="AQ547" s="16">
        <v>7.0000000000000001E-3</v>
      </c>
      <c r="AR547" s="16">
        <v>1E-3</v>
      </c>
      <c r="AS547" s="16">
        <v>7.0000000000000001E-3</v>
      </c>
      <c r="AT547" s="7">
        <v>0.2497373</v>
      </c>
    </row>
    <row r="548" spans="1:46" x14ac:dyDescent="0.25">
      <c r="A548" s="4" t="s">
        <v>206</v>
      </c>
      <c r="B548" s="4" t="s">
        <v>207</v>
      </c>
      <c r="C548" s="4" t="s">
        <v>246</v>
      </c>
      <c r="D548" s="4" t="s">
        <v>254</v>
      </c>
      <c r="E548" s="4" t="s">
        <v>255</v>
      </c>
      <c r="F548" s="4" t="s">
        <v>203</v>
      </c>
      <c r="G548" s="4" t="s">
        <v>140</v>
      </c>
      <c r="H548" s="4" t="s">
        <v>151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16.059999999999999</v>
      </c>
      <c r="Y548" s="8">
        <v>0</v>
      </c>
      <c r="Z548" s="8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  <c r="AQ548" s="9">
        <v>0</v>
      </c>
      <c r="AR548" s="9">
        <v>0</v>
      </c>
      <c r="AS548" s="9">
        <v>0</v>
      </c>
      <c r="AT548" s="9">
        <v>0</v>
      </c>
    </row>
    <row r="549" spans="1:46" x14ac:dyDescent="0.25">
      <c r="A549" s="4" t="s">
        <v>206</v>
      </c>
      <c r="B549" s="4" t="s">
        <v>207</v>
      </c>
      <c r="C549" s="4" t="s">
        <v>246</v>
      </c>
      <c r="D549" s="4" t="s">
        <v>254</v>
      </c>
      <c r="E549" s="4" t="s">
        <v>255</v>
      </c>
      <c r="F549" s="4" t="s">
        <v>203</v>
      </c>
      <c r="G549" s="4" t="s">
        <v>140</v>
      </c>
      <c r="H549" s="4" t="s">
        <v>205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4014.9760000000001</v>
      </c>
      <c r="Y549" s="10">
        <v>0</v>
      </c>
      <c r="Z549" s="10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0</v>
      </c>
      <c r="AL549" s="9">
        <v>0</v>
      </c>
      <c r="AM549" s="9">
        <v>0</v>
      </c>
      <c r="AN549" s="9">
        <v>0</v>
      </c>
      <c r="AO549" s="9">
        <v>0</v>
      </c>
      <c r="AP549" s="9">
        <v>0</v>
      </c>
      <c r="AQ549" s="9">
        <v>0</v>
      </c>
      <c r="AR549" s="9">
        <v>0</v>
      </c>
      <c r="AS549" s="9">
        <v>0</v>
      </c>
      <c r="AT549" s="9">
        <v>0</v>
      </c>
    </row>
    <row r="550" spans="1:46" x14ac:dyDescent="0.25">
      <c r="A550" s="4" t="s">
        <v>206</v>
      </c>
      <c r="B550" s="4" t="s">
        <v>207</v>
      </c>
      <c r="C550" s="4" t="s">
        <v>246</v>
      </c>
      <c r="D550" s="4" t="s">
        <v>254</v>
      </c>
      <c r="E550" s="4" t="s">
        <v>255</v>
      </c>
      <c r="F550" s="4" t="s">
        <v>203</v>
      </c>
      <c r="G550" s="4" t="s">
        <v>140</v>
      </c>
      <c r="H550" s="4" t="s">
        <v>249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11">
        <v>0</v>
      </c>
      <c r="Z550" s="11">
        <v>0</v>
      </c>
      <c r="AA550" s="9">
        <v>0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0</v>
      </c>
      <c r="AR550" s="9">
        <v>0</v>
      </c>
      <c r="AS550" s="9">
        <v>0</v>
      </c>
      <c r="AT550" s="9">
        <v>0</v>
      </c>
    </row>
    <row r="551" spans="1:46" x14ac:dyDescent="0.25">
      <c r="A551" s="4" t="s">
        <v>206</v>
      </c>
      <c r="B551" s="4" t="s">
        <v>207</v>
      </c>
      <c r="C551" s="4" t="s">
        <v>246</v>
      </c>
      <c r="D551" s="4" t="s">
        <v>254</v>
      </c>
      <c r="E551" s="4" t="s">
        <v>255</v>
      </c>
      <c r="F551" s="4" t="s">
        <v>203</v>
      </c>
      <c r="G551" s="4" t="s">
        <v>140</v>
      </c>
      <c r="H551" s="4" t="s">
        <v>250</v>
      </c>
      <c r="I551" s="7">
        <v>7.4999999999999997E-2</v>
      </c>
      <c r="J551" s="7">
        <v>1.4E-2</v>
      </c>
      <c r="K551" s="7">
        <v>8.9999999999999993E-3</v>
      </c>
      <c r="L551" s="7">
        <v>2.5999999999999999E-2</v>
      </c>
      <c r="M551" s="7">
        <v>1.7000000000000001E-2</v>
      </c>
      <c r="N551" s="7">
        <v>1.9E-2</v>
      </c>
      <c r="O551" s="7">
        <v>2.1999999999999999E-2</v>
      </c>
      <c r="P551" s="7">
        <v>0.22700000000000001</v>
      </c>
      <c r="Q551" s="7">
        <v>0.34</v>
      </c>
      <c r="R551" s="7">
        <v>0.34499999999999997</v>
      </c>
      <c r="S551" s="7">
        <v>0.22800000000000001</v>
      </c>
      <c r="T551" s="7">
        <v>0.21299999999999999</v>
      </c>
      <c r="U551" s="7">
        <v>0.13200000000000001</v>
      </c>
      <c r="V551" s="7">
        <v>4.1000000000000002E-2</v>
      </c>
      <c r="W551" s="7">
        <v>2.3E-2</v>
      </c>
      <c r="X551" s="7">
        <v>5.8999999999999997E-2</v>
      </c>
      <c r="Y551" s="11">
        <v>0</v>
      </c>
      <c r="Z551" s="11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0</v>
      </c>
      <c r="AR551" s="9">
        <v>0</v>
      </c>
      <c r="AS551" s="9">
        <v>0</v>
      </c>
      <c r="AT551" s="9">
        <v>0</v>
      </c>
    </row>
    <row r="552" spans="1:46" x14ac:dyDescent="0.25">
      <c r="A552" s="4" t="s">
        <v>206</v>
      </c>
      <c r="B552" s="4" t="s">
        <v>207</v>
      </c>
      <c r="C552" s="4" t="s">
        <v>246</v>
      </c>
      <c r="D552" s="4" t="s">
        <v>254</v>
      </c>
      <c r="E552" s="4" t="s">
        <v>255</v>
      </c>
      <c r="F552" s="4" t="s">
        <v>203</v>
      </c>
      <c r="G552" s="4" t="s">
        <v>140</v>
      </c>
      <c r="H552" s="4" t="s">
        <v>251</v>
      </c>
      <c r="I552" s="7">
        <v>5.0717100000000001E-2</v>
      </c>
      <c r="J552" s="7">
        <v>6.0841600000000003E-2</v>
      </c>
      <c r="K552" s="7">
        <v>6.0827199999999998E-2</v>
      </c>
      <c r="L552" s="7">
        <v>6.0671500000000003E-2</v>
      </c>
      <c r="M552" s="7">
        <v>5.0519000000000001E-2</v>
      </c>
      <c r="N552" s="7">
        <v>5.0510100000000002E-2</v>
      </c>
      <c r="O552" s="7">
        <v>5.0511E-2</v>
      </c>
      <c r="P552" s="7">
        <v>5.0514400000000001E-2</v>
      </c>
      <c r="Q552" s="7">
        <v>5.0599199999999997E-2</v>
      </c>
      <c r="R552" s="7">
        <v>5.0594500000000001E-2</v>
      </c>
      <c r="S552" s="7">
        <v>5.0588399999999999E-2</v>
      </c>
      <c r="T552" s="7">
        <v>5.0577799999999999E-2</v>
      </c>
      <c r="U552" s="7">
        <v>5.0576200000000002E-2</v>
      </c>
      <c r="V552" s="7">
        <v>5.0568000000000002E-2</v>
      </c>
      <c r="W552" s="7">
        <v>5.0562200000000002E-2</v>
      </c>
      <c r="X552" s="7">
        <v>4.8355099999999998E-2</v>
      </c>
      <c r="Y552" s="7">
        <v>0</v>
      </c>
      <c r="Z552" s="7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0</v>
      </c>
    </row>
    <row r="553" spans="1:46" x14ac:dyDescent="0.25">
      <c r="A553" s="4" t="s">
        <v>206</v>
      </c>
      <c r="B553" s="4" t="s">
        <v>207</v>
      </c>
      <c r="C553" s="4" t="s">
        <v>246</v>
      </c>
      <c r="D553" s="4" t="s">
        <v>254</v>
      </c>
      <c r="E553" s="4" t="s">
        <v>255</v>
      </c>
      <c r="F553" s="4" t="s">
        <v>203</v>
      </c>
      <c r="G553" s="4" t="s">
        <v>140</v>
      </c>
      <c r="H553" s="4" t="s">
        <v>252</v>
      </c>
      <c r="I553" s="16">
        <v>4.0000000000000001E-3</v>
      </c>
      <c r="J553" s="16">
        <v>5.0000000000000001E-3</v>
      </c>
      <c r="K553" s="16">
        <v>5.0000000000000001E-3</v>
      </c>
      <c r="L553" s="16">
        <v>4.0000000000000001E-3</v>
      </c>
      <c r="M553" s="16">
        <v>4.0000000000000001E-3</v>
      </c>
      <c r="N553" s="16">
        <v>4.0000000000000001E-3</v>
      </c>
      <c r="O553" s="16">
        <v>4.0000000000000001E-3</v>
      </c>
      <c r="P553" s="16">
        <v>3.0000000000000001E-3</v>
      </c>
      <c r="Q553" s="16">
        <v>3.0000000000000001E-3</v>
      </c>
      <c r="R553" s="16">
        <v>3.0000000000000001E-3</v>
      </c>
      <c r="S553" s="16">
        <v>4.0000000000000001E-3</v>
      </c>
      <c r="T553" s="16">
        <v>3.0000000000000001E-3</v>
      </c>
      <c r="U553" s="16">
        <v>3.0000000000000001E-3</v>
      </c>
      <c r="V553" s="16">
        <v>3.0000000000000001E-3</v>
      </c>
      <c r="W553" s="16">
        <v>3.0000000000000001E-3</v>
      </c>
      <c r="X553" s="17">
        <v>0</v>
      </c>
      <c r="Y553" s="17">
        <v>0</v>
      </c>
      <c r="Z553" s="17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9">
        <v>0</v>
      </c>
      <c r="AN553" s="9">
        <v>0</v>
      </c>
      <c r="AO553" s="9">
        <v>0</v>
      </c>
      <c r="AP553" s="9">
        <v>0</v>
      </c>
      <c r="AQ553" s="9">
        <v>0</v>
      </c>
      <c r="AR553" s="9">
        <v>0</v>
      </c>
      <c r="AS553" s="9">
        <v>0</v>
      </c>
      <c r="AT553" s="9">
        <v>0</v>
      </c>
    </row>
    <row r="554" spans="1:46" x14ac:dyDescent="0.25">
      <c r="A554" s="4" t="s">
        <v>206</v>
      </c>
      <c r="B554" s="4" t="s">
        <v>207</v>
      </c>
      <c r="C554" s="4" t="s">
        <v>246</v>
      </c>
      <c r="D554" s="4" t="s">
        <v>254</v>
      </c>
      <c r="E554" s="4" t="s">
        <v>255</v>
      </c>
      <c r="F554" s="4" t="s">
        <v>195</v>
      </c>
      <c r="G554" s="4" t="s">
        <v>93</v>
      </c>
      <c r="H554" s="4" t="s">
        <v>151</v>
      </c>
      <c r="I554" s="5">
        <v>10879.130999999999</v>
      </c>
      <c r="J554" s="5">
        <v>13855.549000000001</v>
      </c>
      <c r="K554" s="5">
        <v>23605.735000000001</v>
      </c>
      <c r="L554" s="5">
        <v>29970.819</v>
      </c>
      <c r="M554" s="5">
        <v>39798.372000000003</v>
      </c>
      <c r="N554" s="5">
        <v>32669.437000000002</v>
      </c>
      <c r="O554" s="5">
        <v>27603.741999999998</v>
      </c>
      <c r="P554" s="5">
        <v>18311.182000000001</v>
      </c>
      <c r="Q554" s="5">
        <v>13857.73</v>
      </c>
      <c r="R554" s="5">
        <v>8959.3629999999994</v>
      </c>
      <c r="S554" s="5">
        <v>7655.8</v>
      </c>
      <c r="T554" s="5">
        <v>7224.8789999999999</v>
      </c>
      <c r="U554" s="5">
        <v>8254.0930000000008</v>
      </c>
      <c r="V554" s="5">
        <v>11482.268</v>
      </c>
      <c r="W554" s="5">
        <v>17285.191999999999</v>
      </c>
      <c r="X554" s="5">
        <v>25384.14</v>
      </c>
      <c r="Y554" s="5">
        <v>24524.448</v>
      </c>
      <c r="Z554" s="5">
        <v>21548.187000000002</v>
      </c>
      <c r="AA554" s="5">
        <v>23657.013999999999</v>
      </c>
      <c r="AB554" s="5">
        <v>17067.287</v>
      </c>
      <c r="AC554" s="5">
        <v>12709.885</v>
      </c>
      <c r="AD554" s="5">
        <v>9581.68</v>
      </c>
      <c r="AE554" s="5">
        <v>7739.027</v>
      </c>
      <c r="AF554" s="5">
        <v>7353.5450000000001</v>
      </c>
      <c r="AG554" s="5">
        <v>8283.3700000000008</v>
      </c>
      <c r="AH554" s="5">
        <v>10286.959000000001</v>
      </c>
      <c r="AI554" s="5">
        <v>15498.494000000001</v>
      </c>
      <c r="AJ554" s="5">
        <v>20362.458999999999</v>
      </c>
      <c r="AK554" s="5">
        <v>23644.834999999999</v>
      </c>
      <c r="AL554" s="5">
        <v>24403.981</v>
      </c>
      <c r="AM554" s="5">
        <v>25847.911</v>
      </c>
      <c r="AN554" s="5">
        <v>19763.955999999998</v>
      </c>
      <c r="AO554" s="5">
        <v>13420.897000000001</v>
      </c>
      <c r="AP554" s="5">
        <v>11819.477000000001</v>
      </c>
      <c r="AQ554" s="5">
        <v>9848.3439999999991</v>
      </c>
      <c r="AR554" s="5">
        <v>6536.4340000000002</v>
      </c>
      <c r="AS554" s="5">
        <v>5114.7849999999999</v>
      </c>
      <c r="AT554" s="5">
        <v>5114.7849999999999</v>
      </c>
    </row>
    <row r="555" spans="1:46" x14ac:dyDescent="0.25">
      <c r="A555" s="4" t="s">
        <v>206</v>
      </c>
      <c r="B555" s="4" t="s">
        <v>207</v>
      </c>
      <c r="C555" s="4" t="s">
        <v>246</v>
      </c>
      <c r="D555" s="4" t="s">
        <v>254</v>
      </c>
      <c r="E555" s="4" t="s">
        <v>255</v>
      </c>
      <c r="F555" s="4" t="s">
        <v>195</v>
      </c>
      <c r="G555" s="4" t="s">
        <v>93</v>
      </c>
      <c r="H555" s="4" t="s">
        <v>205</v>
      </c>
      <c r="I555" s="6">
        <v>2203864.656</v>
      </c>
      <c r="J555" s="6">
        <v>2826808.8760000002</v>
      </c>
      <c r="K555" s="6">
        <v>4770834.2189999996</v>
      </c>
      <c r="L555" s="6">
        <v>6019199.0109999999</v>
      </c>
      <c r="M555" s="6">
        <v>8203901.8540000003</v>
      </c>
      <c r="N555" s="6">
        <v>6729742.8559999997</v>
      </c>
      <c r="O555" s="6">
        <v>5447986.7609999999</v>
      </c>
      <c r="P555" s="6">
        <v>3653016.5430000001</v>
      </c>
      <c r="Q555" s="6">
        <v>2792763.2289999998</v>
      </c>
      <c r="R555" s="6">
        <v>1806753.236</v>
      </c>
      <c r="S555" s="6">
        <v>1506373.4269999999</v>
      </c>
      <c r="T555" s="6">
        <v>1460034.9720000001</v>
      </c>
      <c r="U555" s="6">
        <v>1655480.3330000001</v>
      </c>
      <c r="V555" s="6">
        <v>2282804.452</v>
      </c>
      <c r="W555" s="6">
        <v>3372244.4619999998</v>
      </c>
      <c r="X555" s="6">
        <v>4811048.84</v>
      </c>
      <c r="Y555" s="6">
        <v>4946896.1430000002</v>
      </c>
      <c r="Z555" s="6">
        <v>4403720.1150000002</v>
      </c>
      <c r="AA555" s="6">
        <v>4889568.0669999998</v>
      </c>
      <c r="AB555" s="6">
        <v>3402334.5950000002</v>
      </c>
      <c r="AC555" s="6">
        <v>2554078.9819999998</v>
      </c>
      <c r="AD555" s="6">
        <v>1983771.97</v>
      </c>
      <c r="AE555" s="6">
        <v>1582536.7309999999</v>
      </c>
      <c r="AF555" s="6">
        <v>1487957.0360000001</v>
      </c>
      <c r="AG555" s="6">
        <v>1790146.7760000001</v>
      </c>
      <c r="AH555" s="6">
        <v>2210025.335</v>
      </c>
      <c r="AI555" s="6">
        <v>3255865.6949999998</v>
      </c>
      <c r="AJ555" s="6">
        <v>4373228.4009999996</v>
      </c>
      <c r="AK555" s="6">
        <v>5093333.2290000003</v>
      </c>
      <c r="AL555" s="6">
        <v>5108513.091</v>
      </c>
      <c r="AM555" s="6">
        <v>5427391.568</v>
      </c>
      <c r="AN555" s="6">
        <v>4282281.3899999997</v>
      </c>
      <c r="AO555" s="6">
        <v>2887381.53</v>
      </c>
      <c r="AP555" s="6">
        <v>2544860.7340000002</v>
      </c>
      <c r="AQ555" s="6">
        <v>2124715.503</v>
      </c>
      <c r="AR555" s="6">
        <v>1391868.5660000001</v>
      </c>
      <c r="AS555" s="6">
        <v>1119768.7990000001</v>
      </c>
      <c r="AT555" s="6">
        <v>1119768.7990000001</v>
      </c>
    </row>
    <row r="556" spans="1:46" x14ac:dyDescent="0.25">
      <c r="A556" s="4" t="s">
        <v>206</v>
      </c>
      <c r="B556" s="4" t="s">
        <v>207</v>
      </c>
      <c r="C556" s="4" t="s">
        <v>246</v>
      </c>
      <c r="D556" s="4" t="s">
        <v>254</v>
      </c>
      <c r="E556" s="4" t="s">
        <v>255</v>
      </c>
      <c r="F556" s="4" t="s">
        <v>195</v>
      </c>
      <c r="G556" s="4" t="s">
        <v>93</v>
      </c>
      <c r="H556" s="4" t="s">
        <v>249</v>
      </c>
      <c r="I556" s="7">
        <v>5.9870000000000001</v>
      </c>
      <c r="J556" s="7">
        <v>5.2830000000000004</v>
      </c>
      <c r="K556" s="7">
        <v>6.4370000000000003</v>
      </c>
      <c r="L556" s="7">
        <v>6.274</v>
      </c>
      <c r="M556" s="7">
        <v>6.2480000000000002</v>
      </c>
      <c r="N556" s="7">
        <v>5.2249999999999996</v>
      </c>
      <c r="O556" s="7">
        <v>4.9640000000000004</v>
      </c>
      <c r="P556" s="7">
        <v>4.6079999999999997</v>
      </c>
      <c r="Q556" s="7">
        <v>5.0890000000000004</v>
      </c>
      <c r="R556" s="7">
        <v>5.0730000000000004</v>
      </c>
      <c r="S556" s="7">
        <v>5.1760000000000002</v>
      </c>
      <c r="T556" s="7">
        <v>5.0839999999999996</v>
      </c>
      <c r="U556" s="7">
        <v>5.1280000000000001</v>
      </c>
      <c r="V556" s="7">
        <v>5.3040000000000003</v>
      </c>
      <c r="W556" s="7">
        <v>5.1689999999999996</v>
      </c>
      <c r="X556" s="7">
        <v>5.3739999999999997</v>
      </c>
      <c r="Y556" s="7">
        <v>4.4560000000000004</v>
      </c>
      <c r="Z556" s="7">
        <v>4.1740000000000004</v>
      </c>
      <c r="AA556" s="7">
        <v>4.3970000000000002</v>
      </c>
      <c r="AB556" s="7">
        <v>4.1769999999999996</v>
      </c>
      <c r="AC556" s="7">
        <v>4.0330000000000004</v>
      </c>
      <c r="AD556" s="7">
        <v>4.0960000000000001</v>
      </c>
      <c r="AE556" s="7">
        <v>4.18</v>
      </c>
      <c r="AF556" s="7">
        <v>4.4320000000000004</v>
      </c>
      <c r="AG556" s="7">
        <v>4.6920000000000002</v>
      </c>
      <c r="AH556" s="7">
        <v>4.4009999999999998</v>
      </c>
      <c r="AI556" s="7">
        <v>4.9130000000000003</v>
      </c>
      <c r="AJ556" s="7">
        <v>4.3159999999999998</v>
      </c>
      <c r="AK556" s="7">
        <v>3.927</v>
      </c>
      <c r="AL556" s="7">
        <v>4.1289999999999996</v>
      </c>
      <c r="AM556" s="7">
        <v>3.7669999999999999</v>
      </c>
      <c r="AN556" s="7">
        <v>2.9380000000000002</v>
      </c>
      <c r="AO556" s="7">
        <v>3.09</v>
      </c>
      <c r="AP556" s="7">
        <v>3.7890000000000001</v>
      </c>
      <c r="AQ556" s="7">
        <v>4.2569999999999997</v>
      </c>
      <c r="AR556" s="7">
        <v>4.0650000000000004</v>
      </c>
      <c r="AS556" s="7">
        <v>3.8420000000000001</v>
      </c>
      <c r="AT556" s="7">
        <v>0.57999999999999996</v>
      </c>
    </row>
    <row r="557" spans="1:46" x14ac:dyDescent="0.25">
      <c r="A557" s="4" t="s">
        <v>206</v>
      </c>
      <c r="B557" s="4" t="s">
        <v>207</v>
      </c>
      <c r="C557" s="4" t="s">
        <v>246</v>
      </c>
      <c r="D557" s="4" t="s">
        <v>254</v>
      </c>
      <c r="E557" s="4" t="s">
        <v>255</v>
      </c>
      <c r="F557" s="4" t="s">
        <v>195</v>
      </c>
      <c r="G557" s="4" t="s">
        <v>93</v>
      </c>
      <c r="H557" s="4" t="s">
        <v>250</v>
      </c>
      <c r="I557" s="7">
        <v>65.873000000000005</v>
      </c>
      <c r="J557" s="7">
        <v>69.781999999999996</v>
      </c>
      <c r="K557" s="7">
        <v>74.686999999999998</v>
      </c>
      <c r="L557" s="7">
        <v>73.603999999999999</v>
      </c>
      <c r="M557" s="7">
        <v>77.245000000000005</v>
      </c>
      <c r="N557" s="7">
        <v>74.296999999999997</v>
      </c>
      <c r="O557" s="7">
        <v>72.057000000000002</v>
      </c>
      <c r="P557" s="7">
        <v>65.941000000000003</v>
      </c>
      <c r="Q557" s="7">
        <v>61.587000000000003</v>
      </c>
      <c r="R557" s="7">
        <v>55.811999999999998</v>
      </c>
      <c r="S557" s="7">
        <v>53.036000000000001</v>
      </c>
      <c r="T557" s="7">
        <v>53.893000000000001</v>
      </c>
      <c r="U557" s="7">
        <v>59.192</v>
      </c>
      <c r="V557" s="7">
        <v>65.173000000000002</v>
      </c>
      <c r="W557" s="7">
        <v>72.918000000000006</v>
      </c>
      <c r="X557" s="7">
        <v>75.206999999999994</v>
      </c>
      <c r="Y557" s="7">
        <v>73.843999999999994</v>
      </c>
      <c r="Z557" s="7">
        <v>73.364999999999995</v>
      </c>
      <c r="AA557" s="7">
        <v>71.412000000000006</v>
      </c>
      <c r="AB557" s="7">
        <v>66.492999999999995</v>
      </c>
      <c r="AC557" s="7">
        <v>61.087000000000003</v>
      </c>
      <c r="AD557" s="7">
        <v>55.052999999999997</v>
      </c>
      <c r="AE557" s="7">
        <v>50.640999999999998</v>
      </c>
      <c r="AF557" s="7">
        <v>48.164000000000001</v>
      </c>
      <c r="AG557" s="7">
        <v>50.040999999999997</v>
      </c>
      <c r="AH557" s="7">
        <v>63.118000000000002</v>
      </c>
      <c r="AI557" s="7">
        <v>70.373999999999995</v>
      </c>
      <c r="AJ557" s="7">
        <v>73.400999999999996</v>
      </c>
      <c r="AK557" s="7">
        <v>75.599999999999994</v>
      </c>
      <c r="AL557" s="7">
        <v>71.012</v>
      </c>
      <c r="AM557" s="7">
        <v>70.191000000000003</v>
      </c>
      <c r="AN557" s="7">
        <v>70.061000000000007</v>
      </c>
      <c r="AO557" s="7">
        <v>58.933999999999997</v>
      </c>
      <c r="AP557" s="7">
        <v>53.86</v>
      </c>
      <c r="AQ557" s="7">
        <v>52.201000000000001</v>
      </c>
      <c r="AR557" s="7">
        <v>51.197000000000003</v>
      </c>
      <c r="AS557" s="7">
        <v>58.207000000000001</v>
      </c>
      <c r="AT557" s="5">
        <v>10943.263999999999</v>
      </c>
    </row>
    <row r="558" spans="1:46" x14ac:dyDescent="0.25">
      <c r="A558" s="4" t="s">
        <v>206</v>
      </c>
      <c r="B558" s="4" t="s">
        <v>207</v>
      </c>
      <c r="C558" s="4" t="s">
        <v>246</v>
      </c>
      <c r="D558" s="4" t="s">
        <v>254</v>
      </c>
      <c r="E558" s="4" t="s">
        <v>255</v>
      </c>
      <c r="F558" s="4" t="s">
        <v>195</v>
      </c>
      <c r="G558" s="4" t="s">
        <v>93</v>
      </c>
      <c r="H558" s="4" t="s">
        <v>251</v>
      </c>
      <c r="I558" s="7">
        <v>16.988204499999998</v>
      </c>
      <c r="J558" s="7">
        <v>16.357703999999998</v>
      </c>
      <c r="K558" s="7">
        <v>17.631190799999999</v>
      </c>
      <c r="L558" s="7">
        <v>17.221020899999999</v>
      </c>
      <c r="M558" s="7">
        <v>16.828056700000001</v>
      </c>
      <c r="N558" s="7">
        <v>18.053750000000001</v>
      </c>
      <c r="O558" s="7">
        <v>17.346933199999999</v>
      </c>
      <c r="P558" s="7">
        <v>18.057770099999999</v>
      </c>
      <c r="Q558" s="7">
        <v>17.922814599999999</v>
      </c>
      <c r="R558" s="7">
        <v>17.456673500000001</v>
      </c>
      <c r="S558" s="7">
        <v>15.521378199999999</v>
      </c>
      <c r="T558" s="7">
        <v>14.907924400000001</v>
      </c>
      <c r="U558" s="7">
        <v>14.490130000000001</v>
      </c>
      <c r="V558" s="7">
        <v>15.192232000000001</v>
      </c>
      <c r="W558" s="7">
        <v>15.8871029</v>
      </c>
      <c r="X558" s="7">
        <v>17.9276622</v>
      </c>
      <c r="Y558" s="7">
        <v>16.393407700000001</v>
      </c>
      <c r="Z558" s="7">
        <v>15.214361800000001</v>
      </c>
      <c r="AA558" s="7">
        <v>15.7564844</v>
      </c>
      <c r="AB558" s="7">
        <v>14.563459399999999</v>
      </c>
      <c r="AC558" s="7">
        <v>14.4971532</v>
      </c>
      <c r="AD558" s="7">
        <v>14.1052807</v>
      </c>
      <c r="AE558" s="7">
        <v>13.5850291</v>
      </c>
      <c r="AF558" s="7">
        <v>13.249565799999999</v>
      </c>
      <c r="AG558" s="7">
        <v>13.6175497</v>
      </c>
      <c r="AH558" s="7">
        <v>15.175415900000001</v>
      </c>
      <c r="AI558" s="7">
        <v>16.741336199999999</v>
      </c>
      <c r="AJ558" s="7">
        <v>17.1753134</v>
      </c>
      <c r="AK558" s="7">
        <v>18.271820399999999</v>
      </c>
      <c r="AL558" s="7">
        <v>17.7855433</v>
      </c>
      <c r="AM558" s="7">
        <v>18.729715500000001</v>
      </c>
      <c r="AN558" s="7">
        <v>18.670377599999998</v>
      </c>
      <c r="AO558" s="7">
        <v>16.979100299999999</v>
      </c>
      <c r="AP558" s="7">
        <v>16.0598323</v>
      </c>
      <c r="AQ558" s="7">
        <v>16.725201800000001</v>
      </c>
      <c r="AR558" s="7">
        <v>15.6448894</v>
      </c>
      <c r="AS558" s="7">
        <v>15.850050400000001</v>
      </c>
      <c r="AT558" s="7">
        <v>58.207000000000001</v>
      </c>
    </row>
    <row r="559" spans="1:46" x14ac:dyDescent="0.25">
      <c r="A559" s="4" t="s">
        <v>206</v>
      </c>
      <c r="B559" s="4" t="s">
        <v>207</v>
      </c>
      <c r="C559" s="4" t="s">
        <v>246</v>
      </c>
      <c r="D559" s="4" t="s">
        <v>254</v>
      </c>
      <c r="E559" s="4" t="s">
        <v>255</v>
      </c>
      <c r="F559" s="4" t="s">
        <v>195</v>
      </c>
      <c r="G559" s="4" t="s">
        <v>93</v>
      </c>
      <c r="H559" s="4" t="s">
        <v>252</v>
      </c>
      <c r="I559" s="16">
        <v>2.8889999999999998</v>
      </c>
      <c r="J559" s="16">
        <v>2.883</v>
      </c>
      <c r="K559" s="16">
        <v>2.645</v>
      </c>
      <c r="L559" s="16">
        <v>2.61</v>
      </c>
      <c r="M559" s="16">
        <v>2.2360000000000002</v>
      </c>
      <c r="N559" s="16">
        <v>2.4980000000000002</v>
      </c>
      <c r="O559" s="16">
        <v>2.3079999999999998</v>
      </c>
      <c r="P559" s="16">
        <v>2.319</v>
      </c>
      <c r="Q559" s="16">
        <v>2.3359999999999999</v>
      </c>
      <c r="R559" s="16">
        <v>2.2370000000000001</v>
      </c>
      <c r="S559" s="16">
        <v>2.0369999999999999</v>
      </c>
      <c r="T559" s="16">
        <v>2.1739999999999999</v>
      </c>
      <c r="U559" s="16">
        <v>2.4750000000000001</v>
      </c>
      <c r="V559" s="16">
        <v>2.4830000000000001</v>
      </c>
      <c r="W559" s="16">
        <v>2.7309999999999999</v>
      </c>
      <c r="X559" s="16">
        <v>2.1139999999999999</v>
      </c>
      <c r="Y559" s="16">
        <v>1.7669999999999999</v>
      </c>
      <c r="Z559" s="16">
        <v>1.73</v>
      </c>
      <c r="AA559" s="16">
        <v>2.0699999999999998</v>
      </c>
      <c r="AB559" s="16">
        <v>1.96</v>
      </c>
      <c r="AC559" s="16">
        <v>2.0230000000000001</v>
      </c>
      <c r="AD559" s="16">
        <v>2.0310000000000001</v>
      </c>
      <c r="AE559" s="16">
        <v>2.09</v>
      </c>
      <c r="AF559" s="16">
        <v>2.0870000000000002</v>
      </c>
      <c r="AG559" s="16">
        <v>2.242</v>
      </c>
      <c r="AH559" s="16">
        <v>2.589</v>
      </c>
      <c r="AI559" s="16">
        <v>2.6970000000000001</v>
      </c>
      <c r="AJ559" s="16">
        <v>2.258</v>
      </c>
      <c r="AK559" s="16">
        <v>2.5070000000000001</v>
      </c>
      <c r="AL559" s="16">
        <v>1.9570000000000001</v>
      </c>
      <c r="AM559" s="16">
        <v>2.1120000000000001</v>
      </c>
      <c r="AN559" s="16">
        <v>2.214</v>
      </c>
      <c r="AO559" s="16">
        <v>2.157</v>
      </c>
      <c r="AP559" s="16">
        <v>2.3919999999999999</v>
      </c>
      <c r="AQ559" s="16">
        <v>2.129</v>
      </c>
      <c r="AR559" s="16">
        <v>2.1539999999999999</v>
      </c>
      <c r="AS559" s="16">
        <v>2.12</v>
      </c>
      <c r="AT559" s="7">
        <v>15.850050400000001</v>
      </c>
    </row>
    <row r="560" spans="1:46" x14ac:dyDescent="0.25">
      <c r="A560" s="4" t="s">
        <v>206</v>
      </c>
      <c r="B560" s="4" t="s">
        <v>207</v>
      </c>
      <c r="C560" s="4" t="s">
        <v>246</v>
      </c>
      <c r="D560" s="4" t="s">
        <v>254</v>
      </c>
      <c r="E560" s="4" t="s">
        <v>255</v>
      </c>
      <c r="F560" s="4" t="s">
        <v>195</v>
      </c>
      <c r="G560" s="4" t="s">
        <v>138</v>
      </c>
      <c r="H560" s="4" t="s">
        <v>151</v>
      </c>
      <c r="I560" s="5">
        <v>735.90099999999995</v>
      </c>
      <c r="J560" s="5">
        <v>1161.7260000000001</v>
      </c>
      <c r="K560" s="5">
        <v>2318.4279999999999</v>
      </c>
      <c r="L560" s="5">
        <v>3669.1729999999998</v>
      </c>
      <c r="M560" s="5">
        <v>4607.2439999999997</v>
      </c>
      <c r="N560" s="5">
        <v>2958.9349999999999</v>
      </c>
      <c r="O560" s="5">
        <v>2938.4229999999998</v>
      </c>
      <c r="P560" s="5">
        <v>2253.9110000000001</v>
      </c>
      <c r="Q560" s="5">
        <v>1392.596</v>
      </c>
      <c r="R560" s="5">
        <v>970.61</v>
      </c>
      <c r="S560" s="5">
        <v>697.26300000000003</v>
      </c>
      <c r="T560" s="5">
        <v>714.69899999999996</v>
      </c>
      <c r="U560" s="5">
        <v>777.86099999999999</v>
      </c>
      <c r="V560" s="5">
        <v>1249.162</v>
      </c>
      <c r="W560" s="5">
        <v>1846.925</v>
      </c>
      <c r="X560" s="5">
        <v>2780.2759999999998</v>
      </c>
      <c r="Y560" s="5">
        <v>2628.116</v>
      </c>
      <c r="Z560" s="5">
        <v>2248.067</v>
      </c>
      <c r="AA560" s="5">
        <v>2413.67</v>
      </c>
      <c r="AB560" s="5">
        <v>1482.357</v>
      </c>
      <c r="AC560" s="5">
        <v>914.55100000000004</v>
      </c>
      <c r="AD560" s="5">
        <v>730.29399999999998</v>
      </c>
      <c r="AE560" s="5">
        <v>702.92</v>
      </c>
      <c r="AF560" s="5">
        <v>474.98399999999998</v>
      </c>
      <c r="AG560" s="5">
        <v>585.70299999999997</v>
      </c>
      <c r="AH560" s="5">
        <v>1275.3009999999999</v>
      </c>
      <c r="AI560" s="5">
        <v>1439.309</v>
      </c>
      <c r="AJ560" s="5">
        <v>2584.9679999999998</v>
      </c>
      <c r="AK560" s="5">
        <v>2622.8760000000002</v>
      </c>
      <c r="AL560" s="5">
        <v>2226.12</v>
      </c>
      <c r="AM560" s="5">
        <v>2432.2930000000001</v>
      </c>
      <c r="AN560" s="5">
        <v>1784.2260000000001</v>
      </c>
      <c r="AO560" s="5">
        <v>1026.5429999999999</v>
      </c>
      <c r="AP560" s="5">
        <v>697.57</v>
      </c>
      <c r="AQ560" s="5">
        <v>806.10299999999995</v>
      </c>
      <c r="AR560" s="5">
        <v>622.80799999999999</v>
      </c>
      <c r="AS560" s="5">
        <v>647.06600000000003</v>
      </c>
      <c r="AT560" s="5">
        <v>647.06600000000003</v>
      </c>
    </row>
    <row r="561" spans="1:46" x14ac:dyDescent="0.25">
      <c r="A561" s="4" t="s">
        <v>206</v>
      </c>
      <c r="B561" s="4" t="s">
        <v>207</v>
      </c>
      <c r="C561" s="4" t="s">
        <v>246</v>
      </c>
      <c r="D561" s="4" t="s">
        <v>254</v>
      </c>
      <c r="E561" s="4" t="s">
        <v>255</v>
      </c>
      <c r="F561" s="4" t="s">
        <v>195</v>
      </c>
      <c r="G561" s="4" t="s">
        <v>138</v>
      </c>
      <c r="H561" s="4" t="s">
        <v>205</v>
      </c>
      <c r="I561" s="6">
        <v>228668.97500000001</v>
      </c>
      <c r="J561" s="6">
        <v>364070.51799999998</v>
      </c>
      <c r="K561" s="6">
        <v>697549.16299999994</v>
      </c>
      <c r="L561" s="6">
        <v>1036004.871</v>
      </c>
      <c r="M561" s="6">
        <v>1345985.375</v>
      </c>
      <c r="N561" s="6">
        <v>899489.28799999994</v>
      </c>
      <c r="O561" s="6">
        <v>891160.40399999998</v>
      </c>
      <c r="P561" s="6">
        <v>669209.20799999998</v>
      </c>
      <c r="Q561" s="6">
        <v>435706.28600000002</v>
      </c>
      <c r="R561" s="6">
        <v>302800.12400000001</v>
      </c>
      <c r="S561" s="6">
        <v>215028.19699999999</v>
      </c>
      <c r="T561" s="6">
        <v>225573.03700000001</v>
      </c>
      <c r="U561" s="6">
        <v>240943.76800000001</v>
      </c>
      <c r="V561" s="6">
        <v>403334.98499999999</v>
      </c>
      <c r="W561" s="6">
        <v>589200.32200000004</v>
      </c>
      <c r="X561" s="6">
        <v>904750.23600000003</v>
      </c>
      <c r="Y561" s="6">
        <v>853923.598</v>
      </c>
      <c r="Z561" s="6">
        <v>787808.09600000002</v>
      </c>
      <c r="AA561" s="6">
        <v>845869.57</v>
      </c>
      <c r="AB561" s="6">
        <v>529231.93799999997</v>
      </c>
      <c r="AC561" s="6">
        <v>324473.17800000001</v>
      </c>
      <c r="AD561" s="6">
        <v>251091.59099999999</v>
      </c>
      <c r="AE561" s="6">
        <v>238704.06</v>
      </c>
      <c r="AF561" s="6">
        <v>163883.63399999999</v>
      </c>
      <c r="AG561" s="6">
        <v>208797.258</v>
      </c>
      <c r="AH561" s="6">
        <v>495768.81599999999</v>
      </c>
      <c r="AI561" s="6">
        <v>562244.12899999996</v>
      </c>
      <c r="AJ561" s="6">
        <v>1004811.723</v>
      </c>
      <c r="AK561" s="6">
        <v>998252.89500000002</v>
      </c>
      <c r="AL561" s="6">
        <v>853185.27599999995</v>
      </c>
      <c r="AM561" s="6">
        <v>914518.74300000002</v>
      </c>
      <c r="AN561" s="6">
        <v>663848.72400000005</v>
      </c>
      <c r="AO561" s="6">
        <v>374505.989</v>
      </c>
      <c r="AP561" s="6">
        <v>249951.93599999999</v>
      </c>
      <c r="AQ561" s="6">
        <v>285336.45699999999</v>
      </c>
      <c r="AR561" s="6">
        <v>227380.571</v>
      </c>
      <c r="AS561" s="6">
        <v>238457.73699999999</v>
      </c>
      <c r="AT561" s="6">
        <v>238457.73699999999</v>
      </c>
    </row>
    <row r="562" spans="1:46" x14ac:dyDescent="0.25">
      <c r="A562" s="4" t="s">
        <v>206</v>
      </c>
      <c r="B562" s="4" t="s">
        <v>207</v>
      </c>
      <c r="C562" s="4" t="s">
        <v>246</v>
      </c>
      <c r="D562" s="4" t="s">
        <v>254</v>
      </c>
      <c r="E562" s="4" t="s">
        <v>255</v>
      </c>
      <c r="F562" s="4" t="s">
        <v>195</v>
      </c>
      <c r="G562" s="4" t="s">
        <v>138</v>
      </c>
      <c r="H562" s="4" t="s">
        <v>249</v>
      </c>
      <c r="I562" s="7">
        <v>1E-3</v>
      </c>
      <c r="J562" s="7">
        <v>1E-3</v>
      </c>
      <c r="K562" s="7">
        <v>2E-3</v>
      </c>
      <c r="L562" s="7">
        <v>2E-3</v>
      </c>
      <c r="M562" s="7">
        <v>2E-3</v>
      </c>
      <c r="N562" s="7">
        <v>1E-3</v>
      </c>
      <c r="O562" s="7">
        <v>1E-3</v>
      </c>
      <c r="P562" s="7">
        <v>2E-3</v>
      </c>
      <c r="Q562" s="7">
        <v>1E-3</v>
      </c>
      <c r="R562" s="7">
        <v>2E-3</v>
      </c>
      <c r="S562" s="7">
        <v>1E-3</v>
      </c>
      <c r="T562" s="7">
        <v>1E-3</v>
      </c>
      <c r="U562" s="7">
        <v>1E-3</v>
      </c>
      <c r="V562" s="7">
        <v>2E-3</v>
      </c>
      <c r="W562" s="7">
        <v>2E-3</v>
      </c>
      <c r="X562" s="7">
        <v>2E-3</v>
      </c>
      <c r="Y562" s="7">
        <v>1E-3</v>
      </c>
      <c r="Z562" s="7">
        <v>1E-3</v>
      </c>
      <c r="AA562" s="7">
        <v>1E-3</v>
      </c>
      <c r="AB562" s="7">
        <v>1E-3</v>
      </c>
      <c r="AC562" s="7">
        <v>1E-3</v>
      </c>
      <c r="AD562" s="7">
        <v>1E-3</v>
      </c>
      <c r="AE562" s="7">
        <v>1E-3</v>
      </c>
      <c r="AF562" s="7">
        <v>1E-3</v>
      </c>
      <c r="AG562" s="7">
        <v>1E-3</v>
      </c>
      <c r="AH562" s="7">
        <v>2E-3</v>
      </c>
      <c r="AI562" s="7">
        <v>1E-3</v>
      </c>
      <c r="AJ562" s="7">
        <v>2E-3</v>
      </c>
      <c r="AK562" s="7">
        <v>1E-3</v>
      </c>
      <c r="AL562" s="7">
        <v>1E-3</v>
      </c>
      <c r="AM562" s="7">
        <v>1E-3</v>
      </c>
      <c r="AN562" s="7">
        <v>1E-3</v>
      </c>
      <c r="AO562" s="7">
        <v>1E-3</v>
      </c>
      <c r="AP562" s="7">
        <v>1E-3</v>
      </c>
      <c r="AQ562" s="7">
        <v>1E-3</v>
      </c>
      <c r="AR562" s="7">
        <v>1E-3</v>
      </c>
      <c r="AS562" s="7">
        <v>1E-3</v>
      </c>
      <c r="AT562" s="7">
        <v>7.2999999999999995E-2</v>
      </c>
    </row>
    <row r="563" spans="1:46" x14ac:dyDescent="0.25">
      <c r="A563" s="4" t="s">
        <v>206</v>
      </c>
      <c r="B563" s="4" t="s">
        <v>207</v>
      </c>
      <c r="C563" s="4" t="s">
        <v>246</v>
      </c>
      <c r="D563" s="4" t="s">
        <v>254</v>
      </c>
      <c r="E563" s="4" t="s">
        <v>255</v>
      </c>
      <c r="F563" s="4" t="s">
        <v>195</v>
      </c>
      <c r="G563" s="4" t="s">
        <v>138</v>
      </c>
      <c r="H563" s="4" t="s">
        <v>250</v>
      </c>
      <c r="I563" s="7">
        <v>31.73</v>
      </c>
      <c r="J563" s="7">
        <v>42.354999999999997</v>
      </c>
      <c r="K563" s="7">
        <v>51.279000000000003</v>
      </c>
      <c r="L563" s="7">
        <v>50.533000000000001</v>
      </c>
      <c r="M563" s="7">
        <v>55.926000000000002</v>
      </c>
      <c r="N563" s="7">
        <v>51.539000000000001</v>
      </c>
      <c r="O563" s="7">
        <v>50.5</v>
      </c>
      <c r="P563" s="7">
        <v>45.698</v>
      </c>
      <c r="Q563" s="7">
        <v>39.017000000000003</v>
      </c>
      <c r="R563" s="7">
        <v>27.975000000000001</v>
      </c>
      <c r="S563" s="7">
        <v>26.952999999999999</v>
      </c>
      <c r="T563" s="7">
        <v>27.071000000000002</v>
      </c>
      <c r="U563" s="7">
        <v>34.494999999999997</v>
      </c>
      <c r="V563" s="7">
        <v>43.552</v>
      </c>
      <c r="W563" s="7">
        <v>51.051000000000002</v>
      </c>
      <c r="X563" s="7">
        <v>55.235999999999997</v>
      </c>
      <c r="Y563" s="7">
        <v>53.334000000000003</v>
      </c>
      <c r="Z563" s="7">
        <v>51.725000000000001</v>
      </c>
      <c r="AA563" s="7">
        <v>49.25</v>
      </c>
      <c r="AB563" s="7">
        <v>43.73</v>
      </c>
      <c r="AC563" s="7">
        <v>34.378</v>
      </c>
      <c r="AD563" s="7">
        <v>29.384</v>
      </c>
      <c r="AE563" s="7">
        <v>26.917999999999999</v>
      </c>
      <c r="AF563" s="7">
        <v>26.15</v>
      </c>
      <c r="AG563" s="7">
        <v>27.221</v>
      </c>
      <c r="AH563" s="7">
        <v>40.185000000000002</v>
      </c>
      <c r="AI563" s="7">
        <v>45.491999999999997</v>
      </c>
      <c r="AJ563" s="7">
        <v>52.171999999999997</v>
      </c>
      <c r="AK563" s="7">
        <v>54.503999999999998</v>
      </c>
      <c r="AL563" s="7">
        <v>48.896000000000001</v>
      </c>
      <c r="AM563" s="7">
        <v>43.8</v>
      </c>
      <c r="AN563" s="7">
        <v>47.468000000000004</v>
      </c>
      <c r="AO563" s="7">
        <v>30.821999999999999</v>
      </c>
      <c r="AP563" s="7">
        <v>25.498000000000001</v>
      </c>
      <c r="AQ563" s="7">
        <v>21.215</v>
      </c>
      <c r="AR563" s="7">
        <v>21.747</v>
      </c>
      <c r="AS563" s="7">
        <v>27.658999999999999</v>
      </c>
      <c r="AT563" s="5">
        <v>1136.24</v>
      </c>
    </row>
    <row r="564" spans="1:46" x14ac:dyDescent="0.25">
      <c r="A564" s="4" t="s">
        <v>206</v>
      </c>
      <c r="B564" s="4" t="s">
        <v>207</v>
      </c>
      <c r="C564" s="4" t="s">
        <v>246</v>
      </c>
      <c r="D564" s="4" t="s">
        <v>254</v>
      </c>
      <c r="E564" s="4" t="s">
        <v>255</v>
      </c>
      <c r="F564" s="4" t="s">
        <v>195</v>
      </c>
      <c r="G564" s="4" t="s">
        <v>138</v>
      </c>
      <c r="H564" s="4" t="s">
        <v>251</v>
      </c>
      <c r="I564" s="7">
        <v>2.2208644999999998</v>
      </c>
      <c r="J564" s="7">
        <v>2.7748672999999999</v>
      </c>
      <c r="K564" s="7">
        <v>3.1470807000000001</v>
      </c>
      <c r="L564" s="7">
        <v>3.3762991000000002</v>
      </c>
      <c r="M564" s="7">
        <v>3.6691251</v>
      </c>
      <c r="N564" s="7">
        <v>3.7900396000000001</v>
      </c>
      <c r="O564" s="7">
        <v>4.1955293999999999</v>
      </c>
      <c r="P564" s="7">
        <v>4.6789771</v>
      </c>
      <c r="Q564" s="7">
        <v>4.3541274999999997</v>
      </c>
      <c r="R564" s="7">
        <v>3.6332361999999998</v>
      </c>
      <c r="S564" s="7">
        <v>3.7549359</v>
      </c>
      <c r="T564" s="7">
        <v>3.5826977000000002</v>
      </c>
      <c r="U564" s="7">
        <v>3.8735080000000002</v>
      </c>
      <c r="V564" s="7">
        <v>3.9945894000000002</v>
      </c>
      <c r="W564" s="7">
        <v>4.2489499000000004</v>
      </c>
      <c r="X564" s="7">
        <v>4.1170144999999998</v>
      </c>
      <c r="Y564" s="7">
        <v>3.6414149999999998</v>
      </c>
      <c r="Z564" s="7">
        <v>3.5738226000000002</v>
      </c>
      <c r="AA564" s="7">
        <v>3.8760072000000001</v>
      </c>
      <c r="AB564" s="7">
        <v>3.7763116000000001</v>
      </c>
      <c r="AC564" s="7">
        <v>3.9979524999999998</v>
      </c>
      <c r="AD564" s="7">
        <v>4.0406985999999998</v>
      </c>
      <c r="AE564" s="7">
        <v>4.0411960999999996</v>
      </c>
      <c r="AF564" s="7">
        <v>3.5935250999999999</v>
      </c>
      <c r="AG564" s="7">
        <v>3.4885608000000001</v>
      </c>
      <c r="AH564" s="7">
        <v>4.3041995000000002</v>
      </c>
      <c r="AI564" s="7">
        <v>4.2776452000000003</v>
      </c>
      <c r="AJ564" s="7">
        <v>3.8335051999999998</v>
      </c>
      <c r="AK564" s="7">
        <v>3.9375010000000001</v>
      </c>
      <c r="AL564" s="7">
        <v>3.8129599000000001</v>
      </c>
      <c r="AM564" s="7">
        <v>4.7258323999999998</v>
      </c>
      <c r="AN564" s="7">
        <v>5.0973071000000001</v>
      </c>
      <c r="AO564" s="7">
        <v>4.9498705999999997</v>
      </c>
      <c r="AP564" s="7">
        <v>4.2723104999999997</v>
      </c>
      <c r="AQ564" s="7">
        <v>4.2344176999999998</v>
      </c>
      <c r="AR564" s="7">
        <v>4.1109128999999998</v>
      </c>
      <c r="AS564" s="7">
        <v>3.1671170000000002</v>
      </c>
      <c r="AT564" s="7">
        <v>27.658999999999999</v>
      </c>
    </row>
    <row r="565" spans="1:46" x14ac:dyDescent="0.25">
      <c r="A565" s="4" t="s">
        <v>206</v>
      </c>
      <c r="B565" s="4" t="s">
        <v>207</v>
      </c>
      <c r="C565" s="4" t="s">
        <v>246</v>
      </c>
      <c r="D565" s="4" t="s">
        <v>254</v>
      </c>
      <c r="E565" s="4" t="s">
        <v>255</v>
      </c>
      <c r="F565" s="4" t="s">
        <v>195</v>
      </c>
      <c r="G565" s="4" t="s">
        <v>138</v>
      </c>
      <c r="H565" s="4" t="s">
        <v>252</v>
      </c>
      <c r="I565" s="16">
        <v>9.8000000000000004E-2</v>
      </c>
      <c r="J565" s="16">
        <v>0.158</v>
      </c>
      <c r="K565" s="16">
        <v>9.9000000000000005E-2</v>
      </c>
      <c r="L565" s="16">
        <v>0.16300000000000001</v>
      </c>
      <c r="M565" s="16">
        <v>0.2</v>
      </c>
      <c r="N565" s="16">
        <v>0.192</v>
      </c>
      <c r="O565" s="16">
        <v>0.25800000000000001</v>
      </c>
      <c r="P565" s="16">
        <v>0.221</v>
      </c>
      <c r="Q565" s="16">
        <v>0.20399999999999999</v>
      </c>
      <c r="R565" s="16">
        <v>0.216</v>
      </c>
      <c r="S565" s="16">
        <v>0.249</v>
      </c>
      <c r="T565" s="16">
        <v>0.25</v>
      </c>
      <c r="U565" s="16">
        <v>0.27</v>
      </c>
      <c r="V565" s="16">
        <v>0.214</v>
      </c>
      <c r="W565" s="16">
        <v>0.23499999999999999</v>
      </c>
      <c r="X565" s="16">
        <v>0.19500000000000001</v>
      </c>
      <c r="Y565" s="16">
        <v>0.15</v>
      </c>
      <c r="Z565" s="16">
        <v>0.15</v>
      </c>
      <c r="AA565" s="16">
        <v>0.14899999999999999</v>
      </c>
      <c r="AB565" s="16">
        <v>0.20300000000000001</v>
      </c>
      <c r="AC565" s="16">
        <v>0.192</v>
      </c>
      <c r="AD565" s="16">
        <v>0.22600000000000001</v>
      </c>
      <c r="AE565" s="16">
        <v>0.246</v>
      </c>
      <c r="AF565" s="16">
        <v>0.255</v>
      </c>
      <c r="AG565" s="16">
        <v>0.193</v>
      </c>
      <c r="AH565" s="16">
        <v>0.29599999999999999</v>
      </c>
      <c r="AI565" s="16">
        <v>0.23100000000000001</v>
      </c>
      <c r="AJ565" s="16">
        <v>0.21299999999999999</v>
      </c>
      <c r="AK565" s="16">
        <v>0.17699999999999999</v>
      </c>
      <c r="AL565" s="16">
        <v>0.16200000000000001</v>
      </c>
      <c r="AM565" s="16">
        <v>0.247</v>
      </c>
      <c r="AN565" s="16">
        <v>0.30399999999999999</v>
      </c>
      <c r="AO565" s="16">
        <v>0.31</v>
      </c>
      <c r="AP565" s="16">
        <v>0.28399999999999997</v>
      </c>
      <c r="AQ565" s="16">
        <v>0.28999999999999998</v>
      </c>
      <c r="AR565" s="16">
        <v>0.27400000000000002</v>
      </c>
      <c r="AS565" s="16">
        <v>0.224</v>
      </c>
      <c r="AT565" s="7">
        <v>3.1671170000000002</v>
      </c>
    </row>
    <row r="566" spans="1:46" x14ac:dyDescent="0.25">
      <c r="A566" s="4" t="s">
        <v>206</v>
      </c>
      <c r="B566" s="4" t="s">
        <v>207</v>
      </c>
      <c r="C566" s="4" t="s">
        <v>246</v>
      </c>
      <c r="D566" s="4" t="s">
        <v>254</v>
      </c>
      <c r="E566" s="4" t="s">
        <v>255</v>
      </c>
      <c r="F566" s="4" t="s">
        <v>195</v>
      </c>
      <c r="G566" s="4" t="s">
        <v>140</v>
      </c>
      <c r="H566" s="4" t="s">
        <v>151</v>
      </c>
      <c r="I566" s="5">
        <v>2451.42</v>
      </c>
      <c r="J566" s="5">
        <v>3569.6280000000002</v>
      </c>
      <c r="K566" s="5">
        <v>6186.7160000000003</v>
      </c>
      <c r="L566" s="5">
        <v>8018.9409999999998</v>
      </c>
      <c r="M566" s="5">
        <v>10227.048000000001</v>
      </c>
      <c r="N566" s="5">
        <v>8050.0889999999999</v>
      </c>
      <c r="O566" s="5">
        <v>6832.4359999999997</v>
      </c>
      <c r="P566" s="5">
        <v>5201.3220000000001</v>
      </c>
      <c r="Q566" s="5">
        <v>3088.2040000000002</v>
      </c>
      <c r="R566" s="5">
        <v>2084.346</v>
      </c>
      <c r="S566" s="5">
        <v>1674.4449999999999</v>
      </c>
      <c r="T566" s="5">
        <v>1598.6579999999999</v>
      </c>
      <c r="U566" s="5">
        <v>2149.942</v>
      </c>
      <c r="V566" s="5">
        <v>3180.7919999999999</v>
      </c>
      <c r="W566" s="5">
        <v>5221.7060000000001</v>
      </c>
      <c r="X566" s="5">
        <v>8680.1929999999993</v>
      </c>
      <c r="Y566" s="5">
        <v>8233.0490000000009</v>
      </c>
      <c r="Z566" s="5">
        <v>7294.1710000000003</v>
      </c>
      <c r="AA566" s="5">
        <v>6736.509</v>
      </c>
      <c r="AB566" s="5">
        <v>4970.1019999999999</v>
      </c>
      <c r="AC566" s="5">
        <v>3232.424</v>
      </c>
      <c r="AD566" s="5">
        <v>2390.4250000000002</v>
      </c>
      <c r="AE566" s="5">
        <v>1932.2360000000001</v>
      </c>
      <c r="AF566" s="5">
        <v>2013.8409999999999</v>
      </c>
      <c r="AG566" s="5">
        <v>2086.759</v>
      </c>
      <c r="AH566" s="5">
        <v>3202.6550000000002</v>
      </c>
      <c r="AI566" s="5">
        <v>3529.8530000000001</v>
      </c>
      <c r="AJ566" s="5">
        <v>5668.0969999999998</v>
      </c>
      <c r="AK566" s="5">
        <v>9741.7369999999992</v>
      </c>
      <c r="AL566" s="5">
        <v>8296.5910000000003</v>
      </c>
      <c r="AM566" s="5">
        <v>7298.2</v>
      </c>
      <c r="AN566" s="5">
        <v>5463.424</v>
      </c>
      <c r="AO566" s="5">
        <v>3543.2530000000002</v>
      </c>
      <c r="AP566" s="5">
        <v>2458.2370000000001</v>
      </c>
      <c r="AQ566" s="5">
        <v>1934.183</v>
      </c>
      <c r="AR566" s="5">
        <v>2064.4720000000002</v>
      </c>
      <c r="AS566" s="5">
        <v>2194.8519999999999</v>
      </c>
      <c r="AT566" s="5">
        <v>13169.111000000001</v>
      </c>
    </row>
    <row r="567" spans="1:46" x14ac:dyDescent="0.25">
      <c r="A567" s="4" t="s">
        <v>206</v>
      </c>
      <c r="B567" s="4" t="s">
        <v>207</v>
      </c>
      <c r="C567" s="4" t="s">
        <v>246</v>
      </c>
      <c r="D567" s="4" t="s">
        <v>254</v>
      </c>
      <c r="E567" s="4" t="s">
        <v>255</v>
      </c>
      <c r="F567" s="4" t="s">
        <v>195</v>
      </c>
      <c r="G567" s="4" t="s">
        <v>140</v>
      </c>
      <c r="H567" s="4" t="s">
        <v>205</v>
      </c>
      <c r="I567" s="6">
        <v>667967.45700000005</v>
      </c>
      <c r="J567" s="6">
        <v>1011810.171</v>
      </c>
      <c r="K567" s="6">
        <v>1768292.6429999999</v>
      </c>
      <c r="L567" s="6">
        <v>2256126.702</v>
      </c>
      <c r="M567" s="6">
        <v>2918181.2769999998</v>
      </c>
      <c r="N567" s="6">
        <v>2336887.5869999998</v>
      </c>
      <c r="O567" s="6">
        <v>1944393.49</v>
      </c>
      <c r="P567" s="6">
        <v>1436103.571</v>
      </c>
      <c r="Q567" s="6">
        <v>874832.99600000004</v>
      </c>
      <c r="R567" s="6">
        <v>589699.24699999997</v>
      </c>
      <c r="S567" s="6">
        <v>462568.91899999999</v>
      </c>
      <c r="T567" s="6">
        <v>454354.88699999999</v>
      </c>
      <c r="U567" s="6">
        <v>640639.44299999997</v>
      </c>
      <c r="V567" s="6">
        <v>955729.78200000001</v>
      </c>
      <c r="W567" s="6">
        <v>1558216.2290000001</v>
      </c>
      <c r="X567" s="6">
        <v>2701148.33</v>
      </c>
      <c r="Y567" s="6">
        <v>2623163.6239999998</v>
      </c>
      <c r="Z567" s="6">
        <v>2345526.6490000002</v>
      </c>
      <c r="AA567" s="6">
        <v>2201248.9219999998</v>
      </c>
      <c r="AB567" s="6">
        <v>1610553.2420000001</v>
      </c>
      <c r="AC567" s="6">
        <v>975556.76699999999</v>
      </c>
      <c r="AD567" s="6">
        <v>790229.64399999997</v>
      </c>
      <c r="AE567" s="6">
        <v>656737.97100000002</v>
      </c>
      <c r="AF567" s="6">
        <v>696814.95900000003</v>
      </c>
      <c r="AG567" s="6">
        <v>737041.57499999995</v>
      </c>
      <c r="AH567" s="6">
        <v>1149143.0360000001</v>
      </c>
      <c r="AI567" s="6">
        <v>1223646.3829999999</v>
      </c>
      <c r="AJ567" s="6">
        <v>2044564.8959999999</v>
      </c>
      <c r="AK567" s="6">
        <v>3551907.264</v>
      </c>
      <c r="AL567" s="6">
        <v>3135804.7250000001</v>
      </c>
      <c r="AM567" s="6">
        <v>2726635.7769999998</v>
      </c>
      <c r="AN567" s="6">
        <v>2059158.138</v>
      </c>
      <c r="AO567" s="6">
        <v>1274705.064</v>
      </c>
      <c r="AP567" s="6">
        <v>891966.11699999997</v>
      </c>
      <c r="AQ567" s="6">
        <v>722820.99399999995</v>
      </c>
      <c r="AR567" s="6">
        <v>790782.022</v>
      </c>
      <c r="AS567" s="6">
        <v>829105.304</v>
      </c>
      <c r="AT567" s="6">
        <v>829105.304</v>
      </c>
    </row>
    <row r="568" spans="1:46" x14ac:dyDescent="0.25">
      <c r="A568" s="4" t="s">
        <v>206</v>
      </c>
      <c r="B568" s="4" t="s">
        <v>207</v>
      </c>
      <c r="C568" s="4" t="s">
        <v>246</v>
      </c>
      <c r="D568" s="4" t="s">
        <v>254</v>
      </c>
      <c r="E568" s="4" t="s">
        <v>255</v>
      </c>
      <c r="F568" s="4" t="s">
        <v>195</v>
      </c>
      <c r="G568" s="4" t="s">
        <v>140</v>
      </c>
      <c r="H568" s="4" t="s">
        <v>249</v>
      </c>
      <c r="I568" s="7">
        <v>2.1999999999999999E-2</v>
      </c>
      <c r="J568" s="7">
        <v>2.1999999999999999E-2</v>
      </c>
      <c r="K568" s="7">
        <v>2.8000000000000001E-2</v>
      </c>
      <c r="L568" s="7">
        <v>2.8000000000000001E-2</v>
      </c>
      <c r="M568" s="7">
        <v>2.5999999999999999E-2</v>
      </c>
      <c r="N568" s="7">
        <v>2.1000000000000001E-2</v>
      </c>
      <c r="O568" s="7">
        <v>0.02</v>
      </c>
      <c r="P568" s="7">
        <v>2.1999999999999999E-2</v>
      </c>
      <c r="Q568" s="7">
        <v>1.9E-2</v>
      </c>
      <c r="R568" s="7">
        <v>1.9E-2</v>
      </c>
      <c r="S568" s="7">
        <v>1.9E-2</v>
      </c>
      <c r="T568" s="7">
        <v>1.7999999999999999E-2</v>
      </c>
      <c r="U568" s="7">
        <v>2.1999999999999999E-2</v>
      </c>
      <c r="V568" s="7">
        <v>2.4E-2</v>
      </c>
      <c r="W568" s="7">
        <v>2.5999999999999999E-2</v>
      </c>
      <c r="X568" s="7">
        <v>0.03</v>
      </c>
      <c r="Y568" s="7">
        <v>2.5000000000000001E-2</v>
      </c>
      <c r="Z568" s="7">
        <v>2.3E-2</v>
      </c>
      <c r="AA568" s="7">
        <v>2.1000000000000001E-2</v>
      </c>
      <c r="AB568" s="7">
        <v>0.02</v>
      </c>
      <c r="AC568" s="7">
        <v>1.7000000000000001E-2</v>
      </c>
      <c r="AD568" s="7">
        <v>1.7000000000000001E-2</v>
      </c>
      <c r="AE568" s="7">
        <v>1.7000000000000001E-2</v>
      </c>
      <c r="AF568" s="7">
        <v>0.02</v>
      </c>
      <c r="AG568" s="7">
        <v>0.02</v>
      </c>
      <c r="AH568" s="7">
        <v>2.3E-2</v>
      </c>
      <c r="AI568" s="7">
        <v>1.9E-2</v>
      </c>
      <c r="AJ568" s="7">
        <v>0.02</v>
      </c>
      <c r="AK568" s="7">
        <v>2.7E-2</v>
      </c>
      <c r="AL568" s="7">
        <v>2.3E-2</v>
      </c>
      <c r="AM568" s="7">
        <v>1.7999999999999999E-2</v>
      </c>
      <c r="AN568" s="7">
        <v>1.2999999999999999E-2</v>
      </c>
      <c r="AO568" s="7">
        <v>1.2999999999999999E-2</v>
      </c>
      <c r="AP568" s="7">
        <v>1.2999999999999999E-2</v>
      </c>
      <c r="AQ568" s="7">
        <v>1.4E-2</v>
      </c>
      <c r="AR568" s="7">
        <v>2.1000000000000001E-2</v>
      </c>
      <c r="AS568" s="7">
        <v>2.7E-2</v>
      </c>
      <c r="AT568" s="7">
        <v>1.492</v>
      </c>
    </row>
    <row r="569" spans="1:46" x14ac:dyDescent="0.25">
      <c r="A569" s="4" t="s">
        <v>206</v>
      </c>
      <c r="B569" s="4" t="s">
        <v>207</v>
      </c>
      <c r="C569" s="4" t="s">
        <v>246</v>
      </c>
      <c r="D569" s="4" t="s">
        <v>254</v>
      </c>
      <c r="E569" s="4" t="s">
        <v>255</v>
      </c>
      <c r="F569" s="4" t="s">
        <v>195</v>
      </c>
      <c r="G569" s="4" t="s">
        <v>140</v>
      </c>
      <c r="H569" s="4" t="s">
        <v>250</v>
      </c>
      <c r="I569" s="7">
        <v>32.950000000000003</v>
      </c>
      <c r="J569" s="7">
        <v>45.158000000000001</v>
      </c>
      <c r="K569" s="7">
        <v>53.249000000000002</v>
      </c>
      <c r="L569" s="7">
        <v>53.646999999999998</v>
      </c>
      <c r="M569" s="7">
        <v>57.99</v>
      </c>
      <c r="N569" s="7">
        <v>52.884</v>
      </c>
      <c r="O569" s="7">
        <v>49.277999999999999</v>
      </c>
      <c r="P569" s="7">
        <v>47.039000000000001</v>
      </c>
      <c r="Q569" s="7">
        <v>39.534999999999997</v>
      </c>
      <c r="R569" s="7">
        <v>31.481000000000002</v>
      </c>
      <c r="S569" s="7">
        <v>27.835000000000001</v>
      </c>
      <c r="T569" s="7">
        <v>30.22</v>
      </c>
      <c r="U569" s="7">
        <v>42.216000000000001</v>
      </c>
      <c r="V569" s="7">
        <v>50.134</v>
      </c>
      <c r="W569" s="7">
        <v>56.457999999999998</v>
      </c>
      <c r="X569" s="7">
        <v>59.924999999999997</v>
      </c>
      <c r="Y569" s="7">
        <v>59.216000000000001</v>
      </c>
      <c r="Z569" s="7">
        <v>56.814999999999998</v>
      </c>
      <c r="AA569" s="7">
        <v>54.03</v>
      </c>
      <c r="AB569" s="7">
        <v>48.015000000000001</v>
      </c>
      <c r="AC569" s="7">
        <v>41.871000000000002</v>
      </c>
      <c r="AD569" s="7">
        <v>36.901000000000003</v>
      </c>
      <c r="AE569" s="7">
        <v>34.561999999999998</v>
      </c>
      <c r="AF569" s="7">
        <v>36.305</v>
      </c>
      <c r="AG569" s="7">
        <v>34.590000000000003</v>
      </c>
      <c r="AH569" s="7">
        <v>47.704999999999998</v>
      </c>
      <c r="AI569" s="7">
        <v>51.192</v>
      </c>
      <c r="AJ569" s="7">
        <v>58.151000000000003</v>
      </c>
      <c r="AK569" s="7">
        <v>61.177999999999997</v>
      </c>
      <c r="AL569" s="7">
        <v>54.331000000000003</v>
      </c>
      <c r="AM569" s="7">
        <v>50.408999999999999</v>
      </c>
      <c r="AN569" s="7">
        <v>52.85</v>
      </c>
      <c r="AO569" s="7">
        <v>37.113</v>
      </c>
      <c r="AP569" s="7">
        <v>31.268000000000001</v>
      </c>
      <c r="AQ569" s="7">
        <v>26.538</v>
      </c>
      <c r="AR569" s="7">
        <v>29.145</v>
      </c>
      <c r="AS569" s="7">
        <v>39.281999999999996</v>
      </c>
      <c r="AT569" s="5">
        <v>12776.638000000001</v>
      </c>
    </row>
    <row r="570" spans="1:46" x14ac:dyDescent="0.25">
      <c r="A570" s="4" t="s">
        <v>206</v>
      </c>
      <c r="B570" s="4" t="s">
        <v>207</v>
      </c>
      <c r="C570" s="4" t="s">
        <v>246</v>
      </c>
      <c r="D570" s="4" t="s">
        <v>254</v>
      </c>
      <c r="E570" s="4" t="s">
        <v>255</v>
      </c>
      <c r="F570" s="4" t="s">
        <v>195</v>
      </c>
      <c r="G570" s="4" t="s">
        <v>140</v>
      </c>
      <c r="H570" s="4" t="s">
        <v>251</v>
      </c>
      <c r="I570" s="7">
        <v>4.5255131999999998</v>
      </c>
      <c r="J570" s="7">
        <v>5.0969914000000003</v>
      </c>
      <c r="K570" s="7">
        <v>4.6667546</v>
      </c>
      <c r="L570" s="7">
        <v>4.8751151999999998</v>
      </c>
      <c r="M570" s="7">
        <v>4.9847758000000004</v>
      </c>
      <c r="N570" s="7">
        <v>5.0314399999999999</v>
      </c>
      <c r="O570" s="7">
        <v>5.0146844000000002</v>
      </c>
      <c r="P570" s="7">
        <v>6.2434244999999997</v>
      </c>
      <c r="Q570" s="7">
        <v>6.2277563000000002</v>
      </c>
      <c r="R570" s="7">
        <v>5.9048257</v>
      </c>
      <c r="S570" s="7">
        <v>5.3392018999999999</v>
      </c>
      <c r="T570" s="7">
        <v>5.5027495000000002</v>
      </c>
      <c r="U570" s="7">
        <v>6.1244610000000002</v>
      </c>
      <c r="V570" s="7">
        <v>6.0601815999999999</v>
      </c>
      <c r="W570" s="7">
        <v>5.7109487999999997</v>
      </c>
      <c r="X570" s="7">
        <v>6.0944476999999999</v>
      </c>
      <c r="Y570" s="7">
        <v>6.1213194</v>
      </c>
      <c r="Z570" s="7">
        <v>6.6331059999999997</v>
      </c>
      <c r="AA570" s="7">
        <v>6.3172439000000002</v>
      </c>
      <c r="AB570" s="7">
        <v>6.2833566999999997</v>
      </c>
      <c r="AC570" s="7">
        <v>6.4684679000000003</v>
      </c>
      <c r="AD570" s="7">
        <v>6.4686696000000001</v>
      </c>
      <c r="AE570" s="7">
        <v>6.3478213999999999</v>
      </c>
      <c r="AF570" s="7">
        <v>6.6064202999999999</v>
      </c>
      <c r="AG570" s="7">
        <v>6.5337972000000004</v>
      </c>
      <c r="AH570" s="7">
        <v>7.1995870000000002</v>
      </c>
      <c r="AI570" s="7">
        <v>7.0141033999999998</v>
      </c>
      <c r="AJ570" s="7">
        <v>6.8409490000000002</v>
      </c>
      <c r="AK570" s="7">
        <v>6.9506730000000001</v>
      </c>
      <c r="AL570" s="7">
        <v>6.7810608999999999</v>
      </c>
      <c r="AM570" s="7">
        <v>6.6094834999999996</v>
      </c>
      <c r="AN570" s="7">
        <v>6.9135723000000002</v>
      </c>
      <c r="AO570" s="7">
        <v>6.7664363999999999</v>
      </c>
      <c r="AP570" s="7">
        <v>6.4703143000000001</v>
      </c>
      <c r="AQ570" s="7">
        <v>6.5517478000000002</v>
      </c>
      <c r="AR570" s="7">
        <v>6.4763415000000002</v>
      </c>
      <c r="AS570" s="7">
        <v>6.0119233999999997</v>
      </c>
      <c r="AT570" s="7">
        <v>39.281999999999996</v>
      </c>
    </row>
    <row r="571" spans="1:46" x14ac:dyDescent="0.25">
      <c r="A571" s="4" t="s">
        <v>206</v>
      </c>
      <c r="B571" s="4" t="s">
        <v>207</v>
      </c>
      <c r="C571" s="4" t="s">
        <v>246</v>
      </c>
      <c r="D571" s="4" t="s">
        <v>254</v>
      </c>
      <c r="E571" s="4" t="s">
        <v>255</v>
      </c>
      <c r="F571" s="4" t="s">
        <v>195</v>
      </c>
      <c r="G571" s="4" t="s">
        <v>140</v>
      </c>
      <c r="H571" s="4" t="s">
        <v>252</v>
      </c>
      <c r="I571" s="16">
        <v>0.23699999999999999</v>
      </c>
      <c r="J571" s="16">
        <v>0.28000000000000003</v>
      </c>
      <c r="K571" s="16">
        <v>0.192</v>
      </c>
      <c r="L571" s="16">
        <v>0.38500000000000001</v>
      </c>
      <c r="M571" s="16">
        <v>0.24299999999999999</v>
      </c>
      <c r="N571" s="16">
        <v>0.19800000000000001</v>
      </c>
      <c r="O571" s="16">
        <v>0.30499999999999999</v>
      </c>
      <c r="P571" s="16">
        <v>0.36699999999999999</v>
      </c>
      <c r="Q571" s="16">
        <v>0.438</v>
      </c>
      <c r="R571" s="16">
        <v>0.33500000000000002</v>
      </c>
      <c r="S571" s="16">
        <v>0.314</v>
      </c>
      <c r="T571" s="16">
        <v>0.318</v>
      </c>
      <c r="U571" s="16">
        <v>0.35299999999999998</v>
      </c>
      <c r="V571" s="16">
        <v>0.29399999999999998</v>
      </c>
      <c r="W571" s="16">
        <v>0.35699999999999998</v>
      </c>
      <c r="X571" s="16">
        <v>0.35199999999999998</v>
      </c>
      <c r="Y571" s="16">
        <v>0.26200000000000001</v>
      </c>
      <c r="Z571" s="16">
        <v>0.39100000000000001</v>
      </c>
      <c r="AA571" s="16">
        <v>0.34</v>
      </c>
      <c r="AB571" s="16">
        <v>0.35199999999999998</v>
      </c>
      <c r="AC571" s="16">
        <v>0.40600000000000003</v>
      </c>
      <c r="AD571" s="16">
        <v>0.39</v>
      </c>
      <c r="AE571" s="16">
        <v>0.43</v>
      </c>
      <c r="AF571" s="16">
        <v>0.439</v>
      </c>
      <c r="AG571" s="16">
        <v>0.42</v>
      </c>
      <c r="AH571" s="16">
        <v>0.57999999999999996</v>
      </c>
      <c r="AI571" s="16">
        <v>0.55200000000000005</v>
      </c>
      <c r="AJ571" s="16">
        <v>0.48299999999999998</v>
      </c>
      <c r="AK571" s="16">
        <v>0.4</v>
      </c>
      <c r="AL571" s="16">
        <v>0.39800000000000002</v>
      </c>
      <c r="AM571" s="16">
        <v>0.432</v>
      </c>
      <c r="AN571" s="16">
        <v>0.38400000000000001</v>
      </c>
      <c r="AO571" s="16">
        <v>0.50800000000000001</v>
      </c>
      <c r="AP571" s="16">
        <v>0.46600000000000003</v>
      </c>
      <c r="AQ571" s="16">
        <v>0.47799999999999998</v>
      </c>
      <c r="AR571" s="16">
        <v>0.45300000000000001</v>
      </c>
      <c r="AS571" s="16">
        <v>0.41199999999999998</v>
      </c>
      <c r="AT571" s="7">
        <v>6.0119233999999997</v>
      </c>
    </row>
    <row r="572" spans="1:46" x14ac:dyDescent="0.25">
      <c r="A572" s="4" t="s">
        <v>206</v>
      </c>
      <c r="B572" s="4" t="s">
        <v>207</v>
      </c>
      <c r="C572" s="4" t="s">
        <v>246</v>
      </c>
      <c r="D572" s="4" t="s">
        <v>254</v>
      </c>
      <c r="E572" s="4" t="s">
        <v>256</v>
      </c>
      <c r="F572" s="4" t="s">
        <v>195</v>
      </c>
      <c r="G572" s="4" t="s">
        <v>93</v>
      </c>
      <c r="H572" s="4" t="s">
        <v>151</v>
      </c>
      <c r="I572" s="5">
        <v>2233.85</v>
      </c>
      <c r="J572" s="5">
        <v>3014.9270000000001</v>
      </c>
      <c r="K572" s="5">
        <v>4148.7939999999999</v>
      </c>
      <c r="L572" s="5">
        <v>3857.933</v>
      </c>
      <c r="M572" s="5">
        <v>5771.67</v>
      </c>
      <c r="N572" s="5">
        <v>4004.4229999999998</v>
      </c>
      <c r="O572" s="5">
        <v>4060.6010000000001</v>
      </c>
      <c r="P572" s="5">
        <v>2473.8629999999998</v>
      </c>
      <c r="Q572" s="5">
        <v>2044.98</v>
      </c>
      <c r="R572" s="5">
        <v>1389.915</v>
      </c>
      <c r="S572" s="5">
        <v>1425.1020000000001</v>
      </c>
      <c r="T572" s="5">
        <v>1762.921</v>
      </c>
      <c r="U572" s="5">
        <v>1971.068</v>
      </c>
      <c r="V572" s="5">
        <v>2198.4989999999998</v>
      </c>
      <c r="W572" s="5">
        <v>3622.7959999999998</v>
      </c>
      <c r="X572" s="5">
        <v>5185.875</v>
      </c>
      <c r="Y572" s="5">
        <v>4361.7809999999999</v>
      </c>
      <c r="Z572" s="5">
        <v>3962.9209999999998</v>
      </c>
      <c r="AA572" s="5">
        <v>4304.8010000000004</v>
      </c>
      <c r="AB572" s="5">
        <v>2946.027</v>
      </c>
      <c r="AC572" s="5">
        <v>2324.4180000000001</v>
      </c>
      <c r="AD572" s="5">
        <v>1981.5250000000001</v>
      </c>
      <c r="AE572" s="5">
        <v>1639.748</v>
      </c>
      <c r="AF572" s="5">
        <v>1654.134</v>
      </c>
      <c r="AG572" s="5">
        <v>1777.3150000000001</v>
      </c>
      <c r="AH572" s="5">
        <v>1586.954</v>
      </c>
      <c r="AI572" s="5">
        <v>2344.3530000000001</v>
      </c>
      <c r="AJ572" s="5">
        <v>1971.8510000000001</v>
      </c>
      <c r="AK572" s="5">
        <v>2125.27</v>
      </c>
      <c r="AL572" s="5">
        <v>1897.4179999999999</v>
      </c>
      <c r="AM572" s="5">
        <v>1812.4849999999999</v>
      </c>
      <c r="AN572" s="5">
        <v>1054.421</v>
      </c>
      <c r="AO572" s="5">
        <v>865.44200000000001</v>
      </c>
      <c r="AP572" s="5">
        <v>714.40599999999995</v>
      </c>
      <c r="AQ572" s="5">
        <v>666.56299999999999</v>
      </c>
      <c r="AR572" s="5">
        <v>634.37900000000002</v>
      </c>
      <c r="AS572" s="5">
        <v>733.27099999999996</v>
      </c>
      <c r="AT572" s="5">
        <v>733.27099999999996</v>
      </c>
    </row>
    <row r="573" spans="1:46" x14ac:dyDescent="0.25">
      <c r="A573" s="4" t="s">
        <v>206</v>
      </c>
      <c r="B573" s="4" t="s">
        <v>207</v>
      </c>
      <c r="C573" s="4" t="s">
        <v>246</v>
      </c>
      <c r="D573" s="4" t="s">
        <v>254</v>
      </c>
      <c r="E573" s="4" t="s">
        <v>256</v>
      </c>
      <c r="F573" s="4" t="s">
        <v>195</v>
      </c>
      <c r="G573" s="4" t="s">
        <v>93</v>
      </c>
      <c r="H573" s="4" t="s">
        <v>205</v>
      </c>
      <c r="I573" s="6">
        <v>603891.15899999999</v>
      </c>
      <c r="J573" s="6">
        <v>796177.11600000004</v>
      </c>
      <c r="K573" s="6">
        <v>1115268.1499999999</v>
      </c>
      <c r="L573" s="6">
        <v>1045575.171</v>
      </c>
      <c r="M573" s="6">
        <v>1544199.9809999999</v>
      </c>
      <c r="N573" s="6">
        <v>1059365.5919999999</v>
      </c>
      <c r="O573" s="6">
        <v>1089871.3929999999</v>
      </c>
      <c r="P573" s="6">
        <v>661371.67000000004</v>
      </c>
      <c r="Q573" s="6">
        <v>547590.55500000005</v>
      </c>
      <c r="R573" s="6">
        <v>360809.11099999998</v>
      </c>
      <c r="S573" s="6">
        <v>369829.92300000001</v>
      </c>
      <c r="T573" s="6">
        <v>465490.391</v>
      </c>
      <c r="U573" s="6">
        <v>537167.54299999995</v>
      </c>
      <c r="V573" s="6">
        <v>614936.05200000003</v>
      </c>
      <c r="W573" s="6">
        <v>1003037.3909999999</v>
      </c>
      <c r="X573" s="6">
        <v>1460509.122</v>
      </c>
      <c r="Y573" s="6">
        <v>1250470.527</v>
      </c>
      <c r="Z573" s="6">
        <v>1154290.99</v>
      </c>
      <c r="AA573" s="6">
        <v>1296850.922</v>
      </c>
      <c r="AB573" s="6">
        <v>881257.08200000005</v>
      </c>
      <c r="AC573" s="6">
        <v>694749.28500000003</v>
      </c>
      <c r="AD573" s="6">
        <v>597409.31000000006</v>
      </c>
      <c r="AE573" s="6">
        <v>495170.34899999999</v>
      </c>
      <c r="AF573" s="6">
        <v>492669.147</v>
      </c>
      <c r="AG573" s="6">
        <v>546414.51</v>
      </c>
      <c r="AH573" s="6">
        <v>486546.00300000003</v>
      </c>
      <c r="AI573" s="6">
        <v>717637.81299999997</v>
      </c>
      <c r="AJ573" s="6">
        <v>592628.66099999996</v>
      </c>
      <c r="AK573" s="6">
        <v>645885.63600000006</v>
      </c>
      <c r="AL573" s="6">
        <v>550938.71200000006</v>
      </c>
      <c r="AM573" s="6">
        <v>527447.37800000003</v>
      </c>
      <c r="AN573" s="6">
        <v>312357.36700000003</v>
      </c>
      <c r="AO573" s="6">
        <v>243665.05499999999</v>
      </c>
      <c r="AP573" s="6">
        <v>206291.66899999999</v>
      </c>
      <c r="AQ573" s="6">
        <v>194363.61600000001</v>
      </c>
      <c r="AR573" s="6">
        <v>199873.77499999999</v>
      </c>
      <c r="AS573" s="6">
        <v>222824.11300000001</v>
      </c>
      <c r="AT573" s="6">
        <v>222824.11300000001</v>
      </c>
    </row>
    <row r="574" spans="1:46" x14ac:dyDescent="0.25">
      <c r="A574" s="4" t="s">
        <v>206</v>
      </c>
      <c r="B574" s="4" t="s">
        <v>207</v>
      </c>
      <c r="C574" s="4" t="s">
        <v>246</v>
      </c>
      <c r="D574" s="4" t="s">
        <v>254</v>
      </c>
      <c r="E574" s="4" t="s">
        <v>256</v>
      </c>
      <c r="F574" s="4" t="s">
        <v>195</v>
      </c>
      <c r="G574" s="4" t="s">
        <v>93</v>
      </c>
      <c r="H574" s="4" t="s">
        <v>249</v>
      </c>
      <c r="I574" s="7">
        <v>1.306</v>
      </c>
      <c r="J574" s="7">
        <v>1.226</v>
      </c>
      <c r="K574" s="7">
        <v>1.208</v>
      </c>
      <c r="L574" s="7">
        <v>0.86399999999999999</v>
      </c>
      <c r="M574" s="7">
        <v>0.96899999999999997</v>
      </c>
      <c r="N574" s="7">
        <v>0.68400000000000005</v>
      </c>
      <c r="O574" s="7">
        <v>0.77900000000000003</v>
      </c>
      <c r="P574" s="7">
        <v>0.66300000000000003</v>
      </c>
      <c r="Q574" s="7">
        <v>0.79800000000000004</v>
      </c>
      <c r="R574" s="7">
        <v>0.83599999999999997</v>
      </c>
      <c r="S574" s="7">
        <v>1.022</v>
      </c>
      <c r="T574" s="7">
        <v>1.32</v>
      </c>
      <c r="U574" s="7">
        <v>1.3080000000000001</v>
      </c>
      <c r="V574" s="7">
        <v>1.087</v>
      </c>
      <c r="W574" s="7">
        <v>1.163</v>
      </c>
      <c r="X574" s="7">
        <v>1.18</v>
      </c>
      <c r="Y574" s="7">
        <v>0.85199999999999998</v>
      </c>
      <c r="Z574" s="7">
        <v>0.82699999999999996</v>
      </c>
      <c r="AA574" s="7">
        <v>0.86199999999999999</v>
      </c>
      <c r="AB574" s="7">
        <v>0.77700000000000002</v>
      </c>
      <c r="AC574" s="7">
        <v>0.79200000000000004</v>
      </c>
      <c r="AD574" s="7">
        <v>0.91200000000000003</v>
      </c>
      <c r="AE574" s="7">
        <v>0.95</v>
      </c>
      <c r="AF574" s="7">
        <v>1.0680000000000001</v>
      </c>
      <c r="AG574" s="7">
        <v>1.0780000000000001</v>
      </c>
      <c r="AH574" s="7">
        <v>0.72499999999999998</v>
      </c>
      <c r="AI574" s="7">
        <v>0.79700000000000004</v>
      </c>
      <c r="AJ574" s="7">
        <v>0.44700000000000001</v>
      </c>
      <c r="AK574" s="7">
        <v>0.377</v>
      </c>
      <c r="AL574" s="7">
        <v>0.34300000000000003</v>
      </c>
      <c r="AM574" s="7">
        <v>0.28199999999999997</v>
      </c>
      <c r="AN574" s="7">
        <v>0.16600000000000001</v>
      </c>
      <c r="AO574" s="7">
        <v>0.21</v>
      </c>
      <c r="AP574" s="7">
        <v>0.24099999999999999</v>
      </c>
      <c r="AQ574" s="7">
        <v>0.30399999999999999</v>
      </c>
      <c r="AR574" s="7">
        <v>0.41699999999999998</v>
      </c>
      <c r="AS574" s="7">
        <v>0.58599999999999997</v>
      </c>
      <c r="AT574" s="7">
        <v>8.3000000000000004E-2</v>
      </c>
    </row>
    <row r="575" spans="1:46" x14ac:dyDescent="0.25">
      <c r="A575" s="4" t="s">
        <v>206</v>
      </c>
      <c r="B575" s="4" t="s">
        <v>207</v>
      </c>
      <c r="C575" s="4" t="s">
        <v>246</v>
      </c>
      <c r="D575" s="4" t="s">
        <v>254</v>
      </c>
      <c r="E575" s="4" t="s">
        <v>256</v>
      </c>
      <c r="F575" s="4" t="s">
        <v>195</v>
      </c>
      <c r="G575" s="4" t="s">
        <v>93</v>
      </c>
      <c r="H575" s="4" t="s">
        <v>250</v>
      </c>
      <c r="I575" s="7">
        <v>41.295000000000002</v>
      </c>
      <c r="J575" s="7">
        <v>50.417999999999999</v>
      </c>
      <c r="K575" s="7">
        <v>58.959000000000003</v>
      </c>
      <c r="L575" s="7">
        <v>58.104999999999997</v>
      </c>
      <c r="M575" s="7">
        <v>62.395000000000003</v>
      </c>
      <c r="N575" s="7">
        <v>55.951999999999998</v>
      </c>
      <c r="O575" s="7">
        <v>53.441000000000003</v>
      </c>
      <c r="P575" s="7">
        <v>48.604999999999997</v>
      </c>
      <c r="Q575" s="7">
        <v>40.243000000000002</v>
      </c>
      <c r="R575" s="7">
        <v>31.134</v>
      </c>
      <c r="S575" s="7">
        <v>31.64</v>
      </c>
      <c r="T575" s="7">
        <v>35.790999999999997</v>
      </c>
      <c r="U575" s="7">
        <v>44.076000000000001</v>
      </c>
      <c r="V575" s="7">
        <v>51.750999999999998</v>
      </c>
      <c r="W575" s="7">
        <v>59.134999999999998</v>
      </c>
      <c r="X575" s="7">
        <v>61.182000000000002</v>
      </c>
      <c r="Y575" s="7">
        <v>60.006999999999998</v>
      </c>
      <c r="Z575" s="7">
        <v>59.877000000000002</v>
      </c>
      <c r="AA575" s="7">
        <v>58.384</v>
      </c>
      <c r="AB575" s="7">
        <v>52.673000000000002</v>
      </c>
      <c r="AC575" s="7">
        <v>46.002000000000002</v>
      </c>
      <c r="AD575" s="7">
        <v>36.594000000000001</v>
      </c>
      <c r="AE575" s="7">
        <v>30.260999999999999</v>
      </c>
      <c r="AF575" s="7">
        <v>32.209000000000003</v>
      </c>
      <c r="AG575" s="7">
        <v>31.725999999999999</v>
      </c>
      <c r="AH575" s="7">
        <v>31.741</v>
      </c>
      <c r="AI575" s="7">
        <v>22.600999999999999</v>
      </c>
      <c r="AJ575" s="7">
        <v>16.655000000000001</v>
      </c>
      <c r="AK575" s="7">
        <v>13.317</v>
      </c>
      <c r="AL575" s="7">
        <v>12.356</v>
      </c>
      <c r="AM575" s="7">
        <v>11.069000000000001</v>
      </c>
      <c r="AN575" s="7">
        <v>10.167999999999999</v>
      </c>
      <c r="AO575" s="7">
        <v>12.459</v>
      </c>
      <c r="AP575" s="7">
        <v>14.961</v>
      </c>
      <c r="AQ575" s="7">
        <v>14.2</v>
      </c>
      <c r="AR575" s="7">
        <v>13.619</v>
      </c>
      <c r="AS575" s="7">
        <v>11.625</v>
      </c>
      <c r="AT575" s="5">
        <v>1821.318</v>
      </c>
    </row>
    <row r="576" spans="1:46" x14ac:dyDescent="0.25">
      <c r="A576" s="4" t="s">
        <v>206</v>
      </c>
      <c r="B576" s="4" t="s">
        <v>207</v>
      </c>
      <c r="C576" s="4" t="s">
        <v>246</v>
      </c>
      <c r="D576" s="4" t="s">
        <v>254</v>
      </c>
      <c r="E576" s="4" t="s">
        <v>256</v>
      </c>
      <c r="F576" s="4" t="s">
        <v>195</v>
      </c>
      <c r="G576" s="4" t="s">
        <v>93</v>
      </c>
      <c r="H576" s="4" t="s">
        <v>251</v>
      </c>
      <c r="I576" s="7">
        <v>6.6162824000000002</v>
      </c>
      <c r="J576" s="7">
        <v>6.6058813000000001</v>
      </c>
      <c r="K576" s="7">
        <v>6.6348279999999997</v>
      </c>
      <c r="L576" s="7">
        <v>6.6424411000000001</v>
      </c>
      <c r="M576" s="7">
        <v>6.5288059000000001</v>
      </c>
      <c r="N576" s="7">
        <v>6.1909989000000003</v>
      </c>
      <c r="O576" s="7">
        <v>6.2104330000000001</v>
      </c>
      <c r="P576" s="7">
        <v>6.2993731999999998</v>
      </c>
      <c r="Q576" s="7">
        <v>5.7376459000000004</v>
      </c>
      <c r="R576" s="7">
        <v>5.8774534000000003</v>
      </c>
      <c r="S576" s="7">
        <v>5.9526279000000004</v>
      </c>
      <c r="T576" s="7">
        <v>6.1954701999999999</v>
      </c>
      <c r="U576" s="7">
        <v>6.4396224000000002</v>
      </c>
      <c r="V576" s="7">
        <v>6.6889946</v>
      </c>
      <c r="W576" s="7">
        <v>7.4137972999999997</v>
      </c>
      <c r="X576" s="7">
        <v>7.2400532999999996</v>
      </c>
      <c r="Y576" s="7">
        <v>6.8973440000000004</v>
      </c>
      <c r="Z576" s="7">
        <v>7.4695988</v>
      </c>
      <c r="AA576" s="7">
        <v>7.0506222000000003</v>
      </c>
      <c r="AB576" s="7">
        <v>6.7480935000000004</v>
      </c>
      <c r="AC576" s="7">
        <v>6.5451614999999999</v>
      </c>
      <c r="AD576" s="7">
        <v>6.2276739000000001</v>
      </c>
      <c r="AE576" s="7">
        <v>5.9280325999999999</v>
      </c>
      <c r="AF576" s="7">
        <v>6.2171099999999999</v>
      </c>
      <c r="AG576" s="7">
        <v>6.5922169000000004</v>
      </c>
      <c r="AH576" s="7">
        <v>6.4358633999999997</v>
      </c>
      <c r="AI576" s="7">
        <v>5.9891692000000001</v>
      </c>
      <c r="AJ576" s="7">
        <v>5.7295521999999997</v>
      </c>
      <c r="AK576" s="7">
        <v>5.2135207000000001</v>
      </c>
      <c r="AL576" s="7">
        <v>4.9224116999999996</v>
      </c>
      <c r="AM576" s="7">
        <v>4.5773970000000004</v>
      </c>
      <c r="AN576" s="7">
        <v>4.1566422000000003</v>
      </c>
      <c r="AO576" s="7">
        <v>3.8165879</v>
      </c>
      <c r="AP576" s="7">
        <v>3.7551662000000001</v>
      </c>
      <c r="AQ576" s="7">
        <v>3.6526987000000002</v>
      </c>
      <c r="AR576" s="7">
        <v>3.5202303000000001</v>
      </c>
      <c r="AS576" s="7">
        <v>3.9014468999999998</v>
      </c>
      <c r="AT576" s="7">
        <v>11.625</v>
      </c>
    </row>
    <row r="577" spans="1:46" x14ac:dyDescent="0.25">
      <c r="A577" s="4" t="s">
        <v>206</v>
      </c>
      <c r="B577" s="4" t="s">
        <v>207</v>
      </c>
      <c r="C577" s="4" t="s">
        <v>246</v>
      </c>
      <c r="D577" s="4" t="s">
        <v>254</v>
      </c>
      <c r="E577" s="4" t="s">
        <v>256</v>
      </c>
      <c r="F577" s="4" t="s">
        <v>195</v>
      </c>
      <c r="G577" s="4" t="s">
        <v>93</v>
      </c>
      <c r="H577" s="4" t="s">
        <v>252</v>
      </c>
      <c r="I577" s="16">
        <v>0.64900000000000002</v>
      </c>
      <c r="J577" s="16">
        <v>0.54600000000000004</v>
      </c>
      <c r="K577" s="16">
        <v>0.55700000000000005</v>
      </c>
      <c r="L577" s="16">
        <v>0.53900000000000003</v>
      </c>
      <c r="M577" s="16">
        <v>0.5</v>
      </c>
      <c r="N577" s="16">
        <v>0.45800000000000002</v>
      </c>
      <c r="O577" s="16">
        <v>0.44500000000000001</v>
      </c>
      <c r="P577" s="16">
        <v>0.46899999999999997</v>
      </c>
      <c r="Q577" s="16">
        <v>0.50600000000000001</v>
      </c>
      <c r="R577" s="16">
        <v>0.52200000000000002</v>
      </c>
      <c r="S577" s="16">
        <v>0.497</v>
      </c>
      <c r="T577" s="16">
        <v>0.50600000000000001</v>
      </c>
      <c r="U577" s="16">
        <v>0.51200000000000001</v>
      </c>
      <c r="V577" s="16">
        <v>0.52500000000000002</v>
      </c>
      <c r="W577" s="16">
        <v>0.53600000000000003</v>
      </c>
      <c r="X577" s="16">
        <v>0.47</v>
      </c>
      <c r="Y577" s="16">
        <v>0.44600000000000001</v>
      </c>
      <c r="Z577" s="16">
        <v>0.45900000000000002</v>
      </c>
      <c r="AA577" s="16">
        <v>0.47399999999999998</v>
      </c>
      <c r="AB577" s="16">
        <v>0.47299999999999998</v>
      </c>
      <c r="AC577" s="16">
        <v>0.48599999999999999</v>
      </c>
      <c r="AD577" s="16">
        <v>0.47699999999999998</v>
      </c>
      <c r="AE577" s="16">
        <v>0.51</v>
      </c>
      <c r="AF577" s="16">
        <v>0.56999999999999995</v>
      </c>
      <c r="AG577" s="16">
        <v>0.60199999999999998</v>
      </c>
      <c r="AH577" s="16">
        <v>0.65700000000000003</v>
      </c>
      <c r="AI577" s="16">
        <v>0.50600000000000001</v>
      </c>
      <c r="AJ577" s="16">
        <v>0.46500000000000002</v>
      </c>
      <c r="AK577" s="16">
        <v>0.39500000000000002</v>
      </c>
      <c r="AL577" s="16">
        <v>0.41399999999999998</v>
      </c>
      <c r="AM577" s="16">
        <v>0.39100000000000001</v>
      </c>
      <c r="AN577" s="16">
        <v>0.32700000000000001</v>
      </c>
      <c r="AO577" s="16">
        <v>0.41899999999999998</v>
      </c>
      <c r="AP577" s="16">
        <v>0.39100000000000001</v>
      </c>
      <c r="AQ577" s="16">
        <v>0.379</v>
      </c>
      <c r="AR577" s="16">
        <v>0.32</v>
      </c>
      <c r="AS577" s="16">
        <v>0.34300000000000003</v>
      </c>
      <c r="AT577" s="7">
        <v>3.9014468999999998</v>
      </c>
    </row>
    <row r="578" spans="1:46" x14ac:dyDescent="0.25">
      <c r="A578" s="4" t="s">
        <v>206</v>
      </c>
      <c r="B578" s="4" t="s">
        <v>207</v>
      </c>
      <c r="C578" s="4" t="s">
        <v>246</v>
      </c>
      <c r="D578" s="4" t="s">
        <v>254</v>
      </c>
      <c r="E578" s="4" t="s">
        <v>257</v>
      </c>
      <c r="F578" s="4" t="s">
        <v>203</v>
      </c>
      <c r="G578" s="4" t="s">
        <v>93</v>
      </c>
      <c r="H578" s="4" t="s">
        <v>151</v>
      </c>
      <c r="I578" s="5">
        <v>1532.412</v>
      </c>
      <c r="J578" s="5">
        <v>2296.8209999999999</v>
      </c>
      <c r="K578" s="5">
        <v>3777.607</v>
      </c>
      <c r="L578" s="5">
        <v>4194.1869999999999</v>
      </c>
      <c r="M578" s="5">
        <v>5504.4970000000003</v>
      </c>
      <c r="N578" s="5">
        <v>4696.7240000000002</v>
      </c>
      <c r="O578" s="5">
        <v>4677.4949999999999</v>
      </c>
      <c r="P578" s="5">
        <v>3785.2249999999999</v>
      </c>
      <c r="Q578" s="5">
        <v>2301.3629999999998</v>
      </c>
      <c r="R578" s="5">
        <v>1582.7850000000001</v>
      </c>
      <c r="S578" s="5">
        <v>1542.4939999999999</v>
      </c>
      <c r="T578" s="5">
        <v>1378.2249999999999</v>
      </c>
      <c r="U578" s="5">
        <v>1922.3040000000001</v>
      </c>
      <c r="V578" s="5">
        <v>2155.6509999999998</v>
      </c>
      <c r="W578" s="5">
        <v>3874.8719999999998</v>
      </c>
      <c r="X578" s="5">
        <v>5341.049</v>
      </c>
      <c r="Y578" s="5">
        <v>4959.3639999999996</v>
      </c>
      <c r="Z578" s="5">
        <v>2929.6190000000001</v>
      </c>
      <c r="AA578" s="5">
        <v>2386.5700000000002</v>
      </c>
      <c r="AB578" s="5">
        <v>1536.3810000000001</v>
      </c>
      <c r="AC578" s="5">
        <v>1705.91</v>
      </c>
      <c r="AD578" s="5">
        <v>1652.8150000000001</v>
      </c>
      <c r="AE578" s="5">
        <v>1429.1759999999999</v>
      </c>
      <c r="AF578" s="5">
        <v>1832.38</v>
      </c>
      <c r="AG578" s="5">
        <v>1869.146</v>
      </c>
      <c r="AH578" s="5">
        <v>2313.0239999999999</v>
      </c>
      <c r="AI578" s="5">
        <v>2705.605</v>
      </c>
      <c r="AJ578" s="5">
        <v>2678.107</v>
      </c>
      <c r="AK578" s="5">
        <v>2526.3829999999998</v>
      </c>
      <c r="AL578" s="5">
        <v>3258.6930000000002</v>
      </c>
      <c r="AM578" s="5">
        <v>3123.6309999999999</v>
      </c>
      <c r="AN578" s="5">
        <v>2775.7829999999999</v>
      </c>
      <c r="AO578" s="5">
        <v>2006.902</v>
      </c>
      <c r="AP578" s="5">
        <v>1688.425</v>
      </c>
      <c r="AQ578" s="5">
        <v>1227.8820000000001</v>
      </c>
      <c r="AR578" s="5">
        <v>619.93200000000002</v>
      </c>
      <c r="AS578" s="5">
        <v>288.25900000000001</v>
      </c>
      <c r="AT578" s="5">
        <v>288.25900000000001</v>
      </c>
    </row>
    <row r="579" spans="1:46" x14ac:dyDescent="0.25">
      <c r="A579" s="4" t="s">
        <v>206</v>
      </c>
      <c r="B579" s="4" t="s">
        <v>207</v>
      </c>
      <c r="C579" s="4" t="s">
        <v>246</v>
      </c>
      <c r="D579" s="4" t="s">
        <v>254</v>
      </c>
      <c r="E579" s="4" t="s">
        <v>257</v>
      </c>
      <c r="F579" s="4" t="s">
        <v>203</v>
      </c>
      <c r="G579" s="4" t="s">
        <v>93</v>
      </c>
      <c r="H579" s="4" t="s">
        <v>205</v>
      </c>
      <c r="I579" s="6">
        <v>189455.894</v>
      </c>
      <c r="J579" s="6">
        <v>293089.37400000001</v>
      </c>
      <c r="K579" s="6">
        <v>495047.13500000001</v>
      </c>
      <c r="L579" s="6">
        <v>558383.03099999996</v>
      </c>
      <c r="M579" s="6">
        <v>741264.897</v>
      </c>
      <c r="N579" s="6">
        <v>629140.75100000005</v>
      </c>
      <c r="O579" s="6">
        <v>628880.65700000001</v>
      </c>
      <c r="P579" s="6">
        <v>508894.277</v>
      </c>
      <c r="Q579" s="6">
        <v>301669.11599999998</v>
      </c>
      <c r="R579" s="6">
        <v>210167.59</v>
      </c>
      <c r="S579" s="6">
        <v>204961.644</v>
      </c>
      <c r="T579" s="6">
        <v>180347.11600000001</v>
      </c>
      <c r="U579" s="6">
        <v>256653.26199999999</v>
      </c>
      <c r="V579" s="6">
        <v>294708.84299999999</v>
      </c>
      <c r="W579" s="6">
        <v>533807.05299999996</v>
      </c>
      <c r="X579" s="6">
        <v>744919.22400000005</v>
      </c>
      <c r="Y579" s="6">
        <v>705513.68799999997</v>
      </c>
      <c r="Z579" s="6">
        <v>405596.364</v>
      </c>
      <c r="AA579" s="6">
        <v>324819.34899999999</v>
      </c>
      <c r="AB579" s="6">
        <v>218797.383</v>
      </c>
      <c r="AC579" s="6">
        <v>242000.31400000001</v>
      </c>
      <c r="AD579" s="6">
        <v>232156.37</v>
      </c>
      <c r="AE579" s="6">
        <v>191104.38099999999</v>
      </c>
      <c r="AF579" s="6">
        <v>245591.15</v>
      </c>
      <c r="AG579" s="6">
        <v>255112.092</v>
      </c>
      <c r="AH579" s="6">
        <v>316610.06400000001</v>
      </c>
      <c r="AI579" s="6">
        <v>386021.53100000002</v>
      </c>
      <c r="AJ579" s="6">
        <v>348383.96500000003</v>
      </c>
      <c r="AK579" s="6">
        <v>332871.783</v>
      </c>
      <c r="AL579" s="6">
        <v>445391.28899999999</v>
      </c>
      <c r="AM579" s="6">
        <v>405971.97899999999</v>
      </c>
      <c r="AN579" s="6">
        <v>389289.09700000001</v>
      </c>
      <c r="AO579" s="6">
        <v>257485.79500000001</v>
      </c>
      <c r="AP579" s="6">
        <v>224296.30300000001</v>
      </c>
      <c r="AQ579" s="6">
        <v>162045.024</v>
      </c>
      <c r="AR579" s="6">
        <v>81075.13</v>
      </c>
      <c r="AS579" s="6">
        <v>40808.538999999997</v>
      </c>
      <c r="AT579" s="6">
        <v>40808.538999999997</v>
      </c>
    </row>
    <row r="580" spans="1:46" x14ac:dyDescent="0.25">
      <c r="A580" s="4" t="s">
        <v>206</v>
      </c>
      <c r="B580" s="4" t="s">
        <v>207</v>
      </c>
      <c r="C580" s="4" t="s">
        <v>246</v>
      </c>
      <c r="D580" s="4" t="s">
        <v>254</v>
      </c>
      <c r="E580" s="4" t="s">
        <v>257</v>
      </c>
      <c r="F580" s="4" t="s">
        <v>203</v>
      </c>
      <c r="G580" s="4" t="s">
        <v>93</v>
      </c>
      <c r="H580" s="4" t="s">
        <v>249</v>
      </c>
      <c r="I580" s="7">
        <v>0.70599999999999996</v>
      </c>
      <c r="J580" s="7">
        <v>0.73099999999999998</v>
      </c>
      <c r="K580" s="7">
        <v>0.85499999999999998</v>
      </c>
      <c r="L580" s="7">
        <v>0.72799999999999998</v>
      </c>
      <c r="M580" s="7">
        <v>0.71599999999999997</v>
      </c>
      <c r="N580" s="7">
        <v>0.622</v>
      </c>
      <c r="O580" s="7">
        <v>0.69599999999999995</v>
      </c>
      <c r="P580" s="7">
        <v>0.78400000000000003</v>
      </c>
      <c r="Q580" s="7">
        <v>0.70099999999999996</v>
      </c>
      <c r="R580" s="7">
        <v>0.74099999999999999</v>
      </c>
      <c r="S580" s="7">
        <v>0.86199999999999999</v>
      </c>
      <c r="T580" s="7">
        <v>0.82499999999999996</v>
      </c>
      <c r="U580" s="7">
        <v>0.996</v>
      </c>
      <c r="V580" s="7">
        <v>0.82299999999999995</v>
      </c>
      <c r="W580" s="7">
        <v>0.96199999999999997</v>
      </c>
      <c r="X580" s="7">
        <v>0.94299999999999995</v>
      </c>
      <c r="Y580" s="7">
        <v>0.754</v>
      </c>
      <c r="Z580" s="7">
        <v>0.47699999999999998</v>
      </c>
      <c r="AA580" s="7">
        <v>0.376</v>
      </c>
      <c r="AB580" s="7">
        <v>0.313</v>
      </c>
      <c r="AC580" s="7">
        <v>0.44900000000000001</v>
      </c>
      <c r="AD580" s="7">
        <v>0.58699999999999997</v>
      </c>
      <c r="AE580" s="7">
        <v>0.64100000000000001</v>
      </c>
      <c r="AF580" s="7">
        <v>0.91700000000000004</v>
      </c>
      <c r="AG580" s="7">
        <v>0.878</v>
      </c>
      <c r="AH580" s="7">
        <v>0.81799999999999995</v>
      </c>
      <c r="AI580" s="7">
        <v>0.71099999999999997</v>
      </c>
      <c r="AJ580" s="7">
        <v>0.47</v>
      </c>
      <c r="AK580" s="7">
        <v>0.34699999999999998</v>
      </c>
      <c r="AL580" s="7">
        <v>0.45600000000000002</v>
      </c>
      <c r="AM580" s="7">
        <v>0.377</v>
      </c>
      <c r="AN580" s="7">
        <v>0.34</v>
      </c>
      <c r="AO580" s="7">
        <v>0.38100000000000001</v>
      </c>
      <c r="AP580" s="7">
        <v>0.44800000000000001</v>
      </c>
      <c r="AQ580" s="7">
        <v>0.438</v>
      </c>
      <c r="AR580" s="7">
        <v>0.318</v>
      </c>
      <c r="AS580" s="7">
        <v>0.17899999999999999</v>
      </c>
      <c r="AT580" s="7">
        <v>3.3000000000000002E-2</v>
      </c>
    </row>
    <row r="581" spans="1:46" x14ac:dyDescent="0.25">
      <c r="A581" s="4" t="s">
        <v>206</v>
      </c>
      <c r="B581" s="4" t="s">
        <v>207</v>
      </c>
      <c r="C581" s="4" t="s">
        <v>246</v>
      </c>
      <c r="D581" s="4" t="s">
        <v>254</v>
      </c>
      <c r="E581" s="4" t="s">
        <v>257</v>
      </c>
      <c r="F581" s="4" t="s">
        <v>203</v>
      </c>
      <c r="G581" s="4" t="s">
        <v>93</v>
      </c>
      <c r="H581" s="4" t="s">
        <v>250</v>
      </c>
      <c r="I581" s="7">
        <v>25.841999999999999</v>
      </c>
      <c r="J581" s="7">
        <v>32.427999999999997</v>
      </c>
      <c r="K581" s="7">
        <v>40.948</v>
      </c>
      <c r="L581" s="7">
        <v>38.444000000000003</v>
      </c>
      <c r="M581" s="7">
        <v>41.408999999999999</v>
      </c>
      <c r="N581" s="7">
        <v>35.554000000000002</v>
      </c>
      <c r="O581" s="7">
        <v>33.512</v>
      </c>
      <c r="P581" s="7">
        <v>29.792000000000002</v>
      </c>
      <c r="Q581" s="7">
        <v>24.652000000000001</v>
      </c>
      <c r="R581" s="7">
        <v>20.506</v>
      </c>
      <c r="S581" s="7">
        <v>20.146999999999998</v>
      </c>
      <c r="T581" s="7">
        <v>22.190999999999999</v>
      </c>
      <c r="U581" s="7">
        <v>30.061</v>
      </c>
      <c r="V581" s="7">
        <v>38.503</v>
      </c>
      <c r="W581" s="7">
        <v>47.942</v>
      </c>
      <c r="X581" s="7">
        <v>39.311</v>
      </c>
      <c r="Y581" s="7">
        <v>32.777000000000001</v>
      </c>
      <c r="Z581" s="7">
        <v>14.468</v>
      </c>
      <c r="AA581" s="7">
        <v>9.3409999999999993</v>
      </c>
      <c r="AB581" s="7">
        <v>7.7649999999999997</v>
      </c>
      <c r="AC581" s="7">
        <v>10.279</v>
      </c>
      <c r="AD581" s="7">
        <v>10.539</v>
      </c>
      <c r="AE581" s="7">
        <v>11.17</v>
      </c>
      <c r="AF581" s="7">
        <v>11.532</v>
      </c>
      <c r="AG581" s="7">
        <v>10.754</v>
      </c>
      <c r="AH581" s="7">
        <v>9.86</v>
      </c>
      <c r="AI581" s="7">
        <v>6.1660000000000004</v>
      </c>
      <c r="AJ581" s="7">
        <v>4.63</v>
      </c>
      <c r="AK581" s="7">
        <v>5.38</v>
      </c>
      <c r="AL581" s="7">
        <v>6.282</v>
      </c>
      <c r="AM581" s="7">
        <v>6.0279999999999996</v>
      </c>
      <c r="AN581" s="7">
        <v>5.508</v>
      </c>
      <c r="AO581" s="7">
        <v>7.1520000000000001</v>
      </c>
      <c r="AP581" s="7">
        <v>7.66</v>
      </c>
      <c r="AQ581" s="7">
        <v>6.4359999999999999</v>
      </c>
      <c r="AR581" s="7">
        <v>5.99</v>
      </c>
      <c r="AS581" s="7">
        <v>3.7679999999999998</v>
      </c>
      <c r="AT581" s="5">
        <v>991.34699999999998</v>
      </c>
    </row>
    <row r="582" spans="1:46" x14ac:dyDescent="0.25">
      <c r="A582" s="4" t="s">
        <v>206</v>
      </c>
      <c r="B582" s="4" t="s">
        <v>207</v>
      </c>
      <c r="C582" s="4" t="s">
        <v>246</v>
      </c>
      <c r="D582" s="4" t="s">
        <v>254</v>
      </c>
      <c r="E582" s="4" t="s">
        <v>257</v>
      </c>
      <c r="F582" s="4" t="s">
        <v>203</v>
      </c>
      <c r="G582" s="4" t="s">
        <v>93</v>
      </c>
      <c r="H582" s="4" t="s">
        <v>251</v>
      </c>
      <c r="I582" s="7">
        <v>3.4162425000000001</v>
      </c>
      <c r="J582" s="7">
        <v>3.9146112</v>
      </c>
      <c r="K582" s="7">
        <v>4.7156048999999998</v>
      </c>
      <c r="L582" s="7">
        <v>4.9568507999999998</v>
      </c>
      <c r="M582" s="7">
        <v>4.8577459999999997</v>
      </c>
      <c r="N582" s="7">
        <v>4.3789325000000003</v>
      </c>
      <c r="O582" s="7">
        <v>4.4548586999999999</v>
      </c>
      <c r="P582" s="7">
        <v>4.2507212000000001</v>
      </c>
      <c r="Q582" s="7">
        <v>4.5231168999999998</v>
      </c>
      <c r="R582" s="7">
        <v>4.2084754000000002</v>
      </c>
      <c r="S582" s="7">
        <v>3.9842032000000001</v>
      </c>
      <c r="T582" s="7">
        <v>4.5622555</v>
      </c>
      <c r="U582" s="7">
        <v>5.0716039999999998</v>
      </c>
      <c r="V582" s="7">
        <v>5.9461553</v>
      </c>
      <c r="W582" s="7">
        <v>6.8807647000000003</v>
      </c>
      <c r="X582" s="7">
        <v>6.7827298999999996</v>
      </c>
      <c r="Y582" s="7">
        <v>6.1773442000000003</v>
      </c>
      <c r="Z582" s="7">
        <v>4.9656874999999996</v>
      </c>
      <c r="AA582" s="7">
        <v>4.4113043999999997</v>
      </c>
      <c r="AB582" s="7">
        <v>4.0007843000000003</v>
      </c>
      <c r="AC582" s="7">
        <v>4.0022602999999997</v>
      </c>
      <c r="AD582" s="7">
        <v>4.5993664000000001</v>
      </c>
      <c r="AE582" s="7">
        <v>4.6147378000000003</v>
      </c>
      <c r="AF582" s="7">
        <v>4.8892524999999996</v>
      </c>
      <c r="AG582" s="7">
        <v>4.7241474999999999</v>
      </c>
      <c r="AH582" s="7">
        <v>5.0193640999999998</v>
      </c>
      <c r="AI582" s="7">
        <v>5.1014914999999998</v>
      </c>
      <c r="AJ582" s="7">
        <v>5.1845026000000001</v>
      </c>
      <c r="AK582" s="7">
        <v>4.8620359999999998</v>
      </c>
      <c r="AL582" s="7">
        <v>4.2789397999999998</v>
      </c>
      <c r="AM582" s="7">
        <v>3.6142808999999998</v>
      </c>
      <c r="AN582" s="7">
        <v>3.4197668999999999</v>
      </c>
      <c r="AO582" s="7">
        <v>2.5319295999999998</v>
      </c>
      <c r="AP582" s="7">
        <v>2.2616415000000001</v>
      </c>
      <c r="AQ582" s="7">
        <v>2.1876530999999999</v>
      </c>
      <c r="AR582" s="7">
        <v>2.1702466</v>
      </c>
      <c r="AS582" s="7">
        <v>2.3783629999999998</v>
      </c>
      <c r="AT582" s="7">
        <v>3.7679999999999998</v>
      </c>
    </row>
    <row r="583" spans="1:46" x14ac:dyDescent="0.25">
      <c r="A583" s="4" t="s">
        <v>206</v>
      </c>
      <c r="B583" s="4" t="s">
        <v>207</v>
      </c>
      <c r="C583" s="4" t="s">
        <v>246</v>
      </c>
      <c r="D583" s="4" t="s">
        <v>254</v>
      </c>
      <c r="E583" s="4" t="s">
        <v>257</v>
      </c>
      <c r="F583" s="4" t="s">
        <v>203</v>
      </c>
      <c r="G583" s="4" t="s">
        <v>93</v>
      </c>
      <c r="H583" s="4" t="s">
        <v>252</v>
      </c>
      <c r="I583" s="16">
        <v>0.33700000000000002</v>
      </c>
      <c r="J583" s="16">
        <v>0.29399999999999998</v>
      </c>
      <c r="K583" s="16">
        <v>0.57299999999999995</v>
      </c>
      <c r="L583" s="16">
        <v>0.497</v>
      </c>
      <c r="M583" s="16">
        <v>0.40400000000000003</v>
      </c>
      <c r="N583" s="16">
        <v>0.48399999999999999</v>
      </c>
      <c r="O583" s="16">
        <v>0.44900000000000001</v>
      </c>
      <c r="P583" s="16">
        <v>0.502</v>
      </c>
      <c r="Q583" s="16">
        <v>0.53600000000000003</v>
      </c>
      <c r="R583" s="16">
        <v>0.59699999999999998</v>
      </c>
      <c r="S583" s="16">
        <v>0.501</v>
      </c>
      <c r="T583" s="16">
        <v>0.55400000000000005</v>
      </c>
      <c r="U583" s="16">
        <v>0.69</v>
      </c>
      <c r="V583" s="16">
        <v>0.90300000000000002</v>
      </c>
      <c r="W583" s="16">
        <v>0.71499999999999997</v>
      </c>
      <c r="X583" s="16">
        <v>0.68400000000000005</v>
      </c>
      <c r="Y583" s="16">
        <v>0.71099999999999997</v>
      </c>
      <c r="Z583" s="16">
        <v>0.58599999999999997</v>
      </c>
      <c r="AA583" s="16">
        <v>0.497</v>
      </c>
      <c r="AB583" s="16">
        <v>0.48699999999999999</v>
      </c>
      <c r="AC583" s="16">
        <v>0.48399999999999999</v>
      </c>
      <c r="AD583" s="16">
        <v>0.60499999999999998</v>
      </c>
      <c r="AE583" s="16">
        <v>0.61499999999999999</v>
      </c>
      <c r="AF583" s="16">
        <v>0.66100000000000003</v>
      </c>
      <c r="AG583" s="16">
        <v>0.61399999999999999</v>
      </c>
      <c r="AH583" s="16">
        <v>0.6</v>
      </c>
      <c r="AI583" s="16">
        <v>0.57899999999999996</v>
      </c>
      <c r="AJ583" s="16">
        <v>0.49399999999999999</v>
      </c>
      <c r="AK583" s="16">
        <v>0.41499999999999998</v>
      </c>
      <c r="AL583" s="16">
        <v>0.32100000000000001</v>
      </c>
      <c r="AM583" s="16">
        <v>0.33900000000000002</v>
      </c>
      <c r="AN583" s="16">
        <v>0.26700000000000002</v>
      </c>
      <c r="AO583" s="16">
        <v>0.25900000000000001</v>
      </c>
      <c r="AP583" s="16">
        <v>0.2</v>
      </c>
      <c r="AQ583" s="16">
        <v>0.14799999999999999</v>
      </c>
      <c r="AR583" s="16">
        <v>0.152</v>
      </c>
      <c r="AS583" s="16">
        <v>0.19500000000000001</v>
      </c>
      <c r="AT583" s="7">
        <v>2.3783629999999998</v>
      </c>
    </row>
    <row r="584" spans="1:46" x14ac:dyDescent="0.25">
      <c r="A584" s="4" t="s">
        <v>206</v>
      </c>
      <c r="B584" s="4" t="s">
        <v>207</v>
      </c>
      <c r="C584" s="4" t="s">
        <v>246</v>
      </c>
      <c r="D584" s="4" t="s">
        <v>254</v>
      </c>
      <c r="E584" s="4" t="s">
        <v>258</v>
      </c>
      <c r="F584" s="4" t="s">
        <v>203</v>
      </c>
      <c r="G584" s="4" t="s">
        <v>93</v>
      </c>
      <c r="H584" s="4" t="s">
        <v>151</v>
      </c>
      <c r="I584" s="5">
        <v>1042.7550000000001</v>
      </c>
      <c r="J584" s="5">
        <v>1126.758</v>
      </c>
      <c r="K584" s="5">
        <v>1663.8420000000001</v>
      </c>
      <c r="L584" s="5">
        <v>1463.3420000000001</v>
      </c>
      <c r="M584" s="5">
        <v>1155.01</v>
      </c>
      <c r="N584" s="5">
        <v>1712.6479999999999</v>
      </c>
      <c r="O584" s="5">
        <v>2285.069</v>
      </c>
      <c r="P584" s="5">
        <v>1734.59</v>
      </c>
      <c r="Q584" s="5">
        <v>897.99599999999998</v>
      </c>
      <c r="R584" s="5">
        <v>597.88099999999997</v>
      </c>
      <c r="S584" s="5">
        <v>649.27</v>
      </c>
      <c r="T584" s="5">
        <v>387.89100000000002</v>
      </c>
      <c r="U584" s="5">
        <v>542.51800000000003</v>
      </c>
      <c r="V584" s="5">
        <v>731.22400000000005</v>
      </c>
      <c r="W584" s="5">
        <v>1362.6189999999999</v>
      </c>
      <c r="X584" s="5">
        <v>1563.452</v>
      </c>
      <c r="Y584" s="5">
        <v>2054.6</v>
      </c>
      <c r="Z584" s="5">
        <v>2653.6680000000001</v>
      </c>
      <c r="AA584" s="5">
        <v>2588.0830000000001</v>
      </c>
      <c r="AB584" s="5">
        <v>1797.3789999999999</v>
      </c>
      <c r="AC584" s="5">
        <v>1608.259</v>
      </c>
      <c r="AD584" s="5">
        <v>1100.5509999999999</v>
      </c>
      <c r="AE584" s="5">
        <v>1295.3879999999999</v>
      </c>
      <c r="AF584" s="5">
        <v>1294.0909999999999</v>
      </c>
      <c r="AG584" s="5">
        <v>878.08100000000002</v>
      </c>
      <c r="AH584" s="5">
        <v>1173.203</v>
      </c>
      <c r="AI584" s="5">
        <v>2003.2529999999999</v>
      </c>
      <c r="AJ584" s="5">
        <v>4850.5119999999997</v>
      </c>
      <c r="AK584" s="5">
        <v>5846.3069999999998</v>
      </c>
      <c r="AL584" s="5">
        <v>6033.5410000000002</v>
      </c>
      <c r="AM584" s="5">
        <v>5074.2030000000004</v>
      </c>
      <c r="AN584" s="5">
        <v>5350.9859999999999</v>
      </c>
      <c r="AO584" s="5">
        <v>3897.6309999999999</v>
      </c>
      <c r="AP584" s="5">
        <v>2767.0140000000001</v>
      </c>
      <c r="AQ584" s="5">
        <v>2600.2559999999999</v>
      </c>
      <c r="AR584" s="5">
        <v>1722.9490000000001</v>
      </c>
      <c r="AS584" s="5">
        <v>1960.296</v>
      </c>
      <c r="AT584" s="5">
        <v>1960.296</v>
      </c>
    </row>
    <row r="585" spans="1:46" x14ac:dyDescent="0.25">
      <c r="A585" s="4" t="s">
        <v>206</v>
      </c>
      <c r="B585" s="4" t="s">
        <v>207</v>
      </c>
      <c r="C585" s="4" t="s">
        <v>246</v>
      </c>
      <c r="D585" s="4" t="s">
        <v>254</v>
      </c>
      <c r="E585" s="4" t="s">
        <v>258</v>
      </c>
      <c r="F585" s="4" t="s">
        <v>203</v>
      </c>
      <c r="G585" s="4" t="s">
        <v>93</v>
      </c>
      <c r="H585" s="4" t="s">
        <v>205</v>
      </c>
      <c r="I585" s="6">
        <v>142472.54199999999</v>
      </c>
      <c r="J585" s="6">
        <v>147809.56400000001</v>
      </c>
      <c r="K585" s="6">
        <v>213926.12</v>
      </c>
      <c r="L585" s="6">
        <v>178785.576</v>
      </c>
      <c r="M585" s="6">
        <v>152542.09099999999</v>
      </c>
      <c r="N585" s="6">
        <v>241189.364</v>
      </c>
      <c r="O585" s="6">
        <v>259637.32399999999</v>
      </c>
      <c r="P585" s="6">
        <v>204744.94099999999</v>
      </c>
      <c r="Q585" s="6">
        <v>100931.564</v>
      </c>
      <c r="R585" s="6">
        <v>64916.159</v>
      </c>
      <c r="S585" s="6">
        <v>66618.982000000004</v>
      </c>
      <c r="T585" s="6">
        <v>36310.642</v>
      </c>
      <c r="U585" s="6">
        <v>56602.557999999997</v>
      </c>
      <c r="V585" s="6">
        <v>79843.331999999995</v>
      </c>
      <c r="W585" s="6">
        <v>170615.8</v>
      </c>
      <c r="X585" s="6">
        <v>205495.69399999999</v>
      </c>
      <c r="Y585" s="6">
        <v>288948.32900000003</v>
      </c>
      <c r="Z585" s="6">
        <v>400489.23200000002</v>
      </c>
      <c r="AA585" s="6">
        <v>391766.48800000001</v>
      </c>
      <c r="AB585" s="6">
        <v>271422.80599999998</v>
      </c>
      <c r="AC585" s="6">
        <v>237605.215</v>
      </c>
      <c r="AD585" s="6">
        <v>162578.69699999999</v>
      </c>
      <c r="AE585" s="6">
        <v>193374.30799999999</v>
      </c>
      <c r="AF585" s="6">
        <v>193609.19500000001</v>
      </c>
      <c r="AG585" s="6">
        <v>139796.91500000001</v>
      </c>
      <c r="AH585" s="6">
        <v>196227.851</v>
      </c>
      <c r="AI585" s="6">
        <v>324111.47899999999</v>
      </c>
      <c r="AJ585" s="6">
        <v>776113.46299999999</v>
      </c>
      <c r="AK585" s="6">
        <v>949817.23600000003</v>
      </c>
      <c r="AL585" s="6">
        <v>986371.46200000006</v>
      </c>
      <c r="AM585" s="6">
        <v>836680.27</v>
      </c>
      <c r="AN585" s="6">
        <v>824393.14500000002</v>
      </c>
      <c r="AO585" s="6">
        <v>619559.84400000004</v>
      </c>
      <c r="AP585" s="6">
        <v>427062.28200000001</v>
      </c>
      <c r="AQ585" s="6">
        <v>427087.85399999999</v>
      </c>
      <c r="AR585" s="6">
        <v>289017.62400000001</v>
      </c>
      <c r="AS585" s="6">
        <v>331240.98200000002</v>
      </c>
      <c r="AT585" s="6">
        <v>331240.98200000002</v>
      </c>
    </row>
    <row r="586" spans="1:46" x14ac:dyDescent="0.25">
      <c r="A586" s="4" t="s">
        <v>206</v>
      </c>
      <c r="B586" s="4" t="s">
        <v>207</v>
      </c>
      <c r="C586" s="4" t="s">
        <v>246</v>
      </c>
      <c r="D586" s="4" t="s">
        <v>254</v>
      </c>
      <c r="E586" s="4" t="s">
        <v>258</v>
      </c>
      <c r="F586" s="4" t="s">
        <v>203</v>
      </c>
      <c r="G586" s="4" t="s">
        <v>93</v>
      </c>
      <c r="H586" s="4" t="s">
        <v>249</v>
      </c>
      <c r="I586" s="7">
        <v>0.47099999999999997</v>
      </c>
      <c r="J586" s="7">
        <v>0.35499999999999998</v>
      </c>
      <c r="K586" s="7">
        <v>0.373</v>
      </c>
      <c r="L586" s="7">
        <v>0.252</v>
      </c>
      <c r="M586" s="7">
        <v>0.14899999999999999</v>
      </c>
      <c r="N586" s="7">
        <v>0.23</v>
      </c>
      <c r="O586" s="7">
        <v>0.34300000000000003</v>
      </c>
      <c r="P586" s="7">
        <v>0.36599999999999999</v>
      </c>
      <c r="Q586" s="7">
        <v>0.27100000000000002</v>
      </c>
      <c r="R586" s="7">
        <v>0.27800000000000002</v>
      </c>
      <c r="S586" s="7">
        <v>0.36</v>
      </c>
      <c r="T586" s="7">
        <v>0.224</v>
      </c>
      <c r="U586" s="7">
        <v>0.28499999999999998</v>
      </c>
      <c r="V586" s="7">
        <v>0.28100000000000003</v>
      </c>
      <c r="W586" s="7">
        <v>0.35899999999999999</v>
      </c>
      <c r="X586" s="7">
        <v>0.28599999999999998</v>
      </c>
      <c r="Y586" s="7">
        <v>0.31</v>
      </c>
      <c r="Z586" s="7">
        <v>0.43099999999999999</v>
      </c>
      <c r="AA586" s="7">
        <v>0.40200000000000002</v>
      </c>
      <c r="AB586" s="7">
        <v>0.36499999999999999</v>
      </c>
      <c r="AC586" s="7">
        <v>0.42299999999999999</v>
      </c>
      <c r="AD586" s="7">
        <v>0.39100000000000001</v>
      </c>
      <c r="AE586" s="7">
        <v>0.58099999999999996</v>
      </c>
      <c r="AF586" s="7">
        <v>0.65300000000000002</v>
      </c>
      <c r="AG586" s="7">
        <v>0.42199999999999999</v>
      </c>
      <c r="AH586" s="7">
        <v>0.41699999999999998</v>
      </c>
      <c r="AI586" s="7">
        <v>0.53200000000000003</v>
      </c>
      <c r="AJ586" s="7">
        <v>0.85699999999999998</v>
      </c>
      <c r="AK586" s="7">
        <v>0.80700000000000005</v>
      </c>
      <c r="AL586" s="7">
        <v>0.84599999999999997</v>
      </c>
      <c r="AM586" s="7">
        <v>0.61299999999999999</v>
      </c>
      <c r="AN586" s="7">
        <v>0.65500000000000003</v>
      </c>
      <c r="AO586" s="7">
        <v>0.73899999999999999</v>
      </c>
      <c r="AP586" s="7">
        <v>0.73399999999999999</v>
      </c>
      <c r="AQ586" s="7">
        <v>0.92700000000000005</v>
      </c>
      <c r="AR586" s="7">
        <v>0.88300000000000001</v>
      </c>
      <c r="AS586" s="7">
        <v>1.2150000000000001</v>
      </c>
      <c r="AT586" s="7">
        <v>0.222</v>
      </c>
    </row>
    <row r="587" spans="1:46" x14ac:dyDescent="0.25">
      <c r="A587" s="4" t="s">
        <v>206</v>
      </c>
      <c r="B587" s="4" t="s">
        <v>207</v>
      </c>
      <c r="C587" s="4" t="s">
        <v>246</v>
      </c>
      <c r="D587" s="4" t="s">
        <v>254</v>
      </c>
      <c r="E587" s="4" t="s">
        <v>258</v>
      </c>
      <c r="F587" s="4" t="s">
        <v>203</v>
      </c>
      <c r="G587" s="4" t="s">
        <v>93</v>
      </c>
      <c r="H587" s="4" t="s">
        <v>250</v>
      </c>
      <c r="I587" s="7">
        <v>9.1050000000000004</v>
      </c>
      <c r="J587" s="7">
        <v>6.6239999999999997</v>
      </c>
      <c r="K587" s="7">
        <v>4.6929999999999996</v>
      </c>
      <c r="L587" s="7">
        <v>3.5009999999999999</v>
      </c>
      <c r="M587" s="7">
        <v>2.7669999999999999</v>
      </c>
      <c r="N587" s="7">
        <v>3.6749999999999998</v>
      </c>
      <c r="O587" s="7">
        <v>5.4539999999999997</v>
      </c>
      <c r="P587" s="7">
        <v>6.7759999999999998</v>
      </c>
      <c r="Q587" s="7">
        <v>7.2350000000000003</v>
      </c>
      <c r="R587" s="7">
        <v>8.6440000000000001</v>
      </c>
      <c r="S587" s="7">
        <v>8.407</v>
      </c>
      <c r="T587" s="7">
        <v>8.11</v>
      </c>
      <c r="U587" s="7">
        <v>6.6760000000000002</v>
      </c>
      <c r="V587" s="7">
        <v>5.7750000000000004</v>
      </c>
      <c r="W587" s="7">
        <v>10.096</v>
      </c>
      <c r="X587" s="7">
        <v>11.723000000000001</v>
      </c>
      <c r="Y587" s="7">
        <v>30.696999999999999</v>
      </c>
      <c r="Z587" s="7">
        <v>32.656999999999996</v>
      </c>
      <c r="AA587" s="7">
        <v>31.413</v>
      </c>
      <c r="AB587" s="7">
        <v>27.084</v>
      </c>
      <c r="AC587" s="7">
        <v>23.009</v>
      </c>
      <c r="AD587" s="7">
        <v>20.817</v>
      </c>
      <c r="AE587" s="7">
        <v>17.561</v>
      </c>
      <c r="AF587" s="7">
        <v>19.923999999999999</v>
      </c>
      <c r="AG587" s="7">
        <v>20.526</v>
      </c>
      <c r="AH587" s="7">
        <v>26.553000000000001</v>
      </c>
      <c r="AI587" s="7">
        <v>32.15</v>
      </c>
      <c r="AJ587" s="7">
        <v>39.853999999999999</v>
      </c>
      <c r="AK587" s="7">
        <v>40.572000000000003</v>
      </c>
      <c r="AL587" s="7">
        <v>34.191000000000003</v>
      </c>
      <c r="AM587" s="7">
        <v>32.588000000000001</v>
      </c>
      <c r="AN587" s="7">
        <v>36.125</v>
      </c>
      <c r="AO587" s="7">
        <v>25.427</v>
      </c>
      <c r="AP587" s="7">
        <v>20.475999999999999</v>
      </c>
      <c r="AQ587" s="7">
        <v>18.853999999999999</v>
      </c>
      <c r="AR587" s="7">
        <v>19.942</v>
      </c>
      <c r="AS587" s="7">
        <v>31.079000000000001</v>
      </c>
      <c r="AT587" s="5">
        <v>2868.67</v>
      </c>
    </row>
    <row r="588" spans="1:46" x14ac:dyDescent="0.25">
      <c r="A588" s="4" t="s">
        <v>206</v>
      </c>
      <c r="B588" s="4" t="s">
        <v>207</v>
      </c>
      <c r="C588" s="4" t="s">
        <v>246</v>
      </c>
      <c r="D588" s="4" t="s">
        <v>254</v>
      </c>
      <c r="E588" s="4" t="s">
        <v>258</v>
      </c>
      <c r="F588" s="4" t="s">
        <v>203</v>
      </c>
      <c r="G588" s="4" t="s">
        <v>93</v>
      </c>
      <c r="H588" s="4" t="s">
        <v>251</v>
      </c>
      <c r="I588" s="7">
        <v>2.4289749</v>
      </c>
      <c r="J588" s="7">
        <v>2.2672381000000001</v>
      </c>
      <c r="K588" s="7">
        <v>2.3733498000000002</v>
      </c>
      <c r="L588" s="7">
        <v>2.087167</v>
      </c>
      <c r="M588" s="7">
        <v>1.2624206</v>
      </c>
      <c r="N588" s="7">
        <v>1.7457199000000001</v>
      </c>
      <c r="O588" s="7">
        <v>2.0796505999999999</v>
      </c>
      <c r="P588" s="7">
        <v>2.0026115</v>
      </c>
      <c r="Q588" s="7">
        <v>1.3525872999999999</v>
      </c>
      <c r="R588" s="7">
        <v>0.84871509999999994</v>
      </c>
      <c r="S588" s="7">
        <v>0.78836280000000003</v>
      </c>
      <c r="T588" s="7">
        <v>0.75996260000000004</v>
      </c>
      <c r="U588" s="7">
        <v>0.86145490000000002</v>
      </c>
      <c r="V588" s="7">
        <v>0.82558500000000001</v>
      </c>
      <c r="W588" s="7">
        <v>1.0593566000000001</v>
      </c>
      <c r="X588" s="7">
        <v>1.2673356</v>
      </c>
      <c r="Y588" s="7">
        <v>1.9128342</v>
      </c>
      <c r="Z588" s="7">
        <v>1.9695179</v>
      </c>
      <c r="AA588" s="7">
        <v>1.8421097</v>
      </c>
      <c r="AB588" s="7">
        <v>1.760089</v>
      </c>
      <c r="AC588" s="7">
        <v>2.0191422999999999</v>
      </c>
      <c r="AD588" s="7">
        <v>2.2499658</v>
      </c>
      <c r="AE588" s="7">
        <v>2.5430149000000002</v>
      </c>
      <c r="AF588" s="7">
        <v>2.6286496000000001</v>
      </c>
      <c r="AG588" s="7">
        <v>2.7832849</v>
      </c>
      <c r="AH588" s="7">
        <v>2.8829045</v>
      </c>
      <c r="AI588" s="7">
        <v>3.2847341999999999</v>
      </c>
      <c r="AJ588" s="7">
        <v>4.0854274999999998</v>
      </c>
      <c r="AK588" s="7">
        <v>4.8370232</v>
      </c>
      <c r="AL588" s="7">
        <v>5.6550054000000003</v>
      </c>
      <c r="AM588" s="7">
        <v>5.7495576000000002</v>
      </c>
      <c r="AN588" s="7">
        <v>5.8023141000000003</v>
      </c>
      <c r="AO588" s="7">
        <v>5.5232697000000002</v>
      </c>
      <c r="AP588" s="7">
        <v>4.7680531999999998</v>
      </c>
      <c r="AQ588" s="7">
        <v>4.5472142</v>
      </c>
      <c r="AR588" s="7">
        <v>4.6482047</v>
      </c>
      <c r="AS588" s="7">
        <v>5.0354267999999998</v>
      </c>
      <c r="AT588" s="7">
        <v>31.079000000000001</v>
      </c>
    </row>
    <row r="589" spans="1:46" x14ac:dyDescent="0.25">
      <c r="A589" s="4" t="s">
        <v>206</v>
      </c>
      <c r="B589" s="4" t="s">
        <v>207</v>
      </c>
      <c r="C589" s="4" t="s">
        <v>246</v>
      </c>
      <c r="D589" s="4" t="s">
        <v>254</v>
      </c>
      <c r="E589" s="4" t="s">
        <v>258</v>
      </c>
      <c r="F589" s="4" t="s">
        <v>203</v>
      </c>
      <c r="G589" s="4" t="s">
        <v>93</v>
      </c>
      <c r="H589" s="4" t="s">
        <v>252</v>
      </c>
      <c r="I589" s="16">
        <v>0.47799999999999998</v>
      </c>
      <c r="J589" s="16">
        <v>0.35099999999999998</v>
      </c>
      <c r="K589" s="16">
        <v>0.376</v>
      </c>
      <c r="L589" s="16">
        <v>0.20499999999999999</v>
      </c>
      <c r="M589" s="16">
        <v>0.19600000000000001</v>
      </c>
      <c r="N589" s="16">
        <v>0.24299999999999999</v>
      </c>
      <c r="O589" s="16">
        <v>0.28999999999999998</v>
      </c>
      <c r="P589" s="16">
        <v>0.27</v>
      </c>
      <c r="Q589" s="16">
        <v>0.25900000000000001</v>
      </c>
      <c r="R589" s="16">
        <v>0.20399999999999999</v>
      </c>
      <c r="S589" s="16">
        <v>0.20499999999999999</v>
      </c>
      <c r="T589" s="16">
        <v>0.157</v>
      </c>
      <c r="U589" s="16">
        <v>0.154</v>
      </c>
      <c r="V589" s="16">
        <v>0.114</v>
      </c>
      <c r="W589" s="16">
        <v>0.129</v>
      </c>
      <c r="X589" s="16">
        <v>0.128</v>
      </c>
      <c r="Y589" s="16">
        <v>0.13600000000000001</v>
      </c>
      <c r="Z589" s="16">
        <v>9.7000000000000003E-2</v>
      </c>
      <c r="AA589" s="16">
        <v>0.111</v>
      </c>
      <c r="AB589" s="16">
        <v>0.155</v>
      </c>
      <c r="AC589" s="16">
        <v>0.27</v>
      </c>
      <c r="AD589" s="16">
        <v>0.35499999999999998</v>
      </c>
      <c r="AE589" s="16">
        <v>0.32800000000000001</v>
      </c>
      <c r="AF589" s="16">
        <v>0.22</v>
      </c>
      <c r="AG589" s="16">
        <v>0.307</v>
      </c>
      <c r="AH589" s="16">
        <v>0.251</v>
      </c>
      <c r="AI589" s="16">
        <v>0.39300000000000002</v>
      </c>
      <c r="AJ589" s="16">
        <v>0.38200000000000001</v>
      </c>
      <c r="AK589" s="16">
        <v>0.38600000000000001</v>
      </c>
      <c r="AL589" s="16">
        <v>0.61299999999999999</v>
      </c>
      <c r="AM589" s="16">
        <v>0.33100000000000002</v>
      </c>
      <c r="AN589" s="16">
        <v>0.46800000000000003</v>
      </c>
      <c r="AO589" s="16">
        <v>0.45900000000000002</v>
      </c>
      <c r="AP589" s="16">
        <v>0.59499999999999997</v>
      </c>
      <c r="AQ589" s="16">
        <v>0.55200000000000005</v>
      </c>
      <c r="AR589" s="16">
        <v>0.51800000000000002</v>
      </c>
      <c r="AS589" s="16">
        <v>0.55100000000000005</v>
      </c>
      <c r="AT589" s="7">
        <v>5.0354267999999998</v>
      </c>
    </row>
    <row r="590" spans="1:46" x14ac:dyDescent="0.25">
      <c r="A590" s="4" t="s">
        <v>206</v>
      </c>
      <c r="B590" s="4" t="s">
        <v>207</v>
      </c>
      <c r="C590" s="4" t="s">
        <v>246</v>
      </c>
      <c r="D590" s="4" t="s">
        <v>254</v>
      </c>
      <c r="E590" s="4" t="s">
        <v>258</v>
      </c>
      <c r="F590" s="4" t="s">
        <v>195</v>
      </c>
      <c r="G590" s="4" t="s">
        <v>93</v>
      </c>
      <c r="H590" s="4" t="s">
        <v>151</v>
      </c>
      <c r="I590" s="5">
        <v>660.79300000000001</v>
      </c>
      <c r="J590" s="5">
        <v>491.78899999999999</v>
      </c>
      <c r="K590" s="5">
        <v>755.5</v>
      </c>
      <c r="L590" s="5">
        <v>573.65</v>
      </c>
      <c r="M590" s="5">
        <v>853.72500000000002</v>
      </c>
      <c r="N590" s="5">
        <v>950.84400000000005</v>
      </c>
      <c r="O590" s="5">
        <v>1627.731</v>
      </c>
      <c r="P590" s="5">
        <v>1784.2170000000001</v>
      </c>
      <c r="Q590" s="5">
        <v>1587.6690000000001</v>
      </c>
      <c r="R590" s="5">
        <v>1324.1130000000001</v>
      </c>
      <c r="S590" s="5">
        <v>1172.473</v>
      </c>
      <c r="T590" s="5">
        <v>982.93700000000001</v>
      </c>
      <c r="U590" s="5">
        <v>1453.931</v>
      </c>
      <c r="V590" s="5">
        <v>2442.6689999999999</v>
      </c>
      <c r="W590" s="5">
        <v>4357.1940000000004</v>
      </c>
      <c r="X590" s="5">
        <v>7264.55</v>
      </c>
      <c r="Y590" s="5">
        <v>8814.0949999999993</v>
      </c>
      <c r="Z590" s="5">
        <v>7807.2979999999998</v>
      </c>
      <c r="AA590" s="5">
        <v>8938.8670000000002</v>
      </c>
      <c r="AB590" s="5">
        <v>5786.683</v>
      </c>
      <c r="AC590" s="5">
        <v>4674.0789999999997</v>
      </c>
      <c r="AD590" s="5">
        <v>2640.8870000000002</v>
      </c>
      <c r="AE590" s="5">
        <v>2222.1950000000002</v>
      </c>
      <c r="AF590" s="5">
        <v>2356.6469999999999</v>
      </c>
      <c r="AG590" s="5">
        <v>2454.335</v>
      </c>
      <c r="AH590" s="5">
        <v>4866.1639999999998</v>
      </c>
      <c r="AI590" s="5">
        <v>7588.7629999999999</v>
      </c>
      <c r="AJ590" s="5">
        <v>13511.03</v>
      </c>
      <c r="AK590" s="5">
        <v>15657.442999999999</v>
      </c>
      <c r="AL590" s="5">
        <v>13875.88</v>
      </c>
      <c r="AM590" s="5">
        <v>13356.145</v>
      </c>
      <c r="AN590" s="5">
        <v>11222.365</v>
      </c>
      <c r="AO590" s="5">
        <v>7319.6049999999996</v>
      </c>
      <c r="AP590" s="5">
        <v>5286.5320000000002</v>
      </c>
      <c r="AQ590" s="5">
        <v>4298.9880000000003</v>
      </c>
      <c r="AR590" s="5">
        <v>3107.9659999999999</v>
      </c>
      <c r="AS590" s="5">
        <v>3172.1979999999999</v>
      </c>
      <c r="AT590" s="5">
        <v>3172.1979999999999</v>
      </c>
    </row>
    <row r="591" spans="1:46" x14ac:dyDescent="0.25">
      <c r="A591" s="4" t="s">
        <v>206</v>
      </c>
      <c r="B591" s="4" t="s">
        <v>207</v>
      </c>
      <c r="C591" s="4" t="s">
        <v>246</v>
      </c>
      <c r="D591" s="4" t="s">
        <v>254</v>
      </c>
      <c r="E591" s="4" t="s">
        <v>258</v>
      </c>
      <c r="F591" s="4" t="s">
        <v>195</v>
      </c>
      <c r="G591" s="4" t="s">
        <v>93</v>
      </c>
      <c r="H591" s="4" t="s">
        <v>205</v>
      </c>
      <c r="I591" s="6">
        <v>140610.25599999999</v>
      </c>
      <c r="J591" s="6">
        <v>110655.932</v>
      </c>
      <c r="K591" s="6">
        <v>178658.10699999999</v>
      </c>
      <c r="L591" s="6">
        <v>137143.04500000001</v>
      </c>
      <c r="M591" s="6">
        <v>218007.31099999999</v>
      </c>
      <c r="N591" s="6">
        <v>221527.05900000001</v>
      </c>
      <c r="O591" s="6">
        <v>406140.71</v>
      </c>
      <c r="P591" s="6">
        <v>440804.08299999998</v>
      </c>
      <c r="Q591" s="6">
        <v>375384.43300000002</v>
      </c>
      <c r="R591" s="6">
        <v>327872.59399999998</v>
      </c>
      <c r="S591" s="6">
        <v>292441.217</v>
      </c>
      <c r="T591" s="6">
        <v>236215.27900000001</v>
      </c>
      <c r="U591" s="6">
        <v>334615.25099999999</v>
      </c>
      <c r="V591" s="6">
        <v>562602.81400000001</v>
      </c>
      <c r="W591" s="6">
        <v>1008421.116</v>
      </c>
      <c r="X591" s="6">
        <v>1710690.8359999999</v>
      </c>
      <c r="Y591" s="6">
        <v>2072620.375</v>
      </c>
      <c r="Z591" s="6">
        <v>1834167.183</v>
      </c>
      <c r="AA591" s="6">
        <v>2064818.7</v>
      </c>
      <c r="AB591" s="6">
        <v>1347446.97</v>
      </c>
      <c r="AC591" s="6">
        <v>1027702.371</v>
      </c>
      <c r="AD591" s="6">
        <v>624105.41899999999</v>
      </c>
      <c r="AE591" s="6">
        <v>535360.87800000003</v>
      </c>
      <c r="AF591" s="6">
        <v>575243.929</v>
      </c>
      <c r="AG591" s="6">
        <v>595967.53500000003</v>
      </c>
      <c r="AH591" s="6">
        <v>1269734.419</v>
      </c>
      <c r="AI591" s="6">
        <v>2027685.9809999999</v>
      </c>
      <c r="AJ591" s="6">
        <v>3635715.5079999999</v>
      </c>
      <c r="AK591" s="6">
        <v>4316096.4800000004</v>
      </c>
      <c r="AL591" s="6">
        <v>3896673.03</v>
      </c>
      <c r="AM591" s="6">
        <v>3696083.17</v>
      </c>
      <c r="AN591" s="6">
        <v>3101018.65</v>
      </c>
      <c r="AO591" s="6">
        <v>2041651.193</v>
      </c>
      <c r="AP591" s="6">
        <v>1493615.6470000001</v>
      </c>
      <c r="AQ591" s="6">
        <v>1201495.7339999999</v>
      </c>
      <c r="AR591" s="6">
        <v>878955.51699999999</v>
      </c>
      <c r="AS591" s="6">
        <v>945227.05299999996</v>
      </c>
      <c r="AT591" s="6">
        <v>945227.05299999996</v>
      </c>
    </row>
    <row r="592" spans="1:46" x14ac:dyDescent="0.25">
      <c r="A592" s="4" t="s">
        <v>206</v>
      </c>
      <c r="B592" s="4" t="s">
        <v>207</v>
      </c>
      <c r="C592" s="4" t="s">
        <v>246</v>
      </c>
      <c r="D592" s="4" t="s">
        <v>254</v>
      </c>
      <c r="E592" s="4" t="s">
        <v>258</v>
      </c>
      <c r="F592" s="4" t="s">
        <v>195</v>
      </c>
      <c r="G592" s="4" t="s">
        <v>93</v>
      </c>
      <c r="H592" s="4" t="s">
        <v>249</v>
      </c>
      <c r="I592" s="7">
        <v>0.35799999999999998</v>
      </c>
      <c r="J592" s="7">
        <v>0.185</v>
      </c>
      <c r="K592" s="7">
        <v>0.20300000000000001</v>
      </c>
      <c r="L592" s="7">
        <v>0.11899999999999999</v>
      </c>
      <c r="M592" s="7">
        <v>0.13200000000000001</v>
      </c>
      <c r="N592" s="7">
        <v>0.15</v>
      </c>
      <c r="O592" s="7">
        <v>0.28899999999999998</v>
      </c>
      <c r="P592" s="7">
        <v>0.443</v>
      </c>
      <c r="Q592" s="7">
        <v>0.57399999999999995</v>
      </c>
      <c r="R592" s="7">
        <v>0.73899999999999999</v>
      </c>
      <c r="S592" s="7">
        <v>0.78100000000000003</v>
      </c>
      <c r="T592" s="7">
        <v>0.68200000000000005</v>
      </c>
      <c r="U592" s="7">
        <v>0.89400000000000002</v>
      </c>
      <c r="V592" s="7">
        <v>1.1180000000000001</v>
      </c>
      <c r="W592" s="7">
        <v>1.294</v>
      </c>
      <c r="X592" s="7">
        <v>1.528</v>
      </c>
      <c r="Y592" s="7">
        <v>1.593</v>
      </c>
      <c r="Z592" s="7">
        <v>1.506</v>
      </c>
      <c r="AA592" s="7">
        <v>1.6539999999999999</v>
      </c>
      <c r="AB592" s="7">
        <v>1.4119999999999999</v>
      </c>
      <c r="AC592" s="7">
        <v>1.476</v>
      </c>
      <c r="AD592" s="7">
        <v>1.1240000000000001</v>
      </c>
      <c r="AE592" s="7">
        <v>1.1950000000000001</v>
      </c>
      <c r="AF592" s="7">
        <v>1.4139999999999999</v>
      </c>
      <c r="AG592" s="7">
        <v>1.387</v>
      </c>
      <c r="AH592" s="7">
        <v>2.0939999999999999</v>
      </c>
      <c r="AI592" s="7">
        <v>2.4420000000000002</v>
      </c>
      <c r="AJ592" s="7">
        <v>2.91</v>
      </c>
      <c r="AK592" s="7">
        <v>2.6480000000000001</v>
      </c>
      <c r="AL592" s="7">
        <v>2.387</v>
      </c>
      <c r="AM592" s="7">
        <v>1.978</v>
      </c>
      <c r="AN592" s="7">
        <v>1.68</v>
      </c>
      <c r="AO592" s="7">
        <v>1.7</v>
      </c>
      <c r="AP592" s="7">
        <v>1.7190000000000001</v>
      </c>
      <c r="AQ592" s="7">
        <v>1.881</v>
      </c>
      <c r="AR592" s="7">
        <v>1.9670000000000001</v>
      </c>
      <c r="AS592" s="7">
        <v>2.4220000000000002</v>
      </c>
      <c r="AT592" s="7">
        <v>0.35899999999999999</v>
      </c>
    </row>
    <row r="593" spans="1:46" x14ac:dyDescent="0.25">
      <c r="A593" s="4" t="s">
        <v>206</v>
      </c>
      <c r="B593" s="4" t="s">
        <v>207</v>
      </c>
      <c r="C593" s="4" t="s">
        <v>246</v>
      </c>
      <c r="D593" s="4" t="s">
        <v>254</v>
      </c>
      <c r="E593" s="4" t="s">
        <v>258</v>
      </c>
      <c r="F593" s="4" t="s">
        <v>195</v>
      </c>
      <c r="G593" s="4" t="s">
        <v>93</v>
      </c>
      <c r="H593" s="4" t="s">
        <v>250</v>
      </c>
      <c r="I593" s="7">
        <v>6.8639999999999999</v>
      </c>
      <c r="J593" s="7">
        <v>4.5640000000000001</v>
      </c>
      <c r="K593" s="7">
        <v>3.524</v>
      </c>
      <c r="L593" s="7">
        <v>2.9350000000000001</v>
      </c>
      <c r="M593" s="7">
        <v>2.742</v>
      </c>
      <c r="N593" s="7">
        <v>3.1539999999999999</v>
      </c>
      <c r="O593" s="7">
        <v>20.843</v>
      </c>
      <c r="P593" s="7">
        <v>22.584</v>
      </c>
      <c r="Q593" s="7">
        <v>21.106999999999999</v>
      </c>
      <c r="R593" s="7">
        <v>17.457999999999998</v>
      </c>
      <c r="S593" s="7">
        <v>15.701000000000001</v>
      </c>
      <c r="T593" s="7">
        <v>18.556999999999999</v>
      </c>
      <c r="U593" s="7">
        <v>26.762</v>
      </c>
      <c r="V593" s="7">
        <v>37.292000000000002</v>
      </c>
      <c r="W593" s="7">
        <v>48.982999999999997</v>
      </c>
      <c r="X593" s="7">
        <v>55.081000000000003</v>
      </c>
      <c r="Y593" s="7">
        <v>58.606999999999999</v>
      </c>
      <c r="Z593" s="7">
        <v>57.088000000000001</v>
      </c>
      <c r="AA593" s="7">
        <v>55.874000000000002</v>
      </c>
      <c r="AB593" s="7">
        <v>52.384999999999998</v>
      </c>
      <c r="AC593" s="7">
        <v>45.774999999999999</v>
      </c>
      <c r="AD593" s="7">
        <v>34.039000000000001</v>
      </c>
      <c r="AE593" s="7">
        <v>28.760999999999999</v>
      </c>
      <c r="AF593" s="7">
        <v>30.792000000000002</v>
      </c>
      <c r="AG593" s="7">
        <v>31.498999999999999</v>
      </c>
      <c r="AH593" s="7">
        <v>48.155000000000001</v>
      </c>
      <c r="AI593" s="7">
        <v>56.04</v>
      </c>
      <c r="AJ593" s="7">
        <v>63.091999999999999</v>
      </c>
      <c r="AK593" s="7">
        <v>66.168000000000006</v>
      </c>
      <c r="AL593" s="7">
        <v>58.085999999999999</v>
      </c>
      <c r="AM593" s="7">
        <v>55.249000000000002</v>
      </c>
      <c r="AN593" s="7">
        <v>58.44</v>
      </c>
      <c r="AO593" s="7">
        <v>44.048000000000002</v>
      </c>
      <c r="AP593" s="7">
        <v>37.378999999999998</v>
      </c>
      <c r="AQ593" s="7">
        <v>32.313000000000002</v>
      </c>
      <c r="AR593" s="7">
        <v>37.554000000000002</v>
      </c>
      <c r="AS593" s="7">
        <v>47.845999999999997</v>
      </c>
      <c r="AT593" s="5">
        <v>3963.3470000000002</v>
      </c>
    </row>
    <row r="594" spans="1:46" x14ac:dyDescent="0.25">
      <c r="A594" s="4" t="s">
        <v>206</v>
      </c>
      <c r="B594" s="4" t="s">
        <v>207</v>
      </c>
      <c r="C594" s="4" t="s">
        <v>246</v>
      </c>
      <c r="D594" s="4" t="s">
        <v>254</v>
      </c>
      <c r="E594" s="4" t="s">
        <v>258</v>
      </c>
      <c r="F594" s="4" t="s">
        <v>195</v>
      </c>
      <c r="G594" s="4" t="s">
        <v>93</v>
      </c>
      <c r="H594" s="4" t="s">
        <v>251</v>
      </c>
      <c r="I594" s="7">
        <v>1.7257241000000001</v>
      </c>
      <c r="J594" s="7">
        <v>1.4186171000000001</v>
      </c>
      <c r="K594" s="7">
        <v>1.4503009</v>
      </c>
      <c r="L594" s="7">
        <v>1.4070910999999999</v>
      </c>
      <c r="M594" s="7">
        <v>1.5158952000000001</v>
      </c>
      <c r="N594" s="7">
        <v>1.3950477999999999</v>
      </c>
      <c r="O594" s="7">
        <v>1.856989</v>
      </c>
      <c r="P594" s="7">
        <v>2.0477042999999999</v>
      </c>
      <c r="Q594" s="7">
        <v>2.0600049999999999</v>
      </c>
      <c r="R594" s="7">
        <v>2.2651496999999998</v>
      </c>
      <c r="S594" s="7">
        <v>2.1965819999999998</v>
      </c>
      <c r="T594" s="7">
        <v>2.2547356000000001</v>
      </c>
      <c r="U594" s="7">
        <v>2.5083595000000001</v>
      </c>
      <c r="V594" s="7">
        <v>3.2289952</v>
      </c>
      <c r="W594" s="7">
        <v>4.3903695999999997</v>
      </c>
      <c r="X594" s="7">
        <v>4.7716079000000002</v>
      </c>
      <c r="Y594" s="7">
        <v>6.1045002999999998</v>
      </c>
      <c r="Z594" s="7">
        <v>6.9121589999999999</v>
      </c>
      <c r="AA594" s="7">
        <v>7.7885293000000004</v>
      </c>
      <c r="AB594" s="7">
        <v>6.9043350999999999</v>
      </c>
      <c r="AC594" s="7">
        <v>7.0760699999999996</v>
      </c>
      <c r="AD594" s="7">
        <v>6.2306749000000003</v>
      </c>
      <c r="AE594" s="7">
        <v>5.4641544</v>
      </c>
      <c r="AF594" s="7">
        <v>5.7146485</v>
      </c>
      <c r="AG594" s="7">
        <v>6.2391489</v>
      </c>
      <c r="AH594" s="7">
        <v>7.0061540000000004</v>
      </c>
      <c r="AI594" s="7">
        <v>7.0814396999999998</v>
      </c>
      <c r="AJ594" s="7">
        <v>6.8371955</v>
      </c>
      <c r="AK594" s="7">
        <v>7.2540822</v>
      </c>
      <c r="AL594" s="7">
        <v>7.0157229000000001</v>
      </c>
      <c r="AM594" s="7">
        <v>7.6422135999999998</v>
      </c>
      <c r="AN594" s="7">
        <v>8.1039007999999999</v>
      </c>
      <c r="AO594" s="7">
        <v>7.9152239</v>
      </c>
      <c r="AP594" s="7">
        <v>7.2339256000000001</v>
      </c>
      <c r="AQ594" s="7">
        <v>7.1531669000000004</v>
      </c>
      <c r="AR594" s="7">
        <v>7.5405493999999997</v>
      </c>
      <c r="AS594" s="7">
        <v>7.3892037999999998</v>
      </c>
      <c r="AT594" s="7">
        <v>47.845999999999997</v>
      </c>
    </row>
    <row r="595" spans="1:46" x14ac:dyDescent="0.25">
      <c r="A595" s="4" t="s">
        <v>206</v>
      </c>
      <c r="B595" s="4" t="s">
        <v>207</v>
      </c>
      <c r="C595" s="4" t="s">
        <v>246</v>
      </c>
      <c r="D595" s="4" t="s">
        <v>254</v>
      </c>
      <c r="E595" s="4" t="s">
        <v>258</v>
      </c>
      <c r="F595" s="4" t="s">
        <v>195</v>
      </c>
      <c r="G595" s="4" t="s">
        <v>93</v>
      </c>
      <c r="H595" s="4" t="s">
        <v>252</v>
      </c>
      <c r="I595" s="16">
        <v>0.13400000000000001</v>
      </c>
      <c r="J595" s="16">
        <v>0.112</v>
      </c>
      <c r="K595" s="16">
        <v>8.5000000000000006E-2</v>
      </c>
      <c r="L595" s="16">
        <v>0.09</v>
      </c>
      <c r="M595" s="16">
        <v>0.11700000000000001</v>
      </c>
      <c r="N595" s="16">
        <v>7.4999999999999997E-2</v>
      </c>
      <c r="O595" s="16">
        <v>7.9000000000000001E-2</v>
      </c>
      <c r="P595" s="16">
        <v>8.4000000000000005E-2</v>
      </c>
      <c r="Q595" s="16">
        <v>0.122</v>
      </c>
      <c r="R595" s="16">
        <v>0.17299999999999999</v>
      </c>
      <c r="S595" s="16">
        <v>0.16600000000000001</v>
      </c>
      <c r="T595" s="16">
        <v>0.19</v>
      </c>
      <c r="U595" s="16">
        <v>0.17799999999999999</v>
      </c>
      <c r="V595" s="16">
        <v>0.308</v>
      </c>
      <c r="W595" s="16">
        <v>0.45100000000000001</v>
      </c>
      <c r="X595" s="16">
        <v>0.40699999999999997</v>
      </c>
      <c r="Y595" s="16">
        <v>0.498</v>
      </c>
      <c r="Z595" s="16">
        <v>0.52100000000000002</v>
      </c>
      <c r="AA595" s="16">
        <v>0.51900000000000002</v>
      </c>
      <c r="AB595" s="16">
        <v>0.48799999999999999</v>
      </c>
      <c r="AC595" s="16">
        <v>0.44500000000000001</v>
      </c>
      <c r="AD595" s="16">
        <v>0.46899999999999997</v>
      </c>
      <c r="AE595" s="16">
        <v>0.50600000000000001</v>
      </c>
      <c r="AF595" s="16">
        <v>0.56399999999999995</v>
      </c>
      <c r="AG595" s="16">
        <v>0.628</v>
      </c>
      <c r="AH595" s="16">
        <v>0.69</v>
      </c>
      <c r="AI595" s="16">
        <v>0.67500000000000004</v>
      </c>
      <c r="AJ595" s="16">
        <v>0.51</v>
      </c>
      <c r="AK595" s="16">
        <v>0.63900000000000001</v>
      </c>
      <c r="AL595" s="16">
        <v>0.56699999999999995</v>
      </c>
      <c r="AM595" s="16">
        <v>0.76900000000000002</v>
      </c>
      <c r="AN595" s="16">
        <v>0.746</v>
      </c>
      <c r="AO595" s="16">
        <v>0.68899999999999995</v>
      </c>
      <c r="AP595" s="16">
        <v>0.68300000000000005</v>
      </c>
      <c r="AQ595" s="16">
        <v>0.70799999999999996</v>
      </c>
      <c r="AR595" s="16">
        <v>0.82099999999999995</v>
      </c>
      <c r="AS595" s="16">
        <v>0.77300000000000002</v>
      </c>
      <c r="AT595" s="7">
        <v>7.3892037999999998</v>
      </c>
    </row>
    <row r="596" spans="1:46" x14ac:dyDescent="0.25">
      <c r="A596" s="4" t="s">
        <v>206</v>
      </c>
      <c r="B596" s="4" t="s">
        <v>207</v>
      </c>
      <c r="C596" s="4" t="s">
        <v>246</v>
      </c>
      <c r="D596" s="4" t="s">
        <v>259</v>
      </c>
      <c r="E596" s="4" t="s">
        <v>248</v>
      </c>
      <c r="F596" s="4" t="s">
        <v>203</v>
      </c>
      <c r="G596" s="4" t="s">
        <v>93</v>
      </c>
      <c r="H596" s="4" t="s">
        <v>151</v>
      </c>
      <c r="I596" s="5">
        <v>10714.985000000001</v>
      </c>
      <c r="J596" s="5">
        <v>16573.511999999999</v>
      </c>
      <c r="K596" s="5">
        <v>25489.243999999999</v>
      </c>
      <c r="L596" s="5">
        <v>37747.264000000003</v>
      </c>
      <c r="M596" s="5">
        <v>49224.347000000002</v>
      </c>
      <c r="N596" s="5">
        <v>55553.512000000002</v>
      </c>
      <c r="O596" s="5">
        <v>44817.008000000002</v>
      </c>
      <c r="P596" s="5">
        <v>34883.067000000003</v>
      </c>
      <c r="Q596" s="5">
        <v>22483.387999999999</v>
      </c>
      <c r="R596" s="5">
        <v>11554.232</v>
      </c>
      <c r="S596" s="5">
        <v>10096.065000000001</v>
      </c>
      <c r="T596" s="5">
        <v>11066.387000000001</v>
      </c>
      <c r="U596" s="5">
        <v>11202.076999999999</v>
      </c>
      <c r="V596" s="5">
        <v>23608.606</v>
      </c>
      <c r="W596" s="5">
        <v>32062.46</v>
      </c>
      <c r="X596" s="5">
        <v>38485.358</v>
      </c>
      <c r="Y596" s="5">
        <v>48418.472999999998</v>
      </c>
      <c r="Z596" s="5">
        <v>44480.930999999997</v>
      </c>
      <c r="AA596" s="5">
        <v>37972.962</v>
      </c>
      <c r="AB596" s="5">
        <v>26731.269</v>
      </c>
      <c r="AC596" s="5">
        <v>20484.763999999999</v>
      </c>
      <c r="AD596" s="5">
        <v>16707.673999999999</v>
      </c>
      <c r="AE596" s="5">
        <v>12937.379000000001</v>
      </c>
      <c r="AF596" s="5">
        <v>11074.833000000001</v>
      </c>
      <c r="AG596" s="5">
        <v>10348.694</v>
      </c>
      <c r="AH596" s="5">
        <v>14074.558999999999</v>
      </c>
      <c r="AI596" s="5">
        <v>19559.526999999998</v>
      </c>
      <c r="AJ596" s="5">
        <v>28573.156999999999</v>
      </c>
      <c r="AK596" s="5">
        <v>39784.839</v>
      </c>
      <c r="AL596" s="5">
        <v>41563.563999999998</v>
      </c>
      <c r="AM596" s="5">
        <v>46204.516000000003</v>
      </c>
      <c r="AN596" s="5">
        <v>47662.885999999999</v>
      </c>
      <c r="AO596" s="5">
        <v>27136.835999999999</v>
      </c>
      <c r="AP596" s="5">
        <v>19860.077000000001</v>
      </c>
      <c r="AQ596" s="5">
        <v>15359.357</v>
      </c>
      <c r="AR596" s="5">
        <v>10255.279</v>
      </c>
      <c r="AS596" s="5">
        <v>9121.0079999999998</v>
      </c>
      <c r="AT596" s="5">
        <v>9121.0079999999998</v>
      </c>
    </row>
    <row r="597" spans="1:46" x14ac:dyDescent="0.25">
      <c r="A597" s="4" t="s">
        <v>206</v>
      </c>
      <c r="B597" s="4" t="s">
        <v>207</v>
      </c>
      <c r="C597" s="4" t="s">
        <v>246</v>
      </c>
      <c r="D597" s="4" t="s">
        <v>259</v>
      </c>
      <c r="E597" s="4" t="s">
        <v>248</v>
      </c>
      <c r="F597" s="4" t="s">
        <v>203</v>
      </c>
      <c r="G597" s="4" t="s">
        <v>93</v>
      </c>
      <c r="H597" s="4" t="s">
        <v>205</v>
      </c>
      <c r="I597" s="6">
        <v>948753.18200000003</v>
      </c>
      <c r="J597" s="6">
        <v>1461797.5279999999</v>
      </c>
      <c r="K597" s="6">
        <v>2280268.8909999998</v>
      </c>
      <c r="L597" s="6">
        <v>3449212.176</v>
      </c>
      <c r="M597" s="6">
        <v>4417806.392</v>
      </c>
      <c r="N597" s="6">
        <v>4899798.6670000004</v>
      </c>
      <c r="O597" s="6">
        <v>4071111.9019999998</v>
      </c>
      <c r="P597" s="6">
        <v>3114716.9640000002</v>
      </c>
      <c r="Q597" s="6">
        <v>2055713.129</v>
      </c>
      <c r="R597" s="6">
        <v>1083658.642</v>
      </c>
      <c r="S597" s="6">
        <v>939841.12699999998</v>
      </c>
      <c r="T597" s="6">
        <v>1074484.9469999999</v>
      </c>
      <c r="U597" s="6">
        <v>1080004.801</v>
      </c>
      <c r="V597" s="6">
        <v>2195907.6800000002</v>
      </c>
      <c r="W597" s="6">
        <v>3025982.7779999999</v>
      </c>
      <c r="X597" s="6">
        <v>3664674.5</v>
      </c>
      <c r="Y597" s="6">
        <v>4650859.0659999996</v>
      </c>
      <c r="Z597" s="6">
        <v>4382112.97</v>
      </c>
      <c r="AA597" s="6">
        <v>3849902.9780000001</v>
      </c>
      <c r="AB597" s="6">
        <v>2828550.213</v>
      </c>
      <c r="AC597" s="6">
        <v>2160609.7850000001</v>
      </c>
      <c r="AD597" s="6">
        <v>1790803.8459999999</v>
      </c>
      <c r="AE597" s="6">
        <v>1397348.639</v>
      </c>
      <c r="AF597" s="6">
        <v>1196467.5319999999</v>
      </c>
      <c r="AG597" s="6">
        <v>1103208.943</v>
      </c>
      <c r="AH597" s="6">
        <v>1495346.2960000001</v>
      </c>
      <c r="AI597" s="6">
        <v>2102429.844</v>
      </c>
      <c r="AJ597" s="6">
        <v>3101039.17</v>
      </c>
      <c r="AK597" s="6">
        <v>4252746.1849999996</v>
      </c>
      <c r="AL597" s="6">
        <v>4448105.6330000004</v>
      </c>
      <c r="AM597" s="6">
        <v>5017278.6670000004</v>
      </c>
      <c r="AN597" s="6">
        <v>5165592.5279999999</v>
      </c>
      <c r="AO597" s="6">
        <v>3057859.5279999999</v>
      </c>
      <c r="AP597" s="6">
        <v>2319940.73</v>
      </c>
      <c r="AQ597" s="6">
        <v>1768179.558</v>
      </c>
      <c r="AR597" s="6">
        <v>1177854.9720000001</v>
      </c>
      <c r="AS597" s="6">
        <v>1052420.3089999999</v>
      </c>
      <c r="AT597" s="6">
        <v>1052420.3089999999</v>
      </c>
    </row>
    <row r="598" spans="1:46" x14ac:dyDescent="0.25">
      <c r="A598" s="4" t="s">
        <v>206</v>
      </c>
      <c r="B598" s="4" t="s">
        <v>207</v>
      </c>
      <c r="C598" s="4" t="s">
        <v>246</v>
      </c>
      <c r="D598" s="4" t="s">
        <v>259</v>
      </c>
      <c r="E598" s="4" t="s">
        <v>248</v>
      </c>
      <c r="F598" s="4" t="s">
        <v>203</v>
      </c>
      <c r="G598" s="4" t="s">
        <v>93</v>
      </c>
      <c r="H598" s="4" t="s">
        <v>249</v>
      </c>
      <c r="I598" s="7">
        <v>4.9429999999999996</v>
      </c>
      <c r="J598" s="7">
        <v>5.282</v>
      </c>
      <c r="K598" s="7">
        <v>5.782</v>
      </c>
      <c r="L598" s="7">
        <v>6.5880000000000001</v>
      </c>
      <c r="M598" s="7">
        <v>6.4429999999999996</v>
      </c>
      <c r="N598" s="7">
        <v>7.3789999999999996</v>
      </c>
      <c r="O598" s="7">
        <v>6.702</v>
      </c>
      <c r="P598" s="7">
        <v>7.3</v>
      </c>
      <c r="Q598" s="7">
        <v>6.8540000000000001</v>
      </c>
      <c r="R598" s="7">
        <v>5.4669999999999996</v>
      </c>
      <c r="S598" s="7">
        <v>5.6820000000000004</v>
      </c>
      <c r="T598" s="7">
        <v>6.4489999999999998</v>
      </c>
      <c r="U598" s="7">
        <v>5.7610000000000001</v>
      </c>
      <c r="V598" s="7">
        <v>9.0440000000000005</v>
      </c>
      <c r="W598" s="7">
        <v>7.97</v>
      </c>
      <c r="X598" s="7">
        <v>6.7960000000000003</v>
      </c>
      <c r="Y598" s="7">
        <v>7.3440000000000003</v>
      </c>
      <c r="Z598" s="7">
        <v>7.2169999999999996</v>
      </c>
      <c r="AA598" s="7">
        <v>5.8949999999999996</v>
      </c>
      <c r="AB598" s="7">
        <v>5.4649999999999999</v>
      </c>
      <c r="AC598" s="7">
        <v>5.4249999999999998</v>
      </c>
      <c r="AD598" s="7">
        <v>5.9960000000000004</v>
      </c>
      <c r="AE598" s="7">
        <v>5.8470000000000004</v>
      </c>
      <c r="AF598" s="7">
        <v>5.5659999999999998</v>
      </c>
      <c r="AG598" s="7">
        <v>4.9080000000000004</v>
      </c>
      <c r="AH598" s="7">
        <v>5.0060000000000002</v>
      </c>
      <c r="AI598" s="7">
        <v>5.1769999999999996</v>
      </c>
      <c r="AJ598" s="7">
        <v>5.056</v>
      </c>
      <c r="AK598" s="7">
        <v>5.5110000000000001</v>
      </c>
      <c r="AL598" s="7">
        <v>5.84</v>
      </c>
      <c r="AM598" s="7">
        <v>5.5979999999999999</v>
      </c>
      <c r="AN598" s="7">
        <v>5.8689999999999998</v>
      </c>
      <c r="AO598" s="7">
        <v>5.2009999999999996</v>
      </c>
      <c r="AP598" s="7">
        <v>5.3369999999999997</v>
      </c>
      <c r="AQ598" s="7">
        <v>5.5570000000000004</v>
      </c>
      <c r="AR598" s="7">
        <v>5.3259999999999996</v>
      </c>
      <c r="AS598" s="7">
        <v>5.7149999999999999</v>
      </c>
      <c r="AT598" s="7">
        <v>1.034</v>
      </c>
    </row>
    <row r="599" spans="1:46" x14ac:dyDescent="0.25">
      <c r="A599" s="4" t="s">
        <v>206</v>
      </c>
      <c r="B599" s="4" t="s">
        <v>207</v>
      </c>
      <c r="C599" s="4" t="s">
        <v>246</v>
      </c>
      <c r="D599" s="4" t="s">
        <v>259</v>
      </c>
      <c r="E599" s="4" t="s">
        <v>248</v>
      </c>
      <c r="F599" s="4" t="s">
        <v>203</v>
      </c>
      <c r="G599" s="4" t="s">
        <v>93</v>
      </c>
      <c r="H599" s="4" t="s">
        <v>250</v>
      </c>
      <c r="I599" s="7">
        <v>56.908000000000001</v>
      </c>
      <c r="J599" s="7">
        <v>66.441999999999993</v>
      </c>
      <c r="K599" s="7">
        <v>74.415999999999997</v>
      </c>
      <c r="L599" s="7">
        <v>75.328999999999994</v>
      </c>
      <c r="M599" s="7">
        <v>76.495000000000005</v>
      </c>
      <c r="N599" s="7">
        <v>74.481999999999999</v>
      </c>
      <c r="O599" s="7">
        <v>74.587999999999994</v>
      </c>
      <c r="P599" s="7">
        <v>71.459000000000003</v>
      </c>
      <c r="Q599" s="7">
        <v>66.373999999999995</v>
      </c>
      <c r="R599" s="7">
        <v>58.517000000000003</v>
      </c>
      <c r="S599" s="7">
        <v>58.814</v>
      </c>
      <c r="T599" s="7">
        <v>60.198999999999998</v>
      </c>
      <c r="U599" s="7">
        <v>64.176000000000002</v>
      </c>
      <c r="V599" s="7">
        <v>70.429000000000002</v>
      </c>
      <c r="W599" s="7">
        <v>73.144999999999996</v>
      </c>
      <c r="X599" s="7">
        <v>75.185000000000002</v>
      </c>
      <c r="Y599" s="7">
        <v>75.004999999999995</v>
      </c>
      <c r="Z599" s="7">
        <v>75.837999999999994</v>
      </c>
      <c r="AA599" s="7">
        <v>73.051000000000002</v>
      </c>
      <c r="AB599" s="7">
        <v>63.746000000000002</v>
      </c>
      <c r="AC599" s="7">
        <v>60.091999999999999</v>
      </c>
      <c r="AD599" s="7">
        <v>56.401000000000003</v>
      </c>
      <c r="AE599" s="7">
        <v>55.22</v>
      </c>
      <c r="AF599" s="7">
        <v>57.02</v>
      </c>
      <c r="AG599" s="7">
        <v>54.828000000000003</v>
      </c>
      <c r="AH599" s="7">
        <v>58.390999999999998</v>
      </c>
      <c r="AI599" s="7">
        <v>58.203000000000003</v>
      </c>
      <c r="AJ599" s="7">
        <v>60.631</v>
      </c>
      <c r="AK599" s="7">
        <v>58.686999999999998</v>
      </c>
      <c r="AL599" s="7">
        <v>54.652000000000001</v>
      </c>
      <c r="AM599" s="7">
        <v>53.335000000000001</v>
      </c>
      <c r="AN599" s="7">
        <v>53.616999999999997</v>
      </c>
      <c r="AO599" s="7">
        <v>47.787999999999997</v>
      </c>
      <c r="AP599" s="7">
        <v>48.438000000000002</v>
      </c>
      <c r="AQ599" s="7">
        <v>45.601999999999997</v>
      </c>
      <c r="AR599" s="7">
        <v>46</v>
      </c>
      <c r="AS599" s="7">
        <v>50.798000000000002</v>
      </c>
      <c r="AT599" s="5">
        <v>16984.202000000001</v>
      </c>
    </row>
    <row r="600" spans="1:46" x14ac:dyDescent="0.25">
      <c r="A600" s="4" t="s">
        <v>206</v>
      </c>
      <c r="B600" s="4" t="s">
        <v>207</v>
      </c>
      <c r="C600" s="4" t="s">
        <v>246</v>
      </c>
      <c r="D600" s="4" t="s">
        <v>259</v>
      </c>
      <c r="E600" s="4" t="s">
        <v>248</v>
      </c>
      <c r="F600" s="4" t="s">
        <v>203</v>
      </c>
      <c r="G600" s="4" t="s">
        <v>93</v>
      </c>
      <c r="H600" s="4" t="s">
        <v>251</v>
      </c>
      <c r="I600" s="7">
        <v>22.138224699999999</v>
      </c>
      <c r="J600" s="7">
        <v>23.6719705</v>
      </c>
      <c r="K600" s="7">
        <v>26.778611600000001</v>
      </c>
      <c r="L600" s="7">
        <v>27.7984343</v>
      </c>
      <c r="M600" s="7">
        <v>29.143628499999998</v>
      </c>
      <c r="N600" s="7">
        <v>29.073602300000001</v>
      </c>
      <c r="O600" s="7">
        <v>28.008404500000001</v>
      </c>
      <c r="P600" s="7">
        <v>25.5602163</v>
      </c>
      <c r="Q600" s="7">
        <v>23.188916599999999</v>
      </c>
      <c r="R600" s="7">
        <v>22.331811200000001</v>
      </c>
      <c r="S600" s="7">
        <v>21.650178799999999</v>
      </c>
      <c r="T600" s="7">
        <v>21.641512200000001</v>
      </c>
      <c r="U600" s="7">
        <v>21.624146</v>
      </c>
      <c r="V600" s="7">
        <v>23.690745100000001</v>
      </c>
      <c r="W600" s="7">
        <v>23.9024368</v>
      </c>
      <c r="X600" s="7">
        <v>25.408711700000001</v>
      </c>
      <c r="Y600" s="7">
        <v>25.8637713</v>
      </c>
      <c r="Z600" s="7">
        <v>25.9524872</v>
      </c>
      <c r="AA600" s="7">
        <v>26.2084802</v>
      </c>
      <c r="AB600" s="7">
        <v>24.043805899999999</v>
      </c>
      <c r="AC600" s="7">
        <v>23.071971399999999</v>
      </c>
      <c r="AD600" s="7">
        <v>21.787771500000002</v>
      </c>
      <c r="AE600" s="7">
        <v>21.382295299999999</v>
      </c>
      <c r="AF600" s="7">
        <v>21.665581299999999</v>
      </c>
      <c r="AG600" s="7">
        <v>21.398858100000002</v>
      </c>
      <c r="AH600" s="7">
        <v>21.7046457</v>
      </c>
      <c r="AI600" s="7">
        <v>21.599543799999999</v>
      </c>
      <c r="AJ600" s="7">
        <v>22.680476299999999</v>
      </c>
      <c r="AK600" s="7">
        <v>22.9277771</v>
      </c>
      <c r="AL600" s="7">
        <v>23.548880199999999</v>
      </c>
      <c r="AM600" s="7">
        <v>24.660663799999998</v>
      </c>
      <c r="AN600" s="7">
        <v>22.486377600000001</v>
      </c>
      <c r="AO600" s="7">
        <v>20.698788700000001</v>
      </c>
      <c r="AP600" s="7">
        <v>20.294988100000001</v>
      </c>
      <c r="AQ600" s="7">
        <v>19.434290300000001</v>
      </c>
      <c r="AR600" s="7">
        <v>17.883923599999999</v>
      </c>
      <c r="AS600" s="7">
        <v>17.963595000000002</v>
      </c>
      <c r="AT600" s="7">
        <v>50.798000000000002</v>
      </c>
    </row>
    <row r="601" spans="1:46" x14ac:dyDescent="0.25">
      <c r="A601" s="4" t="s">
        <v>206</v>
      </c>
      <c r="B601" s="4" t="s">
        <v>207</v>
      </c>
      <c r="C601" s="4" t="s">
        <v>246</v>
      </c>
      <c r="D601" s="4" t="s">
        <v>259</v>
      </c>
      <c r="E601" s="4" t="s">
        <v>248</v>
      </c>
      <c r="F601" s="4" t="s">
        <v>203</v>
      </c>
      <c r="G601" s="4" t="s">
        <v>93</v>
      </c>
      <c r="H601" s="4" t="s">
        <v>252</v>
      </c>
      <c r="I601" s="16">
        <v>3.6659999999999999</v>
      </c>
      <c r="J601" s="16">
        <v>3.84</v>
      </c>
      <c r="K601" s="16">
        <v>4.6909999999999998</v>
      </c>
      <c r="L601" s="16">
        <v>4.9000000000000004</v>
      </c>
      <c r="M601" s="16">
        <v>4.3659999999999997</v>
      </c>
      <c r="N601" s="16">
        <v>4.53</v>
      </c>
      <c r="O601" s="16">
        <v>3.7010000000000001</v>
      </c>
      <c r="P601" s="16">
        <v>3.7930000000000001</v>
      </c>
      <c r="Q601" s="16">
        <v>3.75</v>
      </c>
      <c r="R601" s="16">
        <v>3.8889999999999998</v>
      </c>
      <c r="S601" s="16">
        <v>3.7519999999999998</v>
      </c>
      <c r="T601" s="16">
        <v>3.492</v>
      </c>
      <c r="U601" s="16">
        <v>3.3889999999999998</v>
      </c>
      <c r="V601" s="16">
        <v>3.4129999999999998</v>
      </c>
      <c r="W601" s="16">
        <v>4.2130000000000001</v>
      </c>
      <c r="X601" s="16">
        <v>4.718</v>
      </c>
      <c r="Y601" s="16">
        <v>4.8550000000000004</v>
      </c>
      <c r="Z601" s="16">
        <v>3.7450000000000001</v>
      </c>
      <c r="AA601" s="16">
        <v>3.3370000000000002</v>
      </c>
      <c r="AB601" s="16">
        <v>3.49</v>
      </c>
      <c r="AC601" s="16">
        <v>3.39</v>
      </c>
      <c r="AD601" s="16">
        <v>3.3039999999999998</v>
      </c>
      <c r="AE601" s="16">
        <v>3.1459999999999999</v>
      </c>
      <c r="AF601" s="16">
        <v>3.0979999999999999</v>
      </c>
      <c r="AG601" s="16">
        <v>2.9169999999999998</v>
      </c>
      <c r="AH601" s="16">
        <v>2.9220000000000002</v>
      </c>
      <c r="AI601" s="16">
        <v>3.4239999999999999</v>
      </c>
      <c r="AJ601" s="16">
        <v>3.6709999999999998</v>
      </c>
      <c r="AK601" s="16">
        <v>3.8879999999999999</v>
      </c>
      <c r="AL601" s="16">
        <v>3.9780000000000002</v>
      </c>
      <c r="AM601" s="16">
        <v>4.0510000000000002</v>
      </c>
      <c r="AN601" s="16">
        <v>4.0880000000000001</v>
      </c>
      <c r="AO601" s="16">
        <v>3.1549999999999998</v>
      </c>
      <c r="AP601" s="16">
        <v>3.262</v>
      </c>
      <c r="AQ601" s="16">
        <v>3.7429999999999999</v>
      </c>
      <c r="AR601" s="16">
        <v>3.4220000000000002</v>
      </c>
      <c r="AS601" s="16">
        <v>3.2829999999999999</v>
      </c>
      <c r="AT601" s="7">
        <v>17.963595000000002</v>
      </c>
    </row>
    <row r="602" spans="1:46" x14ac:dyDescent="0.25">
      <c r="A602" s="4" t="s">
        <v>206</v>
      </c>
      <c r="B602" s="4" t="s">
        <v>207</v>
      </c>
      <c r="C602" s="4" t="s">
        <v>246</v>
      </c>
      <c r="D602" s="4" t="s">
        <v>259</v>
      </c>
      <c r="E602" s="4" t="s">
        <v>248</v>
      </c>
      <c r="F602" s="4" t="s">
        <v>201</v>
      </c>
      <c r="G602" s="4" t="s">
        <v>93</v>
      </c>
      <c r="H602" s="4" t="s">
        <v>151</v>
      </c>
      <c r="I602" s="5">
        <v>11780.221</v>
      </c>
      <c r="J602" s="5">
        <v>21558.383999999998</v>
      </c>
      <c r="K602" s="5">
        <v>37202.614000000001</v>
      </c>
      <c r="L602" s="5">
        <v>39489.970999999998</v>
      </c>
      <c r="M602" s="5">
        <v>58006.743999999999</v>
      </c>
      <c r="N602" s="5">
        <v>54221.161999999997</v>
      </c>
      <c r="O602" s="5">
        <v>49861.057000000001</v>
      </c>
      <c r="P602" s="5">
        <v>39232.921999999999</v>
      </c>
      <c r="Q602" s="5">
        <v>25343.054</v>
      </c>
      <c r="R602" s="5">
        <v>13744.692999999999</v>
      </c>
      <c r="S602" s="5">
        <v>11446.616</v>
      </c>
      <c r="T602" s="5">
        <v>11371.496999999999</v>
      </c>
      <c r="U602" s="5">
        <v>13906.094999999999</v>
      </c>
      <c r="V602" s="5">
        <v>18097.663</v>
      </c>
      <c r="W602" s="5">
        <v>28629.807000000001</v>
      </c>
      <c r="X602" s="5">
        <v>36792.506999999998</v>
      </c>
      <c r="Y602" s="5">
        <v>43697.372000000003</v>
      </c>
      <c r="Z602" s="5">
        <v>39844.94</v>
      </c>
      <c r="AA602" s="5">
        <v>40951.828999999998</v>
      </c>
      <c r="AB602" s="5">
        <v>33019.317999999999</v>
      </c>
      <c r="AC602" s="5">
        <v>27884.027999999998</v>
      </c>
      <c r="AD602" s="5">
        <v>18344.871999999999</v>
      </c>
      <c r="AE602" s="5">
        <v>13000.393</v>
      </c>
      <c r="AF602" s="5">
        <v>12388.645</v>
      </c>
      <c r="AG602" s="5">
        <v>14181.882</v>
      </c>
      <c r="AH602" s="5">
        <v>21793.83</v>
      </c>
      <c r="AI602" s="5">
        <v>27459.169000000002</v>
      </c>
      <c r="AJ602" s="5">
        <v>39565.847999999998</v>
      </c>
      <c r="AK602" s="5">
        <v>47460.447</v>
      </c>
      <c r="AL602" s="5">
        <v>46183.415999999997</v>
      </c>
      <c r="AM602" s="5">
        <v>51144.101999999999</v>
      </c>
      <c r="AN602" s="5">
        <v>51409.582999999999</v>
      </c>
      <c r="AO602" s="5">
        <v>32827.887000000002</v>
      </c>
      <c r="AP602" s="5">
        <v>24581.058000000001</v>
      </c>
      <c r="AQ602" s="5">
        <v>15522.973</v>
      </c>
      <c r="AR602" s="5">
        <v>11238.861000000001</v>
      </c>
      <c r="AS602" s="5">
        <v>7807.13</v>
      </c>
      <c r="AT602" s="5">
        <v>9021.1270000000004</v>
      </c>
    </row>
    <row r="603" spans="1:46" x14ac:dyDescent="0.25">
      <c r="A603" s="4" t="s">
        <v>206</v>
      </c>
      <c r="B603" s="4" t="s">
        <v>207</v>
      </c>
      <c r="C603" s="4" t="s">
        <v>246</v>
      </c>
      <c r="D603" s="4" t="s">
        <v>259</v>
      </c>
      <c r="E603" s="4" t="s">
        <v>248</v>
      </c>
      <c r="F603" s="4" t="s">
        <v>201</v>
      </c>
      <c r="G603" s="4" t="s">
        <v>93</v>
      </c>
      <c r="H603" s="4" t="s">
        <v>205</v>
      </c>
      <c r="I603" s="6">
        <v>1544428.5149999999</v>
      </c>
      <c r="J603" s="6">
        <v>2788669.199</v>
      </c>
      <c r="K603" s="6">
        <v>4575225.216</v>
      </c>
      <c r="L603" s="6">
        <v>4980790.4380000001</v>
      </c>
      <c r="M603" s="6">
        <v>7059250.1069999998</v>
      </c>
      <c r="N603" s="6">
        <v>6795998.8629999999</v>
      </c>
      <c r="O603" s="6">
        <v>6430426.7319999998</v>
      </c>
      <c r="P603" s="6">
        <v>5142947.4460000005</v>
      </c>
      <c r="Q603" s="6">
        <v>3345380.4759999998</v>
      </c>
      <c r="R603" s="6">
        <v>1845753.4790000001</v>
      </c>
      <c r="S603" s="6">
        <v>1519252.0190000001</v>
      </c>
      <c r="T603" s="6">
        <v>1540085.808</v>
      </c>
      <c r="U603" s="6">
        <v>1877958.054</v>
      </c>
      <c r="V603" s="6">
        <v>2592638.068</v>
      </c>
      <c r="W603" s="6">
        <v>4364788.0650000004</v>
      </c>
      <c r="X603" s="6">
        <v>5809580.6679999996</v>
      </c>
      <c r="Y603" s="6">
        <v>7006944.1040000003</v>
      </c>
      <c r="Z603" s="6">
        <v>6392668.3600000003</v>
      </c>
      <c r="AA603" s="6">
        <v>6619522.9979999997</v>
      </c>
      <c r="AB603" s="6">
        <v>5228535.4989999998</v>
      </c>
      <c r="AC603" s="6">
        <v>4264709.0489999996</v>
      </c>
      <c r="AD603" s="6">
        <v>2833696.83</v>
      </c>
      <c r="AE603" s="6">
        <v>1975641.993</v>
      </c>
      <c r="AF603" s="6">
        <v>1894666.936</v>
      </c>
      <c r="AG603" s="6">
        <v>2267489.3450000002</v>
      </c>
      <c r="AH603" s="6">
        <v>3643924.5819999999</v>
      </c>
      <c r="AI603" s="6">
        <v>4807605.6519999998</v>
      </c>
      <c r="AJ603" s="6">
        <v>7072279.574</v>
      </c>
      <c r="AK603" s="6">
        <v>8658306.6659999993</v>
      </c>
      <c r="AL603" s="6">
        <v>8355877.6320000002</v>
      </c>
      <c r="AM603" s="6">
        <v>9215584.1260000002</v>
      </c>
      <c r="AN603" s="6">
        <v>9196268.7609999999</v>
      </c>
      <c r="AO603" s="6">
        <v>5701526.4989999998</v>
      </c>
      <c r="AP603" s="6">
        <v>3898391.4180000001</v>
      </c>
      <c r="AQ603" s="6">
        <v>2468985.0520000001</v>
      </c>
      <c r="AR603" s="6">
        <v>1825115.9310000001</v>
      </c>
      <c r="AS603" s="6">
        <v>1372396.567</v>
      </c>
      <c r="AT603" s="6">
        <v>1372396.567</v>
      </c>
    </row>
    <row r="604" spans="1:46" x14ac:dyDescent="0.25">
      <c r="A604" s="4" t="s">
        <v>206</v>
      </c>
      <c r="B604" s="4" t="s">
        <v>207</v>
      </c>
      <c r="C604" s="4" t="s">
        <v>246</v>
      </c>
      <c r="D604" s="4" t="s">
        <v>259</v>
      </c>
      <c r="E604" s="4" t="s">
        <v>248</v>
      </c>
      <c r="F604" s="4" t="s">
        <v>201</v>
      </c>
      <c r="G604" s="4" t="s">
        <v>93</v>
      </c>
      <c r="H604" s="4" t="s">
        <v>249</v>
      </c>
      <c r="I604" s="7">
        <v>6.3639999999999999</v>
      </c>
      <c r="J604" s="7">
        <v>8.1140000000000008</v>
      </c>
      <c r="K604" s="7">
        <v>10.015000000000001</v>
      </c>
      <c r="L604" s="7">
        <v>8.173</v>
      </c>
      <c r="M604" s="7">
        <v>9.0050000000000008</v>
      </c>
      <c r="N604" s="7">
        <v>8.5670000000000002</v>
      </c>
      <c r="O604" s="7">
        <v>8.8569999999999993</v>
      </c>
      <c r="P604" s="7">
        <v>9.734</v>
      </c>
      <c r="Q604" s="7">
        <v>9.1669999999999998</v>
      </c>
      <c r="R604" s="7">
        <v>7.6769999999999996</v>
      </c>
      <c r="S604" s="7">
        <v>7.6470000000000002</v>
      </c>
      <c r="T604" s="7">
        <v>7.9029999999999996</v>
      </c>
      <c r="U604" s="7">
        <v>8.5609999999999999</v>
      </c>
      <c r="V604" s="7">
        <v>8.282</v>
      </c>
      <c r="W604" s="7">
        <v>8.4849999999999994</v>
      </c>
      <c r="X604" s="7">
        <v>7.7409999999999997</v>
      </c>
      <c r="Y604" s="7">
        <v>7.8959999999999999</v>
      </c>
      <c r="Z604" s="7">
        <v>7.6790000000000003</v>
      </c>
      <c r="AA604" s="7">
        <v>7.5590000000000002</v>
      </c>
      <c r="AB604" s="7">
        <v>8.0540000000000003</v>
      </c>
      <c r="AC604" s="7">
        <v>8.8059999999999992</v>
      </c>
      <c r="AD604" s="7">
        <v>7.81</v>
      </c>
      <c r="AE604" s="7">
        <v>6.9820000000000002</v>
      </c>
      <c r="AF604" s="7">
        <v>7.3150000000000004</v>
      </c>
      <c r="AG604" s="7">
        <v>7.7839999999999998</v>
      </c>
      <c r="AH604" s="7">
        <v>9.0969999999999995</v>
      </c>
      <c r="AI604" s="7">
        <v>8.5969999999999995</v>
      </c>
      <c r="AJ604" s="7">
        <v>8.218</v>
      </c>
      <c r="AK604" s="7">
        <v>7.7220000000000004</v>
      </c>
      <c r="AL604" s="7">
        <v>7.6879999999999997</v>
      </c>
      <c r="AM604" s="7">
        <v>7.3730000000000002</v>
      </c>
      <c r="AN604" s="7">
        <v>7.5350000000000001</v>
      </c>
      <c r="AO604" s="7">
        <v>7.4329999999999998</v>
      </c>
      <c r="AP604" s="7">
        <v>7.7960000000000003</v>
      </c>
      <c r="AQ604" s="7">
        <v>6.56</v>
      </c>
      <c r="AR604" s="7">
        <v>6.7880000000000003</v>
      </c>
      <c r="AS604" s="7">
        <v>5.806</v>
      </c>
      <c r="AT604" s="7">
        <v>1.022</v>
      </c>
    </row>
    <row r="605" spans="1:46" x14ac:dyDescent="0.25">
      <c r="A605" s="4" t="s">
        <v>206</v>
      </c>
      <c r="B605" s="4" t="s">
        <v>207</v>
      </c>
      <c r="C605" s="4" t="s">
        <v>246</v>
      </c>
      <c r="D605" s="4" t="s">
        <v>259</v>
      </c>
      <c r="E605" s="4" t="s">
        <v>248</v>
      </c>
      <c r="F605" s="4" t="s">
        <v>201</v>
      </c>
      <c r="G605" s="4" t="s">
        <v>93</v>
      </c>
      <c r="H605" s="4" t="s">
        <v>250</v>
      </c>
      <c r="I605" s="7">
        <v>69.856999999999999</v>
      </c>
      <c r="J605" s="7">
        <v>78.887</v>
      </c>
      <c r="K605" s="7">
        <v>83.266000000000005</v>
      </c>
      <c r="L605" s="7">
        <v>81.772999999999996</v>
      </c>
      <c r="M605" s="7">
        <v>83.84</v>
      </c>
      <c r="N605" s="7">
        <v>82.055000000000007</v>
      </c>
      <c r="O605" s="7">
        <v>79.960999999999999</v>
      </c>
      <c r="P605" s="7">
        <v>77.757999999999996</v>
      </c>
      <c r="Q605" s="7">
        <v>74.536000000000001</v>
      </c>
      <c r="R605" s="7">
        <v>67.417000000000002</v>
      </c>
      <c r="S605" s="7">
        <v>64.212999999999994</v>
      </c>
      <c r="T605" s="7">
        <v>66.147999999999996</v>
      </c>
      <c r="U605" s="7">
        <v>71.786000000000001</v>
      </c>
      <c r="V605" s="7">
        <v>76.355999999999995</v>
      </c>
      <c r="W605" s="7">
        <v>81.242000000000004</v>
      </c>
      <c r="X605" s="7">
        <v>83.007000000000005</v>
      </c>
      <c r="Y605" s="7">
        <v>83.534999999999997</v>
      </c>
      <c r="Z605" s="7">
        <v>82.307000000000002</v>
      </c>
      <c r="AA605" s="7">
        <v>80.974000000000004</v>
      </c>
      <c r="AB605" s="7">
        <v>78.534000000000006</v>
      </c>
      <c r="AC605" s="7">
        <v>77.864000000000004</v>
      </c>
      <c r="AD605" s="7">
        <v>75.433999999999997</v>
      </c>
      <c r="AE605" s="7">
        <v>71.715999999999994</v>
      </c>
      <c r="AF605" s="7">
        <v>71.968999999999994</v>
      </c>
      <c r="AG605" s="7">
        <v>73.606999999999999</v>
      </c>
      <c r="AH605" s="7">
        <v>78.858000000000004</v>
      </c>
      <c r="AI605" s="7">
        <v>81.259</v>
      </c>
      <c r="AJ605" s="7">
        <v>82.653999999999996</v>
      </c>
      <c r="AK605" s="7">
        <v>82.95</v>
      </c>
      <c r="AL605" s="7">
        <v>80.206000000000003</v>
      </c>
      <c r="AM605" s="7">
        <v>78.658000000000001</v>
      </c>
      <c r="AN605" s="7">
        <v>79.251000000000005</v>
      </c>
      <c r="AO605" s="7">
        <v>69.819000000000003</v>
      </c>
      <c r="AP605" s="7">
        <v>64.171000000000006</v>
      </c>
      <c r="AQ605" s="7">
        <v>60.014000000000003</v>
      </c>
      <c r="AR605" s="7">
        <v>60.091000000000001</v>
      </c>
      <c r="AS605" s="7">
        <v>63.567999999999998</v>
      </c>
      <c r="AT605" s="5">
        <v>19462.831999999999</v>
      </c>
    </row>
    <row r="606" spans="1:46" x14ac:dyDescent="0.25">
      <c r="A606" s="4" t="s">
        <v>206</v>
      </c>
      <c r="B606" s="4" t="s">
        <v>207</v>
      </c>
      <c r="C606" s="4" t="s">
        <v>246</v>
      </c>
      <c r="D606" s="4" t="s">
        <v>259</v>
      </c>
      <c r="E606" s="4" t="s">
        <v>248</v>
      </c>
      <c r="F606" s="4" t="s">
        <v>201</v>
      </c>
      <c r="G606" s="4" t="s">
        <v>93</v>
      </c>
      <c r="H606" s="4" t="s">
        <v>251</v>
      </c>
      <c r="I606" s="7">
        <v>23.573515700000002</v>
      </c>
      <c r="J606" s="7">
        <v>26.7409429</v>
      </c>
      <c r="K606" s="7">
        <v>28.711675100000001</v>
      </c>
      <c r="L606" s="7">
        <v>28.638892299999998</v>
      </c>
      <c r="M606" s="7">
        <v>28.957225099999999</v>
      </c>
      <c r="N606" s="7">
        <v>28.451205300000002</v>
      </c>
      <c r="O606" s="7">
        <v>28.366096500000001</v>
      </c>
      <c r="P606" s="7">
        <v>27.5431779</v>
      </c>
      <c r="Q606" s="7">
        <v>26.6742135</v>
      </c>
      <c r="R606" s="7">
        <v>25.3672191</v>
      </c>
      <c r="S606" s="7">
        <v>25.253007</v>
      </c>
      <c r="T606" s="7">
        <v>25.625689000000001</v>
      </c>
      <c r="U606" s="7">
        <v>26.3812909</v>
      </c>
      <c r="V606" s="7">
        <v>24.780526099999999</v>
      </c>
      <c r="W606" s="7">
        <v>26.0406087</v>
      </c>
      <c r="X606" s="7">
        <v>27.0948104</v>
      </c>
      <c r="Y606" s="7">
        <v>27.351381700000001</v>
      </c>
      <c r="Z606" s="7">
        <v>26.2949871</v>
      </c>
      <c r="AA606" s="7">
        <v>25.903345600000002</v>
      </c>
      <c r="AB606" s="7">
        <v>25.808224599999999</v>
      </c>
      <c r="AC606" s="7">
        <v>26.6976838</v>
      </c>
      <c r="AD606" s="7">
        <v>25.218508799999999</v>
      </c>
      <c r="AE606" s="7">
        <v>23.131399699999999</v>
      </c>
      <c r="AF606" s="7">
        <v>23.4593068</v>
      </c>
      <c r="AG606" s="7">
        <v>23.747671</v>
      </c>
      <c r="AH606" s="7">
        <v>25.245832400000001</v>
      </c>
      <c r="AI606" s="7">
        <v>28.024828899999999</v>
      </c>
      <c r="AJ606" s="7">
        <v>27.780968300000001</v>
      </c>
      <c r="AK606" s="7">
        <v>28.749864599999999</v>
      </c>
      <c r="AL606" s="7">
        <v>29.019822300000001</v>
      </c>
      <c r="AM606" s="7">
        <v>29.797609900000001</v>
      </c>
      <c r="AN606" s="7">
        <v>28.930627900000001</v>
      </c>
      <c r="AO606" s="7">
        <v>27.153945100000001</v>
      </c>
      <c r="AP606" s="7">
        <v>25.384573700000001</v>
      </c>
      <c r="AQ606" s="7">
        <v>24.167292799999998</v>
      </c>
      <c r="AR606" s="7">
        <v>23.8144165</v>
      </c>
      <c r="AS606" s="7">
        <v>23.652948800000001</v>
      </c>
      <c r="AT606" s="7">
        <v>63.567999999999998</v>
      </c>
    </row>
    <row r="607" spans="1:46" x14ac:dyDescent="0.25">
      <c r="A607" s="4" t="s">
        <v>206</v>
      </c>
      <c r="B607" s="4" t="s">
        <v>207</v>
      </c>
      <c r="C607" s="4" t="s">
        <v>246</v>
      </c>
      <c r="D607" s="4" t="s">
        <v>259</v>
      </c>
      <c r="E607" s="4" t="s">
        <v>248</v>
      </c>
      <c r="F607" s="4" t="s">
        <v>201</v>
      </c>
      <c r="G607" s="4" t="s">
        <v>93</v>
      </c>
      <c r="H607" s="4" t="s">
        <v>252</v>
      </c>
      <c r="I607" s="16">
        <v>3.2909999999999999</v>
      </c>
      <c r="J607" s="16">
        <v>3.9510000000000001</v>
      </c>
      <c r="K607" s="16">
        <v>4.1219999999999999</v>
      </c>
      <c r="L607" s="16">
        <v>4.9509999999999996</v>
      </c>
      <c r="M607" s="16">
        <v>4.5549999999999997</v>
      </c>
      <c r="N607" s="16">
        <v>4.1669999999999998</v>
      </c>
      <c r="O607" s="16">
        <v>3.89</v>
      </c>
      <c r="P607" s="16">
        <v>3.798</v>
      </c>
      <c r="Q607" s="16">
        <v>3.6579999999999999</v>
      </c>
      <c r="R607" s="16">
        <v>3.7160000000000002</v>
      </c>
      <c r="S607" s="16">
        <v>3.59</v>
      </c>
      <c r="T607" s="16">
        <v>3.8079999999999998</v>
      </c>
      <c r="U607" s="16">
        <v>3.726</v>
      </c>
      <c r="V607" s="16">
        <v>3.4910000000000001</v>
      </c>
      <c r="W607" s="16">
        <v>4.1859999999999999</v>
      </c>
      <c r="X607" s="16">
        <v>4.3280000000000003</v>
      </c>
      <c r="Y607" s="16">
        <v>4.4480000000000004</v>
      </c>
      <c r="Z607" s="16">
        <v>4.25</v>
      </c>
      <c r="AA607" s="16">
        <v>4.3449999999999998</v>
      </c>
      <c r="AB607" s="16">
        <v>4.2939999999999996</v>
      </c>
      <c r="AC607" s="16">
        <v>4.1210000000000004</v>
      </c>
      <c r="AD607" s="16">
        <v>4.093</v>
      </c>
      <c r="AE607" s="16">
        <v>4.1989999999999998</v>
      </c>
      <c r="AF607" s="16">
        <v>4.4450000000000003</v>
      </c>
      <c r="AG607" s="16">
        <v>4.0270000000000001</v>
      </c>
      <c r="AH607" s="16">
        <v>4.3019999999999996</v>
      </c>
      <c r="AI607" s="16">
        <v>4.2770000000000001</v>
      </c>
      <c r="AJ607" s="16">
        <v>3.9830000000000001</v>
      </c>
      <c r="AK607" s="16">
        <v>3.7570000000000001</v>
      </c>
      <c r="AL607" s="16">
        <v>3.9359999999999999</v>
      </c>
      <c r="AM607" s="16">
        <v>3.9430000000000001</v>
      </c>
      <c r="AN607" s="16">
        <v>3.5819999999999999</v>
      </c>
      <c r="AO607" s="16">
        <v>3.4340000000000002</v>
      </c>
      <c r="AP607" s="16">
        <v>3.351</v>
      </c>
      <c r="AQ607" s="16">
        <v>3.4470000000000001</v>
      </c>
      <c r="AR607" s="16">
        <v>3.4329999999999998</v>
      </c>
      <c r="AS607" s="16">
        <v>3.4630000000000001</v>
      </c>
      <c r="AT607" s="7">
        <v>23.652948800000001</v>
      </c>
    </row>
    <row r="608" spans="1:46" x14ac:dyDescent="0.25">
      <c r="A608" s="4" t="s">
        <v>206</v>
      </c>
      <c r="B608" s="4" t="s">
        <v>207</v>
      </c>
      <c r="C608" s="4" t="s">
        <v>246</v>
      </c>
      <c r="D608" s="4" t="s">
        <v>259</v>
      </c>
      <c r="E608" s="4" t="s">
        <v>248</v>
      </c>
      <c r="F608" s="4" t="s">
        <v>195</v>
      </c>
      <c r="G608" s="4" t="s">
        <v>93</v>
      </c>
      <c r="H608" s="4" t="s">
        <v>151</v>
      </c>
      <c r="I608" s="5">
        <v>28793.760999999999</v>
      </c>
      <c r="J608" s="5">
        <v>48106.235999999997</v>
      </c>
      <c r="K608" s="5">
        <v>69596.585999999996</v>
      </c>
      <c r="L608" s="5">
        <v>90321.225999999995</v>
      </c>
      <c r="M608" s="5">
        <v>123520.524</v>
      </c>
      <c r="N608" s="5">
        <v>115447.41499999999</v>
      </c>
      <c r="O608" s="5">
        <v>104878.299</v>
      </c>
      <c r="P608" s="5">
        <v>72571.131999999998</v>
      </c>
      <c r="Q608" s="5">
        <v>45385.178999999996</v>
      </c>
      <c r="R608" s="5">
        <v>27839.326000000001</v>
      </c>
      <c r="S608" s="5">
        <v>22130.66</v>
      </c>
      <c r="T608" s="5">
        <v>20927.304</v>
      </c>
      <c r="U608" s="5">
        <v>24535.046999999999</v>
      </c>
      <c r="V608" s="5">
        <v>37036.034</v>
      </c>
      <c r="W608" s="5">
        <v>64188.326000000001</v>
      </c>
      <c r="X608" s="5">
        <v>92652.62</v>
      </c>
      <c r="Y608" s="5">
        <v>111987.58900000001</v>
      </c>
      <c r="Z608" s="5">
        <v>98213.98</v>
      </c>
      <c r="AA608" s="5">
        <v>105571.519</v>
      </c>
      <c r="AB608" s="5">
        <v>80985.879000000001</v>
      </c>
      <c r="AC608" s="5">
        <v>62736.061999999998</v>
      </c>
      <c r="AD608" s="5">
        <v>41155.830999999998</v>
      </c>
      <c r="AE608" s="5">
        <v>30106.483</v>
      </c>
      <c r="AF608" s="5">
        <v>26765.195</v>
      </c>
      <c r="AG608" s="5">
        <v>26919.368999999999</v>
      </c>
      <c r="AH608" s="5">
        <v>40337.402000000002</v>
      </c>
      <c r="AI608" s="5">
        <v>55399.756999999998</v>
      </c>
      <c r="AJ608" s="5">
        <v>93397.385999999999</v>
      </c>
      <c r="AK608" s="5">
        <v>113558.09</v>
      </c>
      <c r="AL608" s="5">
        <v>106295.28200000001</v>
      </c>
      <c r="AM608" s="5">
        <v>120691.674</v>
      </c>
      <c r="AN608" s="5">
        <v>115672.264</v>
      </c>
      <c r="AO608" s="5">
        <v>72756.021999999997</v>
      </c>
      <c r="AP608" s="5">
        <v>43678.462</v>
      </c>
      <c r="AQ608" s="5">
        <v>30935.289000000001</v>
      </c>
      <c r="AR608" s="5">
        <v>19101.805</v>
      </c>
      <c r="AS608" s="5">
        <v>18065.473000000002</v>
      </c>
      <c r="AT608" s="5">
        <v>19877.332999999999</v>
      </c>
    </row>
    <row r="609" spans="1:46" x14ac:dyDescent="0.25">
      <c r="A609" s="4" t="s">
        <v>206</v>
      </c>
      <c r="B609" s="4" t="s">
        <v>207</v>
      </c>
      <c r="C609" s="4" t="s">
        <v>246</v>
      </c>
      <c r="D609" s="4" t="s">
        <v>259</v>
      </c>
      <c r="E609" s="4" t="s">
        <v>248</v>
      </c>
      <c r="F609" s="4" t="s">
        <v>195</v>
      </c>
      <c r="G609" s="4" t="s">
        <v>93</v>
      </c>
      <c r="H609" s="4" t="s">
        <v>205</v>
      </c>
      <c r="I609" s="6">
        <v>5967736.3990000002</v>
      </c>
      <c r="J609" s="6">
        <v>10259410.861</v>
      </c>
      <c r="K609" s="6">
        <v>15192299.450999999</v>
      </c>
      <c r="L609" s="6">
        <v>19555002.761</v>
      </c>
      <c r="M609" s="6">
        <v>26830410.081999999</v>
      </c>
      <c r="N609" s="6">
        <v>24854982.627999999</v>
      </c>
      <c r="O609" s="6">
        <v>22634851.679000001</v>
      </c>
      <c r="P609" s="6">
        <v>15664316.591</v>
      </c>
      <c r="Q609" s="6">
        <v>9760101.4800000004</v>
      </c>
      <c r="R609" s="6">
        <v>5881135.8229999999</v>
      </c>
      <c r="S609" s="6">
        <v>4679953.8099999996</v>
      </c>
      <c r="T609" s="6">
        <v>4513696.9910000004</v>
      </c>
      <c r="U609" s="6">
        <v>5443681.8959999997</v>
      </c>
      <c r="V609" s="6">
        <v>8326861.3810000001</v>
      </c>
      <c r="W609" s="6">
        <v>15054485.139</v>
      </c>
      <c r="X609" s="6">
        <v>21608311.346999999</v>
      </c>
      <c r="Y609" s="6">
        <v>26735988.699000001</v>
      </c>
      <c r="Z609" s="6">
        <v>23282207.539999999</v>
      </c>
      <c r="AA609" s="6">
        <v>25071943.976</v>
      </c>
      <c r="AB609" s="6">
        <v>19482188.390999999</v>
      </c>
      <c r="AC609" s="6">
        <v>14965307.536</v>
      </c>
      <c r="AD609" s="6">
        <v>9754708.0460000001</v>
      </c>
      <c r="AE609" s="6">
        <v>6975910.0530000003</v>
      </c>
      <c r="AF609" s="6">
        <v>6213099.9479999999</v>
      </c>
      <c r="AG609" s="6">
        <v>6468949.8590000002</v>
      </c>
      <c r="AH609" s="6">
        <v>10107756.426999999</v>
      </c>
      <c r="AI609" s="6">
        <v>14261253.607000001</v>
      </c>
      <c r="AJ609" s="6">
        <v>24678261.028000001</v>
      </c>
      <c r="AK609" s="6">
        <v>30736886.061000001</v>
      </c>
      <c r="AL609" s="6">
        <v>28721066.377</v>
      </c>
      <c r="AM609" s="6">
        <v>32181197.546999998</v>
      </c>
      <c r="AN609" s="6">
        <v>31100254.671</v>
      </c>
      <c r="AO609" s="6">
        <v>19373287.688999999</v>
      </c>
      <c r="AP609" s="6">
        <v>11120230.879000001</v>
      </c>
      <c r="AQ609" s="6">
        <v>7694005.6780000003</v>
      </c>
      <c r="AR609" s="6">
        <v>4807527.2960000001</v>
      </c>
      <c r="AS609" s="6">
        <v>4788290.3090000004</v>
      </c>
      <c r="AT609" s="6">
        <v>4788290.3090000004</v>
      </c>
    </row>
    <row r="610" spans="1:46" x14ac:dyDescent="0.25">
      <c r="A610" s="4" t="s">
        <v>206</v>
      </c>
      <c r="B610" s="4" t="s">
        <v>207</v>
      </c>
      <c r="C610" s="4" t="s">
        <v>246</v>
      </c>
      <c r="D610" s="4" t="s">
        <v>259</v>
      </c>
      <c r="E610" s="4" t="s">
        <v>248</v>
      </c>
      <c r="F610" s="4" t="s">
        <v>195</v>
      </c>
      <c r="G610" s="4" t="s">
        <v>93</v>
      </c>
      <c r="H610" s="4" t="s">
        <v>249</v>
      </c>
      <c r="I610" s="7">
        <v>16.498000000000001</v>
      </c>
      <c r="J610" s="7">
        <v>19.338999999999999</v>
      </c>
      <c r="K610" s="7">
        <v>20.097999999999999</v>
      </c>
      <c r="L610" s="7">
        <v>20.143000000000001</v>
      </c>
      <c r="M610" s="7">
        <v>20.710999999999999</v>
      </c>
      <c r="N610" s="7">
        <v>19.728000000000002</v>
      </c>
      <c r="O610" s="7">
        <v>20.123999999999999</v>
      </c>
      <c r="P610" s="7">
        <v>19.433</v>
      </c>
      <c r="Q610" s="7">
        <v>17.513999999999999</v>
      </c>
      <c r="R610" s="7">
        <v>16.463000000000001</v>
      </c>
      <c r="S610" s="7">
        <v>15.689</v>
      </c>
      <c r="T610" s="7">
        <v>15.454000000000001</v>
      </c>
      <c r="U610" s="7">
        <v>16.233000000000001</v>
      </c>
      <c r="V610" s="7">
        <v>18.100000000000001</v>
      </c>
      <c r="W610" s="7">
        <v>20.611999999999998</v>
      </c>
      <c r="X610" s="7">
        <v>21.155999999999999</v>
      </c>
      <c r="Y610" s="7">
        <v>21.94</v>
      </c>
      <c r="Z610" s="7">
        <v>20.472000000000001</v>
      </c>
      <c r="AA610" s="7">
        <v>21.062999999999999</v>
      </c>
      <c r="AB610" s="7">
        <v>21.277000000000001</v>
      </c>
      <c r="AC610" s="7">
        <v>21.259</v>
      </c>
      <c r="AD610" s="7">
        <v>18.698</v>
      </c>
      <c r="AE610" s="7">
        <v>17.206</v>
      </c>
      <c r="AF610" s="7">
        <v>17.079000000000001</v>
      </c>
      <c r="AG610" s="7">
        <v>16.228000000000002</v>
      </c>
      <c r="AH610" s="7">
        <v>18.271000000000001</v>
      </c>
      <c r="AI610" s="7">
        <v>18.727</v>
      </c>
      <c r="AJ610" s="7">
        <v>21.222000000000001</v>
      </c>
      <c r="AK610" s="7">
        <v>20.122</v>
      </c>
      <c r="AL610" s="7">
        <v>19.175999999999998</v>
      </c>
      <c r="AM610" s="7">
        <v>18.747</v>
      </c>
      <c r="AN610" s="7">
        <v>18.225000000000001</v>
      </c>
      <c r="AO610" s="7">
        <v>17.747</v>
      </c>
      <c r="AP610" s="7">
        <v>14.772</v>
      </c>
      <c r="AQ610" s="7">
        <v>13.975</v>
      </c>
      <c r="AR610" s="7">
        <v>12.478999999999999</v>
      </c>
      <c r="AS610" s="7">
        <v>14.393000000000001</v>
      </c>
      <c r="AT610" s="7">
        <v>2.2530000000000001</v>
      </c>
    </row>
    <row r="611" spans="1:46" x14ac:dyDescent="0.25">
      <c r="A611" s="4" t="s">
        <v>206</v>
      </c>
      <c r="B611" s="4" t="s">
        <v>207</v>
      </c>
      <c r="C611" s="4" t="s">
        <v>246</v>
      </c>
      <c r="D611" s="4" t="s">
        <v>259</v>
      </c>
      <c r="E611" s="4" t="s">
        <v>248</v>
      </c>
      <c r="F611" s="4" t="s">
        <v>195</v>
      </c>
      <c r="G611" s="4" t="s">
        <v>93</v>
      </c>
      <c r="H611" s="4" t="s">
        <v>250</v>
      </c>
      <c r="I611" s="7">
        <v>79.179000000000002</v>
      </c>
      <c r="J611" s="7">
        <v>84.971000000000004</v>
      </c>
      <c r="K611" s="7">
        <v>88.927999999999997</v>
      </c>
      <c r="L611" s="7">
        <v>88.855000000000004</v>
      </c>
      <c r="M611" s="7">
        <v>90.311000000000007</v>
      </c>
      <c r="N611" s="7">
        <v>88.706000000000003</v>
      </c>
      <c r="O611" s="7">
        <v>87.777000000000001</v>
      </c>
      <c r="P611" s="7">
        <v>85.34</v>
      </c>
      <c r="Q611" s="7">
        <v>83.325999999999993</v>
      </c>
      <c r="R611" s="7">
        <v>78.370999999999995</v>
      </c>
      <c r="S611" s="7">
        <v>77.790000000000006</v>
      </c>
      <c r="T611" s="7">
        <v>80.070999999999998</v>
      </c>
      <c r="U611" s="7">
        <v>80.176000000000002</v>
      </c>
      <c r="V611" s="7">
        <v>83.378</v>
      </c>
      <c r="W611" s="7">
        <v>88.057000000000002</v>
      </c>
      <c r="X611" s="7">
        <v>89.840999999999994</v>
      </c>
      <c r="Y611" s="7">
        <v>89.781000000000006</v>
      </c>
      <c r="Z611" s="7">
        <v>88.766000000000005</v>
      </c>
      <c r="AA611" s="7">
        <v>88.691000000000003</v>
      </c>
      <c r="AB611" s="7">
        <v>87.738</v>
      </c>
      <c r="AC611" s="7">
        <v>85.619</v>
      </c>
      <c r="AD611" s="7">
        <v>82.8</v>
      </c>
      <c r="AE611" s="7">
        <v>80.483999999999995</v>
      </c>
      <c r="AF611" s="7">
        <v>80.477000000000004</v>
      </c>
      <c r="AG611" s="7">
        <v>80.462000000000003</v>
      </c>
      <c r="AH611" s="7">
        <v>84.156000000000006</v>
      </c>
      <c r="AI611" s="7">
        <v>86.983999999999995</v>
      </c>
      <c r="AJ611" s="7">
        <v>89.802999999999997</v>
      </c>
      <c r="AK611" s="7">
        <v>91.397999999999996</v>
      </c>
      <c r="AL611" s="7">
        <v>89.546999999999997</v>
      </c>
      <c r="AM611" s="7">
        <v>89.616</v>
      </c>
      <c r="AN611" s="7">
        <v>90.328999999999994</v>
      </c>
      <c r="AO611" s="7">
        <v>85.13</v>
      </c>
      <c r="AP611" s="7">
        <v>79.337000000000003</v>
      </c>
      <c r="AQ611" s="7">
        <v>75.736000000000004</v>
      </c>
      <c r="AR611" s="7">
        <v>74.629000000000005</v>
      </c>
      <c r="AS611" s="7">
        <v>80.766000000000005</v>
      </c>
      <c r="AT611" s="5">
        <v>41650.218999999997</v>
      </c>
    </row>
    <row r="612" spans="1:46" x14ac:dyDescent="0.25">
      <c r="A612" s="4" t="s">
        <v>206</v>
      </c>
      <c r="B612" s="4" t="s">
        <v>207</v>
      </c>
      <c r="C612" s="4" t="s">
        <v>246</v>
      </c>
      <c r="D612" s="4" t="s">
        <v>259</v>
      </c>
      <c r="E612" s="4" t="s">
        <v>248</v>
      </c>
      <c r="F612" s="4" t="s">
        <v>195</v>
      </c>
      <c r="G612" s="4" t="s">
        <v>93</v>
      </c>
      <c r="H612" s="4" t="s">
        <v>251</v>
      </c>
      <c r="I612" s="7">
        <v>31.472376300000001</v>
      </c>
      <c r="J612" s="7">
        <v>32.987044400000002</v>
      </c>
      <c r="K612" s="7">
        <v>34.477354900000002</v>
      </c>
      <c r="L612" s="7">
        <v>34.506071599999999</v>
      </c>
      <c r="M612" s="7">
        <v>34.658749399999998</v>
      </c>
      <c r="N612" s="7">
        <v>33.692241000000003</v>
      </c>
      <c r="O612" s="7">
        <v>35.070566599999999</v>
      </c>
      <c r="P612" s="7">
        <v>33.3919687</v>
      </c>
      <c r="Q612" s="7">
        <v>32.678365200000002</v>
      </c>
      <c r="R612" s="7">
        <v>31.819846699999999</v>
      </c>
      <c r="S612" s="7">
        <v>30.978817500000002</v>
      </c>
      <c r="T612" s="7">
        <v>31.6707699</v>
      </c>
      <c r="U612" s="7">
        <v>31.470057099999998</v>
      </c>
      <c r="V612" s="7">
        <v>31.142633700000001</v>
      </c>
      <c r="W612" s="7">
        <v>33.780383899999997</v>
      </c>
      <c r="X612" s="7">
        <v>35.775410899999997</v>
      </c>
      <c r="Y612" s="7">
        <v>38.001870199999999</v>
      </c>
      <c r="Z612" s="7">
        <v>35.802615799999998</v>
      </c>
      <c r="AA612" s="7">
        <v>35.633420999999998</v>
      </c>
      <c r="AB612" s="7">
        <v>36.205873500000003</v>
      </c>
      <c r="AC612" s="7">
        <v>35.214289800000003</v>
      </c>
      <c r="AD612" s="7">
        <v>34.489779800000001</v>
      </c>
      <c r="AE612" s="7">
        <v>32.266060899999999</v>
      </c>
      <c r="AF612" s="7">
        <v>31.754609299999998</v>
      </c>
      <c r="AG612" s="7">
        <v>33.174473900000002</v>
      </c>
      <c r="AH612" s="7">
        <v>35.2880094</v>
      </c>
      <c r="AI612" s="7">
        <v>36.968099700000003</v>
      </c>
      <c r="AJ612" s="7">
        <v>38.623974400000002</v>
      </c>
      <c r="AK612" s="7">
        <v>39.471034099999997</v>
      </c>
      <c r="AL612" s="7">
        <v>39.104996800000002</v>
      </c>
      <c r="AM612" s="7">
        <v>38.631753699999997</v>
      </c>
      <c r="AN612" s="7">
        <v>37.275074199999999</v>
      </c>
      <c r="AO612" s="7">
        <v>37.2525531</v>
      </c>
      <c r="AP612" s="7">
        <v>36.541435</v>
      </c>
      <c r="AQ612" s="7">
        <v>34.375672999999999</v>
      </c>
      <c r="AR612" s="7">
        <v>33.0060942</v>
      </c>
      <c r="AS612" s="7">
        <v>32.322764399999997</v>
      </c>
      <c r="AT612" s="7">
        <v>80.766000000000005</v>
      </c>
    </row>
    <row r="613" spans="1:46" x14ac:dyDescent="0.25">
      <c r="A613" s="4" t="s">
        <v>206</v>
      </c>
      <c r="B613" s="4" t="s">
        <v>207</v>
      </c>
      <c r="C613" s="4" t="s">
        <v>246</v>
      </c>
      <c r="D613" s="4" t="s">
        <v>259</v>
      </c>
      <c r="E613" s="4" t="s">
        <v>248</v>
      </c>
      <c r="F613" s="4" t="s">
        <v>195</v>
      </c>
      <c r="G613" s="4" t="s">
        <v>93</v>
      </c>
      <c r="H613" s="4" t="s">
        <v>252</v>
      </c>
      <c r="I613" s="16">
        <v>7.5910000000000002</v>
      </c>
      <c r="J613" s="16">
        <v>8.6660000000000004</v>
      </c>
      <c r="K613" s="16">
        <v>7.9770000000000003</v>
      </c>
      <c r="L613" s="16">
        <v>8.577</v>
      </c>
      <c r="M613" s="16">
        <v>8.2550000000000008</v>
      </c>
      <c r="N613" s="16">
        <v>7.8120000000000003</v>
      </c>
      <c r="O613" s="16">
        <v>8.3610000000000007</v>
      </c>
      <c r="P613" s="16">
        <v>7.8179999999999996</v>
      </c>
      <c r="Q613" s="16">
        <v>7.6660000000000004</v>
      </c>
      <c r="R613" s="16">
        <v>7.9450000000000003</v>
      </c>
      <c r="S613" s="16">
        <v>7.8529999999999998</v>
      </c>
      <c r="T613" s="16">
        <v>7.601</v>
      </c>
      <c r="U613" s="16">
        <v>8.4920000000000009</v>
      </c>
      <c r="V613" s="16">
        <v>9.016</v>
      </c>
      <c r="W613" s="16">
        <v>8.9550000000000001</v>
      </c>
      <c r="X613" s="16">
        <v>9.1649999999999991</v>
      </c>
      <c r="Y613" s="16">
        <v>8.2840000000000007</v>
      </c>
      <c r="Z613" s="16">
        <v>8.0510000000000002</v>
      </c>
      <c r="AA613" s="16">
        <v>7.74</v>
      </c>
      <c r="AB613" s="16">
        <v>7.8979999999999997</v>
      </c>
      <c r="AC613" s="16">
        <v>7.2389999999999999</v>
      </c>
      <c r="AD613" s="16">
        <v>7.024</v>
      </c>
      <c r="AE613" s="16">
        <v>7.4530000000000003</v>
      </c>
      <c r="AF613" s="16">
        <v>7.45</v>
      </c>
      <c r="AG613" s="16">
        <v>7.3920000000000003</v>
      </c>
      <c r="AH613" s="16">
        <v>8.7249999999999996</v>
      </c>
      <c r="AI613" s="16">
        <v>9.3629999999999995</v>
      </c>
      <c r="AJ613" s="16">
        <v>8.6530000000000005</v>
      </c>
      <c r="AK613" s="16">
        <v>9.0269999999999992</v>
      </c>
      <c r="AL613" s="16">
        <v>8.1310000000000002</v>
      </c>
      <c r="AM613" s="16">
        <v>8.2390000000000008</v>
      </c>
      <c r="AN613" s="16">
        <v>7.6109999999999998</v>
      </c>
      <c r="AO613" s="16">
        <v>7.6260000000000003</v>
      </c>
      <c r="AP613" s="16">
        <v>7.3470000000000004</v>
      </c>
      <c r="AQ613" s="16">
        <v>7.0330000000000004</v>
      </c>
      <c r="AR613" s="16">
        <v>7.5119999999999996</v>
      </c>
      <c r="AS613" s="16">
        <v>7.335</v>
      </c>
      <c r="AT613" s="7">
        <v>32.322764399999997</v>
      </c>
    </row>
    <row r="614" spans="1:46" x14ac:dyDescent="0.25">
      <c r="A614" s="4" t="s">
        <v>206</v>
      </c>
      <c r="B614" s="4" t="s">
        <v>207</v>
      </c>
      <c r="C614" s="4" t="s">
        <v>246</v>
      </c>
      <c r="D614" s="4" t="s">
        <v>259</v>
      </c>
      <c r="E614" s="4" t="s">
        <v>248</v>
      </c>
      <c r="F614" s="4" t="s">
        <v>195</v>
      </c>
      <c r="G614" s="4" t="s">
        <v>260</v>
      </c>
      <c r="H614" s="4" t="s">
        <v>151</v>
      </c>
      <c r="I614" s="5">
        <v>56.225999999999999</v>
      </c>
      <c r="J614" s="5">
        <v>49.198999999999998</v>
      </c>
      <c r="K614" s="5">
        <v>144.89400000000001</v>
      </c>
      <c r="L614" s="5">
        <v>397.81</v>
      </c>
      <c r="M614" s="5">
        <v>483.63</v>
      </c>
      <c r="N614" s="5">
        <v>173.339</v>
      </c>
      <c r="O614" s="5">
        <v>940.87</v>
      </c>
      <c r="P614" s="5">
        <v>1086.643</v>
      </c>
      <c r="Q614" s="5">
        <v>685.30499999999995</v>
      </c>
      <c r="R614" s="5">
        <v>450.33300000000003</v>
      </c>
      <c r="S614" s="5">
        <v>406.11200000000002</v>
      </c>
      <c r="T614" s="5">
        <v>316.21100000000001</v>
      </c>
      <c r="U614" s="5">
        <v>545.25</v>
      </c>
      <c r="V614" s="5">
        <v>84.046999999999997</v>
      </c>
      <c r="W614" s="5">
        <v>187.06800000000001</v>
      </c>
      <c r="X614" s="5">
        <v>248.57400000000001</v>
      </c>
      <c r="Y614" s="5">
        <v>125.242</v>
      </c>
      <c r="Z614" s="5">
        <v>105.30800000000001</v>
      </c>
      <c r="AA614" s="5">
        <v>234.249</v>
      </c>
      <c r="AB614" s="5">
        <v>219.90299999999999</v>
      </c>
      <c r="AC614" s="5">
        <v>93.596000000000004</v>
      </c>
      <c r="AD614" s="5">
        <v>10.88</v>
      </c>
      <c r="AE614" s="5">
        <v>6.1840000000000002</v>
      </c>
      <c r="AF614" s="5">
        <v>5.742</v>
      </c>
      <c r="AG614" s="5">
        <v>29.928999999999998</v>
      </c>
      <c r="AH614" s="5">
        <v>69.552000000000007</v>
      </c>
      <c r="AI614" s="5">
        <v>17.355</v>
      </c>
      <c r="AJ614" s="5">
        <v>49.780999999999999</v>
      </c>
      <c r="AK614" s="5">
        <v>0</v>
      </c>
      <c r="AL614" s="5">
        <v>74.38</v>
      </c>
      <c r="AM614" s="5">
        <v>539.875</v>
      </c>
      <c r="AN614" s="5">
        <v>317.197</v>
      </c>
      <c r="AO614" s="5">
        <v>65.552000000000007</v>
      </c>
      <c r="AP614" s="5">
        <v>215.30600000000001</v>
      </c>
      <c r="AQ614" s="5">
        <v>310.04500000000002</v>
      </c>
      <c r="AR614" s="5">
        <v>365.78899999999999</v>
      </c>
      <c r="AS614" s="5">
        <v>166.316</v>
      </c>
      <c r="AT614" s="5">
        <v>1995.797</v>
      </c>
    </row>
    <row r="615" spans="1:46" x14ac:dyDescent="0.25">
      <c r="A615" s="4" t="s">
        <v>206</v>
      </c>
      <c r="B615" s="4" t="s">
        <v>207</v>
      </c>
      <c r="C615" s="4" t="s">
        <v>246</v>
      </c>
      <c r="D615" s="4" t="s">
        <v>259</v>
      </c>
      <c r="E615" s="4" t="s">
        <v>248</v>
      </c>
      <c r="F615" s="4" t="s">
        <v>195</v>
      </c>
      <c r="G615" s="4" t="s">
        <v>260</v>
      </c>
      <c r="H615" s="4" t="s">
        <v>205</v>
      </c>
      <c r="I615" s="6">
        <v>2314.732</v>
      </c>
      <c r="J615" s="6">
        <v>2410.5079999999998</v>
      </c>
      <c r="K615" s="6">
        <v>5982.0820000000003</v>
      </c>
      <c r="L615" s="6">
        <v>17868.72</v>
      </c>
      <c r="M615" s="6">
        <v>13667.550999999999</v>
      </c>
      <c r="N615" s="6">
        <v>11194.547</v>
      </c>
      <c r="O615" s="6">
        <v>81180.047999999995</v>
      </c>
      <c r="P615" s="6">
        <v>93717.471000000005</v>
      </c>
      <c r="Q615" s="6">
        <v>61240.027999999998</v>
      </c>
      <c r="R615" s="6">
        <v>48952.411</v>
      </c>
      <c r="S615" s="6">
        <v>42327.629000000001</v>
      </c>
      <c r="T615" s="6">
        <v>36072.932999999997</v>
      </c>
      <c r="U615" s="6">
        <v>32595.152999999998</v>
      </c>
      <c r="V615" s="6">
        <v>3229.7950000000001</v>
      </c>
      <c r="W615" s="6">
        <v>7279.3879999999999</v>
      </c>
      <c r="X615" s="6">
        <v>9391.6119999999992</v>
      </c>
      <c r="Y615" s="6">
        <v>4981.9520000000002</v>
      </c>
      <c r="Z615" s="6">
        <v>4614.2870000000003</v>
      </c>
      <c r="AA615" s="6">
        <v>15559.907999999999</v>
      </c>
      <c r="AB615" s="6">
        <v>12916.823</v>
      </c>
      <c r="AC615" s="6">
        <v>6222.1809999999996</v>
      </c>
      <c r="AD615" s="6">
        <v>1229.4190000000001</v>
      </c>
      <c r="AE615" s="6">
        <v>698.76700000000005</v>
      </c>
      <c r="AF615" s="6">
        <v>648.85599999999999</v>
      </c>
      <c r="AG615" s="6">
        <v>1552.1279999999999</v>
      </c>
      <c r="AH615" s="6">
        <v>2962.2629999999999</v>
      </c>
      <c r="AI615" s="6">
        <v>694.18100000000004</v>
      </c>
      <c r="AJ615" s="6">
        <v>1991.2560000000001</v>
      </c>
      <c r="AK615" s="6">
        <v>0</v>
      </c>
      <c r="AL615" s="6">
        <v>2082.6489999999999</v>
      </c>
      <c r="AM615" s="6">
        <v>18862.219000000001</v>
      </c>
      <c r="AN615" s="6">
        <v>10263.441000000001</v>
      </c>
      <c r="AO615" s="6">
        <v>2294.375</v>
      </c>
      <c r="AP615" s="6">
        <v>8273.2649999999994</v>
      </c>
      <c r="AQ615" s="6">
        <v>8681.2669999999998</v>
      </c>
      <c r="AR615" s="6">
        <v>10630.245999999999</v>
      </c>
      <c r="AS615" s="6">
        <v>5921.3720000000003</v>
      </c>
      <c r="AT615" s="6">
        <v>5921.3720000000003</v>
      </c>
    </row>
    <row r="616" spans="1:46" x14ac:dyDescent="0.25">
      <c r="A616" s="4" t="s">
        <v>206</v>
      </c>
      <c r="B616" s="4" t="s">
        <v>207</v>
      </c>
      <c r="C616" s="4" t="s">
        <v>246</v>
      </c>
      <c r="D616" s="4" t="s">
        <v>259</v>
      </c>
      <c r="E616" s="4" t="s">
        <v>248</v>
      </c>
      <c r="F616" s="4" t="s">
        <v>195</v>
      </c>
      <c r="G616" s="4" t="s">
        <v>260</v>
      </c>
      <c r="H616" s="4" t="s">
        <v>249</v>
      </c>
      <c r="I616" s="7">
        <v>1E-3</v>
      </c>
      <c r="J616" s="7">
        <v>1E-3</v>
      </c>
      <c r="K616" s="7">
        <v>1E-3</v>
      </c>
      <c r="L616" s="7">
        <v>6.0000000000000001E-3</v>
      </c>
      <c r="M616" s="7">
        <v>3.0000000000000001E-3</v>
      </c>
      <c r="N616" s="7">
        <v>4.0000000000000001E-3</v>
      </c>
      <c r="O616" s="7">
        <v>6.0000000000000001E-3</v>
      </c>
      <c r="P616" s="7">
        <v>8.9999999999999993E-3</v>
      </c>
      <c r="Q616" s="7">
        <v>8.0000000000000002E-3</v>
      </c>
      <c r="R616" s="7">
        <v>8.0000000000000002E-3</v>
      </c>
      <c r="S616" s="7">
        <v>8.9999999999999993E-3</v>
      </c>
      <c r="T616" s="7">
        <v>7.0000000000000001E-3</v>
      </c>
      <c r="U616" s="7">
        <v>1.0999999999999999E-2</v>
      </c>
      <c r="V616" s="7">
        <v>1E-3</v>
      </c>
      <c r="W616" s="7">
        <v>2E-3</v>
      </c>
      <c r="X616" s="7">
        <v>2E-3</v>
      </c>
      <c r="Y616" s="7">
        <v>1E-3</v>
      </c>
      <c r="Z616" s="7">
        <v>1E-3</v>
      </c>
      <c r="AA616" s="7">
        <v>1E-3</v>
      </c>
      <c r="AB616" s="7">
        <v>2E-3</v>
      </c>
      <c r="AC616" s="7">
        <v>1E-3</v>
      </c>
      <c r="AD616" s="7">
        <v>0</v>
      </c>
      <c r="AE616" s="7">
        <v>0</v>
      </c>
      <c r="AF616" s="7">
        <v>0</v>
      </c>
      <c r="AG616" s="7">
        <v>1E-3</v>
      </c>
      <c r="AH616" s="7">
        <v>1E-3</v>
      </c>
      <c r="AI616" s="7">
        <v>0</v>
      </c>
      <c r="AJ616" s="7">
        <v>0</v>
      </c>
      <c r="AK616" s="7">
        <v>0</v>
      </c>
      <c r="AL616" s="7">
        <v>0</v>
      </c>
      <c r="AM616" s="7">
        <v>3.0000000000000001E-3</v>
      </c>
      <c r="AN616" s="7">
        <v>2E-3</v>
      </c>
      <c r="AO616" s="7">
        <v>0</v>
      </c>
      <c r="AP616" s="7">
        <v>2E-3</v>
      </c>
      <c r="AQ616" s="7">
        <v>4.0000000000000001E-3</v>
      </c>
      <c r="AR616" s="7">
        <v>7.0000000000000001E-3</v>
      </c>
      <c r="AS616" s="7">
        <v>4.0000000000000001E-3</v>
      </c>
      <c r="AT616" s="7">
        <v>0.22600000000000001</v>
      </c>
    </row>
    <row r="617" spans="1:46" x14ac:dyDescent="0.25">
      <c r="A617" s="4" t="s">
        <v>206</v>
      </c>
      <c r="B617" s="4" t="s">
        <v>207</v>
      </c>
      <c r="C617" s="4" t="s">
        <v>246</v>
      </c>
      <c r="D617" s="4" t="s">
        <v>259</v>
      </c>
      <c r="E617" s="4" t="s">
        <v>248</v>
      </c>
      <c r="F617" s="4" t="s">
        <v>195</v>
      </c>
      <c r="G617" s="4" t="s">
        <v>260</v>
      </c>
      <c r="H617" s="4" t="s">
        <v>250</v>
      </c>
      <c r="I617" s="7">
        <v>2.8119999999999998</v>
      </c>
      <c r="J617" s="7">
        <v>3.6669999999999998</v>
      </c>
      <c r="K617" s="7">
        <v>4.0199999999999996</v>
      </c>
      <c r="L617" s="7">
        <v>3.1080000000000001</v>
      </c>
      <c r="M617" s="7">
        <v>4</v>
      </c>
      <c r="N617" s="7">
        <v>2.2599999999999998</v>
      </c>
      <c r="O617" s="7">
        <v>2.851</v>
      </c>
      <c r="P617" s="7">
        <v>2.61</v>
      </c>
      <c r="Q617" s="7">
        <v>3.6160000000000001</v>
      </c>
      <c r="R617" s="7">
        <v>3.2040000000000002</v>
      </c>
      <c r="S617" s="7">
        <v>3.6160000000000001</v>
      </c>
      <c r="T617" s="7">
        <v>3.137</v>
      </c>
      <c r="U617" s="7">
        <v>2.1949999999999998</v>
      </c>
      <c r="V617" s="7">
        <v>0.877</v>
      </c>
      <c r="W617" s="7">
        <v>1.65</v>
      </c>
      <c r="X617" s="7">
        <v>0.77300000000000002</v>
      </c>
      <c r="Y617" s="7">
        <v>1.2689999999999999</v>
      </c>
      <c r="Z617" s="7">
        <v>1.0329999999999999</v>
      </c>
      <c r="AA617" s="7">
        <v>1.2070000000000001</v>
      </c>
      <c r="AB617" s="7">
        <v>1.196</v>
      </c>
      <c r="AC617" s="7">
        <v>0.49199999999999999</v>
      </c>
      <c r="AD617" s="7">
        <v>0.153</v>
      </c>
      <c r="AE617" s="7">
        <v>0.29599999999999999</v>
      </c>
      <c r="AF617" s="7">
        <v>0.55400000000000005</v>
      </c>
      <c r="AG617" s="7">
        <v>0.68700000000000006</v>
      </c>
      <c r="AH617" s="7">
        <v>0.69099999999999995</v>
      </c>
      <c r="AI617" s="7">
        <v>0.41499999999999998</v>
      </c>
      <c r="AJ617" s="7">
        <v>0.434</v>
      </c>
      <c r="AK617" s="7">
        <v>0.29599999999999999</v>
      </c>
      <c r="AL617" s="7">
        <v>0.3</v>
      </c>
      <c r="AM617" s="7">
        <v>0.38400000000000001</v>
      </c>
      <c r="AN617" s="7">
        <v>0.33</v>
      </c>
      <c r="AO617" s="7">
        <v>0.39500000000000002</v>
      </c>
      <c r="AP617" s="7">
        <v>0.63800000000000001</v>
      </c>
      <c r="AQ617" s="7">
        <v>0.77900000000000003</v>
      </c>
      <c r="AR617" s="7">
        <v>1.381</v>
      </c>
      <c r="AS617" s="7">
        <v>1.1140000000000001</v>
      </c>
      <c r="AT617" s="5">
        <v>7632.1509999999998</v>
      </c>
    </row>
    <row r="618" spans="1:46" x14ac:dyDescent="0.25">
      <c r="A618" s="4" t="s">
        <v>206</v>
      </c>
      <c r="B618" s="4" t="s">
        <v>207</v>
      </c>
      <c r="C618" s="4" t="s">
        <v>246</v>
      </c>
      <c r="D618" s="4" t="s">
        <v>259</v>
      </c>
      <c r="E618" s="4" t="s">
        <v>248</v>
      </c>
      <c r="F618" s="4" t="s">
        <v>195</v>
      </c>
      <c r="G618" s="4" t="s">
        <v>260</v>
      </c>
      <c r="H618" s="4" t="s">
        <v>251</v>
      </c>
      <c r="I618" s="7">
        <v>0.53842540000000005</v>
      </c>
      <c r="J618" s="7">
        <v>0.54310590000000003</v>
      </c>
      <c r="K618" s="7">
        <v>0.54264310000000004</v>
      </c>
      <c r="L618" s="7">
        <v>0.69413720000000001</v>
      </c>
      <c r="M618" s="7">
        <v>0.72783169999999997</v>
      </c>
      <c r="N618" s="7">
        <v>0.90740129999999997</v>
      </c>
      <c r="O618" s="7">
        <v>1.1211709999999999</v>
      </c>
      <c r="P618" s="7">
        <v>1.1679609</v>
      </c>
      <c r="Q618" s="7">
        <v>1.2646902</v>
      </c>
      <c r="R618" s="7">
        <v>1.062867</v>
      </c>
      <c r="S618" s="7">
        <v>1.090562</v>
      </c>
      <c r="T618" s="7">
        <v>1.0903328999999999</v>
      </c>
      <c r="U618" s="7">
        <v>0.9786726</v>
      </c>
      <c r="V618" s="7">
        <v>0.67207340000000004</v>
      </c>
      <c r="W618" s="7">
        <v>0.87024369999999995</v>
      </c>
      <c r="X618" s="7">
        <v>0.86255029999999999</v>
      </c>
      <c r="Y618" s="7">
        <v>0.38253569999999998</v>
      </c>
      <c r="Z618" s="7">
        <v>0.2400669</v>
      </c>
      <c r="AA618" s="7">
        <v>0.87175619999999998</v>
      </c>
      <c r="AB618" s="7">
        <v>0.82407560000000002</v>
      </c>
      <c r="AC618" s="7">
        <v>0.76237339999999998</v>
      </c>
      <c r="AD618" s="7">
        <v>0.6199848</v>
      </c>
      <c r="AE618" s="7">
        <v>0.62545550000000005</v>
      </c>
      <c r="AF618" s="7">
        <v>0.65072739999999996</v>
      </c>
      <c r="AG618" s="7">
        <v>0.65073590000000003</v>
      </c>
      <c r="AH618" s="7">
        <v>0.66220920000000005</v>
      </c>
      <c r="AI618" s="7">
        <v>0.59582380000000001</v>
      </c>
      <c r="AJ618" s="7">
        <v>0.44052629999999998</v>
      </c>
      <c r="AK618" s="7">
        <v>0.41231210000000001</v>
      </c>
      <c r="AL618" s="7">
        <v>0.4394113</v>
      </c>
      <c r="AM618" s="7">
        <v>0.43631500000000001</v>
      </c>
      <c r="AN618" s="7">
        <v>0.43634650000000003</v>
      </c>
      <c r="AO618" s="7">
        <v>0.1664889</v>
      </c>
      <c r="AP618" s="7">
        <v>0.17586660000000001</v>
      </c>
      <c r="AQ618" s="7">
        <v>0.18428059999999999</v>
      </c>
      <c r="AR618" s="7">
        <v>0.1899294</v>
      </c>
      <c r="AS618" s="7">
        <v>0.37646619999999997</v>
      </c>
      <c r="AT618" s="7">
        <v>1.1140000000000001</v>
      </c>
    </row>
    <row r="619" spans="1:46" x14ac:dyDescent="0.25">
      <c r="A619" s="4" t="s">
        <v>206</v>
      </c>
      <c r="B619" s="4" t="s">
        <v>207</v>
      </c>
      <c r="C619" s="4" t="s">
        <v>246</v>
      </c>
      <c r="D619" s="4" t="s">
        <v>259</v>
      </c>
      <c r="E619" s="4" t="s">
        <v>248</v>
      </c>
      <c r="F619" s="4" t="s">
        <v>195</v>
      </c>
      <c r="G619" s="4" t="s">
        <v>260</v>
      </c>
      <c r="H619" s="4" t="s">
        <v>252</v>
      </c>
      <c r="I619" s="16">
        <v>9.2999999999999999E-2</v>
      </c>
      <c r="J619" s="16">
        <v>0.08</v>
      </c>
      <c r="K619" s="16">
        <v>5.0999999999999997E-2</v>
      </c>
      <c r="L619" s="16">
        <v>0.12</v>
      </c>
      <c r="M619" s="16">
        <v>0.17599999999999999</v>
      </c>
      <c r="N619" s="16">
        <v>0.23200000000000001</v>
      </c>
      <c r="O619" s="16">
        <v>0.192</v>
      </c>
      <c r="P619" s="16">
        <v>0.30399999999999999</v>
      </c>
      <c r="Q619" s="16">
        <v>0.28100000000000003</v>
      </c>
      <c r="R619" s="16">
        <v>0.28100000000000003</v>
      </c>
      <c r="S619" s="16">
        <v>0.26700000000000002</v>
      </c>
      <c r="T619" s="16">
        <v>0.26100000000000001</v>
      </c>
      <c r="U619" s="16">
        <v>0.16600000000000001</v>
      </c>
      <c r="V619" s="16">
        <v>6.7000000000000004E-2</v>
      </c>
      <c r="W619" s="16">
        <v>0.11799999999999999</v>
      </c>
      <c r="X619" s="16">
        <v>7.5999999999999998E-2</v>
      </c>
      <c r="Y619" s="16">
        <v>5.2999999999999999E-2</v>
      </c>
      <c r="Z619" s="16">
        <v>0.03</v>
      </c>
      <c r="AA619" s="16">
        <v>0.246</v>
      </c>
      <c r="AB619" s="16">
        <v>0.215</v>
      </c>
      <c r="AC619" s="16">
        <v>0.217</v>
      </c>
      <c r="AD619" s="16">
        <v>0.216</v>
      </c>
      <c r="AE619" s="16">
        <v>0.22900000000000001</v>
      </c>
      <c r="AF619" s="16">
        <v>0.24099999999999999</v>
      </c>
      <c r="AG619" s="16">
        <v>0.22700000000000001</v>
      </c>
      <c r="AH619" s="16">
        <v>0.27400000000000002</v>
      </c>
      <c r="AI619" s="16">
        <v>0.24099999999999999</v>
      </c>
      <c r="AJ619" s="16">
        <v>0.20499999999999999</v>
      </c>
      <c r="AK619" s="16">
        <v>0.183</v>
      </c>
      <c r="AL619" s="16">
        <v>0.185</v>
      </c>
      <c r="AM619" s="16">
        <v>0.156</v>
      </c>
      <c r="AN619" s="16">
        <v>9.6000000000000002E-2</v>
      </c>
      <c r="AO619" s="16">
        <v>8.7999999999999995E-2</v>
      </c>
      <c r="AP619" s="16">
        <v>5.1999999999999998E-2</v>
      </c>
      <c r="AQ619" s="16">
        <v>0.105</v>
      </c>
      <c r="AR619" s="16">
        <v>0.1</v>
      </c>
      <c r="AS619" s="16">
        <v>0.125</v>
      </c>
      <c r="AT619" s="7">
        <v>0.37646619999999997</v>
      </c>
    </row>
    <row r="620" spans="1:46" x14ac:dyDescent="0.25">
      <c r="A620" s="4" t="s">
        <v>206</v>
      </c>
      <c r="B620" s="4" t="s">
        <v>207</v>
      </c>
      <c r="C620" s="4" t="s">
        <v>246</v>
      </c>
      <c r="D620" s="4" t="s">
        <v>259</v>
      </c>
      <c r="E620" s="4" t="s">
        <v>261</v>
      </c>
      <c r="F620" s="4" t="s">
        <v>201</v>
      </c>
      <c r="G620" s="4" t="s">
        <v>93</v>
      </c>
      <c r="H620" s="4" t="s">
        <v>151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0</v>
      </c>
      <c r="AH620" s="5">
        <v>49.292000000000002</v>
      </c>
      <c r="AI620" s="5">
        <v>80.730999999999995</v>
      </c>
      <c r="AJ620" s="8">
        <v>0</v>
      </c>
      <c r="AK620" s="9">
        <v>0</v>
      </c>
      <c r="AL620" s="9">
        <v>0</v>
      </c>
      <c r="AM620" s="9">
        <v>0</v>
      </c>
      <c r="AN620" s="9">
        <v>0</v>
      </c>
      <c r="AO620" s="9">
        <v>0</v>
      </c>
      <c r="AP620" s="9">
        <v>0</v>
      </c>
      <c r="AQ620" s="9">
        <v>0</v>
      </c>
      <c r="AR620" s="9">
        <v>0</v>
      </c>
      <c r="AS620" s="9">
        <v>0</v>
      </c>
      <c r="AT620" s="9">
        <v>0</v>
      </c>
    </row>
    <row r="621" spans="1:46" x14ac:dyDescent="0.25">
      <c r="A621" s="4" t="s">
        <v>206</v>
      </c>
      <c r="B621" s="4" t="s">
        <v>207</v>
      </c>
      <c r="C621" s="4" t="s">
        <v>246</v>
      </c>
      <c r="D621" s="4" t="s">
        <v>259</v>
      </c>
      <c r="E621" s="4" t="s">
        <v>261</v>
      </c>
      <c r="F621" s="4" t="s">
        <v>201</v>
      </c>
      <c r="G621" s="4" t="s">
        <v>93</v>
      </c>
      <c r="H621" s="4" t="s">
        <v>205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6">
        <v>9316.1419999999998</v>
      </c>
      <c r="AI621" s="6">
        <v>15258.120999999999</v>
      </c>
      <c r="AJ621" s="10">
        <v>0</v>
      </c>
      <c r="AK621" s="9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0</v>
      </c>
      <c r="AR621" s="9">
        <v>0</v>
      </c>
      <c r="AS621" s="9">
        <v>0</v>
      </c>
      <c r="AT621" s="9">
        <v>0</v>
      </c>
    </row>
    <row r="622" spans="1:46" x14ac:dyDescent="0.25">
      <c r="A622" s="4" t="s">
        <v>206</v>
      </c>
      <c r="B622" s="4" t="s">
        <v>207</v>
      </c>
      <c r="C622" s="4" t="s">
        <v>246</v>
      </c>
      <c r="D622" s="4" t="s">
        <v>259</v>
      </c>
      <c r="E622" s="4" t="s">
        <v>261</v>
      </c>
      <c r="F622" s="4" t="s">
        <v>201</v>
      </c>
      <c r="G622" s="4" t="s">
        <v>93</v>
      </c>
      <c r="H622" s="4" t="s">
        <v>249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0</v>
      </c>
      <c r="AH622" s="7">
        <v>2.5999999999999999E-2</v>
      </c>
      <c r="AI622" s="7">
        <v>3.1E-2</v>
      </c>
      <c r="AJ622" s="11">
        <v>0</v>
      </c>
      <c r="AK622" s="9">
        <v>0</v>
      </c>
      <c r="AL622" s="9">
        <v>0</v>
      </c>
      <c r="AM622" s="9">
        <v>0</v>
      </c>
      <c r="AN622" s="9">
        <v>0</v>
      </c>
      <c r="AO622" s="9">
        <v>0</v>
      </c>
      <c r="AP622" s="9">
        <v>0</v>
      </c>
      <c r="AQ622" s="9">
        <v>0</v>
      </c>
      <c r="AR622" s="9">
        <v>0</v>
      </c>
      <c r="AS622" s="9">
        <v>0</v>
      </c>
      <c r="AT622" s="9">
        <v>0</v>
      </c>
    </row>
    <row r="623" spans="1:46" x14ac:dyDescent="0.25">
      <c r="A623" s="4" t="s">
        <v>206</v>
      </c>
      <c r="B623" s="4" t="s">
        <v>207</v>
      </c>
      <c r="C623" s="4" t="s">
        <v>246</v>
      </c>
      <c r="D623" s="4" t="s">
        <v>259</v>
      </c>
      <c r="E623" s="4" t="s">
        <v>261</v>
      </c>
      <c r="F623" s="4" t="s">
        <v>201</v>
      </c>
      <c r="G623" s="4" t="s">
        <v>93</v>
      </c>
      <c r="H623" s="4" t="s">
        <v>250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0</v>
      </c>
      <c r="AD623" s="9">
        <v>0</v>
      </c>
      <c r="AE623" s="9">
        <v>0</v>
      </c>
      <c r="AF623" s="9">
        <v>0</v>
      </c>
      <c r="AG623" s="9">
        <v>0</v>
      </c>
      <c r="AH623" s="7">
        <v>1.6E-2</v>
      </c>
      <c r="AI623" s="7">
        <v>0.11</v>
      </c>
      <c r="AJ623" s="11">
        <v>0</v>
      </c>
      <c r="AK623" s="9">
        <v>0</v>
      </c>
      <c r="AL623" s="9">
        <v>0</v>
      </c>
      <c r="AM623" s="9">
        <v>0</v>
      </c>
      <c r="AN623" s="9">
        <v>0</v>
      </c>
      <c r="AO623" s="9">
        <v>0</v>
      </c>
      <c r="AP623" s="9">
        <v>0</v>
      </c>
      <c r="AQ623" s="9">
        <v>0</v>
      </c>
      <c r="AR623" s="9">
        <v>0</v>
      </c>
      <c r="AS623" s="9">
        <v>0</v>
      </c>
      <c r="AT623" s="9">
        <v>0</v>
      </c>
    </row>
    <row r="624" spans="1:46" x14ac:dyDescent="0.25">
      <c r="A624" s="4" t="s">
        <v>206</v>
      </c>
      <c r="B624" s="4" t="s">
        <v>207</v>
      </c>
      <c r="C624" s="4" t="s">
        <v>246</v>
      </c>
      <c r="D624" s="4" t="s">
        <v>259</v>
      </c>
      <c r="E624" s="4" t="s">
        <v>261</v>
      </c>
      <c r="F624" s="4" t="s">
        <v>201</v>
      </c>
      <c r="G624" s="4" t="s">
        <v>93</v>
      </c>
      <c r="H624" s="4" t="s">
        <v>251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0</v>
      </c>
      <c r="AH624" s="7">
        <v>0.15620310000000001</v>
      </c>
      <c r="AI624" s="7">
        <v>0.15616769999999999</v>
      </c>
      <c r="AJ624" s="7">
        <v>0</v>
      </c>
      <c r="AK624" s="9">
        <v>0</v>
      </c>
      <c r="AL624" s="9">
        <v>0</v>
      </c>
      <c r="AM624" s="9">
        <v>0</v>
      </c>
      <c r="AN624" s="9">
        <v>0</v>
      </c>
      <c r="AO624" s="9">
        <v>0</v>
      </c>
      <c r="AP624" s="9">
        <v>0</v>
      </c>
      <c r="AQ624" s="9">
        <v>0</v>
      </c>
      <c r="AR624" s="9">
        <v>0</v>
      </c>
      <c r="AS624" s="9">
        <v>0</v>
      </c>
      <c r="AT624" s="9">
        <v>0</v>
      </c>
    </row>
    <row r="625" spans="1:46" x14ac:dyDescent="0.25">
      <c r="A625" s="4" t="s">
        <v>206</v>
      </c>
      <c r="B625" s="4" t="s">
        <v>207</v>
      </c>
      <c r="C625" s="4" t="s">
        <v>246</v>
      </c>
      <c r="D625" s="4" t="s">
        <v>259</v>
      </c>
      <c r="E625" s="4" t="s">
        <v>261</v>
      </c>
      <c r="F625" s="4" t="s">
        <v>201</v>
      </c>
      <c r="G625" s="4" t="s">
        <v>93</v>
      </c>
      <c r="H625" s="4" t="s">
        <v>252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0</v>
      </c>
      <c r="AH625" s="16">
        <v>0.02</v>
      </c>
      <c r="AI625" s="17">
        <v>0</v>
      </c>
      <c r="AJ625" s="17">
        <v>0</v>
      </c>
      <c r="AK625" s="9">
        <v>0</v>
      </c>
      <c r="AL625" s="9">
        <v>0</v>
      </c>
      <c r="AM625" s="9">
        <v>0</v>
      </c>
      <c r="AN625" s="9">
        <v>0</v>
      </c>
      <c r="AO625" s="9">
        <v>0</v>
      </c>
      <c r="AP625" s="9">
        <v>0</v>
      </c>
      <c r="AQ625" s="9">
        <v>0</v>
      </c>
      <c r="AR625" s="9">
        <v>0</v>
      </c>
      <c r="AS625" s="9">
        <v>0</v>
      </c>
      <c r="AT625" s="9">
        <v>0</v>
      </c>
    </row>
    <row r="626" spans="1:46" x14ac:dyDescent="0.25">
      <c r="A626" s="4" t="s">
        <v>206</v>
      </c>
      <c r="B626" s="4" t="s">
        <v>207</v>
      </c>
      <c r="C626" s="4" t="s">
        <v>246</v>
      </c>
      <c r="D626" s="4" t="s">
        <v>259</v>
      </c>
      <c r="E626" s="4" t="s">
        <v>261</v>
      </c>
      <c r="F626" s="4" t="s">
        <v>195</v>
      </c>
      <c r="G626" s="4" t="s">
        <v>93</v>
      </c>
      <c r="H626" s="4" t="s">
        <v>151</v>
      </c>
      <c r="I626" s="5">
        <v>4107.5249999999996</v>
      </c>
      <c r="J626" s="5">
        <v>7039.35</v>
      </c>
      <c r="K626" s="5">
        <v>7787.1869999999999</v>
      </c>
      <c r="L626" s="5">
        <v>6406.0780000000004</v>
      </c>
      <c r="M626" s="5">
        <v>6171.9179999999997</v>
      </c>
      <c r="N626" s="5">
        <v>5981.9840000000004</v>
      </c>
      <c r="O626" s="5">
        <v>6288.4719999999998</v>
      </c>
      <c r="P626" s="5">
        <v>4872.826</v>
      </c>
      <c r="Q626" s="5">
        <v>3463.0709999999999</v>
      </c>
      <c r="R626" s="5">
        <v>2640.3580000000002</v>
      </c>
      <c r="S626" s="5">
        <v>2520.12</v>
      </c>
      <c r="T626" s="5">
        <v>2754.2979999999998</v>
      </c>
      <c r="U626" s="5">
        <v>3210.4050000000002</v>
      </c>
      <c r="V626" s="5">
        <v>4069.0659999999998</v>
      </c>
      <c r="W626" s="5">
        <v>6110.8590000000004</v>
      </c>
      <c r="X626" s="5">
        <v>6257.04</v>
      </c>
      <c r="Y626" s="5">
        <v>5734.86</v>
      </c>
      <c r="Z626" s="5">
        <v>5511.2479999999996</v>
      </c>
      <c r="AA626" s="5">
        <v>6137.5290000000005</v>
      </c>
      <c r="AB626" s="5">
        <v>5007.4629999999997</v>
      </c>
      <c r="AC626" s="5">
        <v>3423.6689999999999</v>
      </c>
      <c r="AD626" s="5">
        <v>2535.4380000000001</v>
      </c>
      <c r="AE626" s="5">
        <v>2515.0320000000002</v>
      </c>
      <c r="AF626" s="5">
        <v>2037.798</v>
      </c>
      <c r="AG626" s="5">
        <v>2140.1060000000002</v>
      </c>
      <c r="AH626" s="5">
        <v>2930.886</v>
      </c>
      <c r="AI626" s="5">
        <v>4697.3249999999998</v>
      </c>
      <c r="AJ626" s="5">
        <v>6219.4430000000002</v>
      </c>
      <c r="AK626" s="5">
        <v>6035.7470000000003</v>
      </c>
      <c r="AL626" s="5">
        <v>5209.2020000000002</v>
      </c>
      <c r="AM626" s="5">
        <v>6356.44</v>
      </c>
      <c r="AN626" s="5">
        <v>5783.0550000000003</v>
      </c>
      <c r="AO626" s="5">
        <v>4533.3819999999996</v>
      </c>
      <c r="AP626" s="5">
        <v>3782.1729999999998</v>
      </c>
      <c r="AQ626" s="5">
        <v>3094.4949999999999</v>
      </c>
      <c r="AR626" s="5">
        <v>2330.2849999999999</v>
      </c>
      <c r="AS626" s="5">
        <v>2531.913</v>
      </c>
      <c r="AT626" s="5">
        <v>2531.913</v>
      </c>
    </row>
    <row r="627" spans="1:46" x14ac:dyDescent="0.25">
      <c r="A627" s="4" t="s">
        <v>206</v>
      </c>
      <c r="B627" s="4" t="s">
        <v>207</v>
      </c>
      <c r="C627" s="4" t="s">
        <v>246</v>
      </c>
      <c r="D627" s="4" t="s">
        <v>259</v>
      </c>
      <c r="E627" s="4" t="s">
        <v>261</v>
      </c>
      <c r="F627" s="4" t="s">
        <v>195</v>
      </c>
      <c r="G627" s="4" t="s">
        <v>93</v>
      </c>
      <c r="H627" s="4" t="s">
        <v>205</v>
      </c>
      <c r="I627" s="6">
        <v>924660.28200000001</v>
      </c>
      <c r="J627" s="6">
        <v>1614721.7620000001</v>
      </c>
      <c r="K627" s="6">
        <v>1895216.2849999999</v>
      </c>
      <c r="L627" s="6">
        <v>1552461.9580000001</v>
      </c>
      <c r="M627" s="6">
        <v>1490820.777</v>
      </c>
      <c r="N627" s="6">
        <v>1422590.3910000001</v>
      </c>
      <c r="O627" s="6">
        <v>1478514.068</v>
      </c>
      <c r="P627" s="6">
        <v>1158665.8089999999</v>
      </c>
      <c r="Q627" s="6">
        <v>828400.85400000005</v>
      </c>
      <c r="R627" s="6">
        <v>595555.03799999994</v>
      </c>
      <c r="S627" s="6">
        <v>565701.64899999998</v>
      </c>
      <c r="T627" s="6">
        <v>624521.03099999996</v>
      </c>
      <c r="U627" s="6">
        <v>785917.68</v>
      </c>
      <c r="V627" s="6">
        <v>1063506.831</v>
      </c>
      <c r="W627" s="6">
        <v>1643290.9950000001</v>
      </c>
      <c r="X627" s="6">
        <v>1661309.03</v>
      </c>
      <c r="Y627" s="6">
        <v>1562526.1850000001</v>
      </c>
      <c r="Z627" s="6">
        <v>1519143.277</v>
      </c>
      <c r="AA627" s="6">
        <v>1735681.3670000001</v>
      </c>
      <c r="AB627" s="6">
        <v>1420444.0149999999</v>
      </c>
      <c r="AC627" s="6">
        <v>967951.12699999998</v>
      </c>
      <c r="AD627" s="6">
        <v>708033.103</v>
      </c>
      <c r="AE627" s="6">
        <v>713752.69499999995</v>
      </c>
      <c r="AF627" s="6">
        <v>597384.799</v>
      </c>
      <c r="AG627" s="6">
        <v>638618.91799999995</v>
      </c>
      <c r="AH627" s="6">
        <v>915996.55700000003</v>
      </c>
      <c r="AI627" s="6">
        <v>1475290.172</v>
      </c>
      <c r="AJ627" s="6">
        <v>1970957.652</v>
      </c>
      <c r="AK627" s="6">
        <v>1878076.129</v>
      </c>
      <c r="AL627" s="6">
        <v>1618665.1089999999</v>
      </c>
      <c r="AM627" s="6">
        <v>1943340.243</v>
      </c>
      <c r="AN627" s="6">
        <v>1744673.4820000001</v>
      </c>
      <c r="AO627" s="6">
        <v>1354232.34</v>
      </c>
      <c r="AP627" s="6">
        <v>1144959.6259999999</v>
      </c>
      <c r="AQ627" s="6">
        <v>933892.94700000004</v>
      </c>
      <c r="AR627" s="6">
        <v>712584.98699999996</v>
      </c>
      <c r="AS627" s="6">
        <v>771642.201</v>
      </c>
      <c r="AT627" s="6">
        <v>771642.201</v>
      </c>
    </row>
    <row r="628" spans="1:46" x14ac:dyDescent="0.25">
      <c r="A628" s="4" t="s">
        <v>206</v>
      </c>
      <c r="B628" s="4" t="s">
        <v>207</v>
      </c>
      <c r="C628" s="4" t="s">
        <v>246</v>
      </c>
      <c r="D628" s="4" t="s">
        <v>259</v>
      </c>
      <c r="E628" s="4" t="s">
        <v>261</v>
      </c>
      <c r="F628" s="4" t="s">
        <v>195</v>
      </c>
      <c r="G628" s="4" t="s">
        <v>93</v>
      </c>
      <c r="H628" s="4" t="s">
        <v>249</v>
      </c>
      <c r="I628" s="7">
        <v>2.3860000000000001</v>
      </c>
      <c r="J628" s="7">
        <v>2.8450000000000002</v>
      </c>
      <c r="K628" s="7">
        <v>2.2530000000000001</v>
      </c>
      <c r="L628" s="7">
        <v>1.423</v>
      </c>
      <c r="M628" s="7">
        <v>1.028</v>
      </c>
      <c r="N628" s="7">
        <v>1.012</v>
      </c>
      <c r="O628" s="7">
        <v>1.2030000000000001</v>
      </c>
      <c r="P628" s="7">
        <v>1.3</v>
      </c>
      <c r="Q628" s="7">
        <v>1.341</v>
      </c>
      <c r="R628" s="7">
        <v>1.583</v>
      </c>
      <c r="S628" s="7">
        <v>1.8009999999999999</v>
      </c>
      <c r="T628" s="7">
        <v>2.0489999999999999</v>
      </c>
      <c r="U628" s="7">
        <v>2.073</v>
      </c>
      <c r="V628" s="7">
        <v>1.9419999999999999</v>
      </c>
      <c r="W628" s="7">
        <v>1.8680000000000001</v>
      </c>
      <c r="X628" s="7">
        <v>1.353</v>
      </c>
      <c r="Y628" s="7">
        <v>1.0669999999999999</v>
      </c>
      <c r="Z628" s="7">
        <v>1.0940000000000001</v>
      </c>
      <c r="AA628" s="7">
        <v>1.159</v>
      </c>
      <c r="AB628" s="7">
        <v>1.238</v>
      </c>
      <c r="AC628" s="7">
        <v>1.1020000000000001</v>
      </c>
      <c r="AD628" s="7">
        <v>1.1040000000000001</v>
      </c>
      <c r="AE628" s="7">
        <v>1.383</v>
      </c>
      <c r="AF628" s="7">
        <v>1.248</v>
      </c>
      <c r="AG628" s="7">
        <v>1.2330000000000001</v>
      </c>
      <c r="AH628" s="7">
        <v>1.2589999999999999</v>
      </c>
      <c r="AI628" s="7">
        <v>1.5009999999999999</v>
      </c>
      <c r="AJ628" s="7">
        <v>1.3320000000000001</v>
      </c>
      <c r="AK628" s="7">
        <v>1.0149999999999999</v>
      </c>
      <c r="AL628" s="7">
        <v>0.88700000000000001</v>
      </c>
      <c r="AM628" s="7">
        <v>0.93500000000000005</v>
      </c>
      <c r="AN628" s="7">
        <v>0.86499999999999999</v>
      </c>
      <c r="AO628" s="7">
        <v>1.0509999999999999</v>
      </c>
      <c r="AP628" s="7">
        <v>1.2250000000000001</v>
      </c>
      <c r="AQ628" s="7">
        <v>1.345</v>
      </c>
      <c r="AR628" s="7">
        <v>1.456</v>
      </c>
      <c r="AS628" s="7">
        <v>1.907</v>
      </c>
      <c r="AT628" s="7">
        <v>0.28699999999999998</v>
      </c>
    </row>
    <row r="629" spans="1:46" x14ac:dyDescent="0.25">
      <c r="A629" s="4" t="s">
        <v>206</v>
      </c>
      <c r="B629" s="4" t="s">
        <v>207</v>
      </c>
      <c r="C629" s="4" t="s">
        <v>246</v>
      </c>
      <c r="D629" s="4" t="s">
        <v>259</v>
      </c>
      <c r="E629" s="4" t="s">
        <v>261</v>
      </c>
      <c r="F629" s="4" t="s">
        <v>195</v>
      </c>
      <c r="G629" s="4" t="s">
        <v>93</v>
      </c>
      <c r="H629" s="4" t="s">
        <v>250</v>
      </c>
      <c r="I629" s="7">
        <v>50.491999999999997</v>
      </c>
      <c r="J629" s="7">
        <v>58.911999999999999</v>
      </c>
      <c r="K629" s="7">
        <v>64.228999999999999</v>
      </c>
      <c r="L629" s="7">
        <v>63.945</v>
      </c>
      <c r="M629" s="7">
        <v>65.64</v>
      </c>
      <c r="N629" s="7">
        <v>60.146000000000001</v>
      </c>
      <c r="O629" s="7">
        <v>58.389000000000003</v>
      </c>
      <c r="P629" s="7">
        <v>50.332000000000001</v>
      </c>
      <c r="Q629" s="7">
        <v>44.281999999999996</v>
      </c>
      <c r="R629" s="7">
        <v>36.225999999999999</v>
      </c>
      <c r="S629" s="7">
        <v>35.594000000000001</v>
      </c>
      <c r="T629" s="7">
        <v>38.231999999999999</v>
      </c>
      <c r="U629" s="7">
        <v>45.637</v>
      </c>
      <c r="V629" s="7">
        <v>51.996000000000002</v>
      </c>
      <c r="W629" s="7">
        <v>62.018000000000001</v>
      </c>
      <c r="X629" s="7">
        <v>64.677999999999997</v>
      </c>
      <c r="Y629" s="7">
        <v>65.349000000000004</v>
      </c>
      <c r="Z629" s="7">
        <v>63.381999999999998</v>
      </c>
      <c r="AA629" s="7">
        <v>63.451000000000001</v>
      </c>
      <c r="AB629" s="7">
        <v>58.399000000000001</v>
      </c>
      <c r="AC629" s="7">
        <v>51.631999999999998</v>
      </c>
      <c r="AD629" s="7">
        <v>42.454999999999998</v>
      </c>
      <c r="AE629" s="7">
        <v>37.456000000000003</v>
      </c>
      <c r="AF629" s="7">
        <v>36.082999999999998</v>
      </c>
      <c r="AG629" s="7">
        <v>37.406999999999996</v>
      </c>
      <c r="AH629" s="7">
        <v>49.725999999999999</v>
      </c>
      <c r="AI629" s="7">
        <v>57.073</v>
      </c>
      <c r="AJ629" s="7">
        <v>62.692999999999998</v>
      </c>
      <c r="AK629" s="7">
        <v>65.38</v>
      </c>
      <c r="AL629" s="7">
        <v>59.496000000000002</v>
      </c>
      <c r="AM629" s="7">
        <v>58.966999999999999</v>
      </c>
      <c r="AN629" s="7">
        <v>62.521000000000001</v>
      </c>
      <c r="AO629" s="7">
        <v>47.564999999999998</v>
      </c>
      <c r="AP629" s="7">
        <v>40.122999999999998</v>
      </c>
      <c r="AQ629" s="7">
        <v>37.393000000000001</v>
      </c>
      <c r="AR629" s="7">
        <v>39.744999999999997</v>
      </c>
      <c r="AS629" s="7">
        <v>47.098999999999997</v>
      </c>
      <c r="AT629" s="5">
        <v>4502.4589999999998</v>
      </c>
    </row>
    <row r="630" spans="1:46" x14ac:dyDescent="0.25">
      <c r="A630" s="4" t="s">
        <v>206</v>
      </c>
      <c r="B630" s="4" t="s">
        <v>207</v>
      </c>
      <c r="C630" s="4" t="s">
        <v>246</v>
      </c>
      <c r="D630" s="4" t="s">
        <v>259</v>
      </c>
      <c r="E630" s="4" t="s">
        <v>261</v>
      </c>
      <c r="F630" s="4" t="s">
        <v>195</v>
      </c>
      <c r="G630" s="4" t="s">
        <v>93</v>
      </c>
      <c r="H630" s="4" t="s">
        <v>251</v>
      </c>
      <c r="I630" s="7">
        <v>11.2660061</v>
      </c>
      <c r="J630" s="7">
        <v>11.4700977</v>
      </c>
      <c r="K630" s="7">
        <v>10.7396034</v>
      </c>
      <c r="L630" s="7">
        <v>10.213346100000001</v>
      </c>
      <c r="M630" s="7">
        <v>10.6296119</v>
      </c>
      <c r="N630" s="7">
        <v>10.489724900000001</v>
      </c>
      <c r="O630" s="7">
        <v>10.1916332</v>
      </c>
      <c r="P630" s="7">
        <v>9.6619583999999996</v>
      </c>
      <c r="Q630" s="7">
        <v>9.8212949999999992</v>
      </c>
      <c r="R630" s="7">
        <v>9.2124997000000004</v>
      </c>
      <c r="S630" s="7">
        <v>9.1431652999999997</v>
      </c>
      <c r="T630" s="7">
        <v>9.1755741999999998</v>
      </c>
      <c r="U630" s="7">
        <v>9.0902209999999997</v>
      </c>
      <c r="V630" s="7">
        <v>9.4869240000000001</v>
      </c>
      <c r="W630" s="7">
        <v>10.3204341</v>
      </c>
      <c r="X630" s="7">
        <v>10.3921823</v>
      </c>
      <c r="Y630" s="7">
        <v>10.7684689</v>
      </c>
      <c r="Z630" s="7">
        <v>10.7084999</v>
      </c>
      <c r="AA630" s="7">
        <v>11.570416</v>
      </c>
      <c r="AB630" s="7">
        <v>10.067605199999999</v>
      </c>
      <c r="AC630" s="7">
        <v>9.7474887999999993</v>
      </c>
      <c r="AD630" s="7">
        <v>9.3505635999999992</v>
      </c>
      <c r="AE630" s="7">
        <v>9.1136561999999994</v>
      </c>
      <c r="AF630" s="7">
        <v>8.8273399000000001</v>
      </c>
      <c r="AG630" s="7">
        <v>8.9382473000000005</v>
      </c>
      <c r="AH630" s="7">
        <v>9.7315258999999994</v>
      </c>
      <c r="AI630" s="7">
        <v>9.9215432999999997</v>
      </c>
      <c r="AJ630" s="7">
        <v>9.8808323999999992</v>
      </c>
      <c r="AK630" s="7">
        <v>10.389938600000001</v>
      </c>
      <c r="AL630" s="7">
        <v>9.9821810000000006</v>
      </c>
      <c r="AM630" s="7">
        <v>10.4983457</v>
      </c>
      <c r="AN630" s="7">
        <v>10.5661618</v>
      </c>
      <c r="AO630" s="7">
        <v>10.144271699999999</v>
      </c>
      <c r="AP630" s="7">
        <v>9.5741250999999998</v>
      </c>
      <c r="AQ630" s="7">
        <v>10.0872367</v>
      </c>
      <c r="AR630" s="7">
        <v>10.004985100000001</v>
      </c>
      <c r="AS630" s="7">
        <v>8.9382064000000003</v>
      </c>
      <c r="AT630" s="7">
        <v>47.098999999999997</v>
      </c>
    </row>
    <row r="631" spans="1:46" x14ac:dyDescent="0.25">
      <c r="A631" s="4" t="s">
        <v>206</v>
      </c>
      <c r="B631" s="4" t="s">
        <v>207</v>
      </c>
      <c r="C631" s="4" t="s">
        <v>246</v>
      </c>
      <c r="D631" s="4" t="s">
        <v>259</v>
      </c>
      <c r="E631" s="4" t="s">
        <v>261</v>
      </c>
      <c r="F631" s="4" t="s">
        <v>195</v>
      </c>
      <c r="G631" s="4" t="s">
        <v>93</v>
      </c>
      <c r="H631" s="4" t="s">
        <v>252</v>
      </c>
      <c r="I631" s="16">
        <v>1.077</v>
      </c>
      <c r="J631" s="16">
        <v>0.86199999999999999</v>
      </c>
      <c r="K631" s="16">
        <v>0.747</v>
      </c>
      <c r="L631" s="16">
        <v>0.76</v>
      </c>
      <c r="M631" s="16">
        <v>0.77300000000000002</v>
      </c>
      <c r="N631" s="16">
        <v>0.69199999999999995</v>
      </c>
      <c r="O631" s="16">
        <v>0.70499999999999996</v>
      </c>
      <c r="P631" s="16">
        <v>0.81200000000000006</v>
      </c>
      <c r="Q631" s="16">
        <v>0.82499999999999996</v>
      </c>
      <c r="R631" s="16">
        <v>0.89700000000000002</v>
      </c>
      <c r="S631" s="16">
        <v>0.86299999999999999</v>
      </c>
      <c r="T631" s="16">
        <v>0.74299999999999999</v>
      </c>
      <c r="U631" s="16">
        <v>0.71899999999999997</v>
      </c>
      <c r="V631" s="16">
        <v>0.83</v>
      </c>
      <c r="W631" s="16">
        <v>0.84</v>
      </c>
      <c r="X631" s="16">
        <v>0.78300000000000003</v>
      </c>
      <c r="Y631" s="16">
        <v>0.80100000000000005</v>
      </c>
      <c r="Z631" s="16">
        <v>0.73299999999999998</v>
      </c>
      <c r="AA631" s="16">
        <v>0.77400000000000002</v>
      </c>
      <c r="AB631" s="16">
        <v>0.8</v>
      </c>
      <c r="AC631" s="16">
        <v>0.83099999999999996</v>
      </c>
      <c r="AD631" s="16">
        <v>0.8</v>
      </c>
      <c r="AE631" s="16">
        <v>0.71699999999999997</v>
      </c>
      <c r="AF631" s="16">
        <v>0.75800000000000001</v>
      </c>
      <c r="AG631" s="16">
        <v>0.76400000000000001</v>
      </c>
      <c r="AH631" s="16">
        <v>0.78900000000000003</v>
      </c>
      <c r="AI631" s="16">
        <v>0.77800000000000002</v>
      </c>
      <c r="AJ631" s="16">
        <v>0.74399999999999999</v>
      </c>
      <c r="AK631" s="16">
        <v>0.79300000000000004</v>
      </c>
      <c r="AL631" s="16">
        <v>0.747</v>
      </c>
      <c r="AM631" s="16">
        <v>0.83099999999999996</v>
      </c>
      <c r="AN631" s="16">
        <v>0.876</v>
      </c>
      <c r="AO631" s="16">
        <v>0.96399999999999997</v>
      </c>
      <c r="AP631" s="16">
        <v>0.995</v>
      </c>
      <c r="AQ631" s="16">
        <v>1.004</v>
      </c>
      <c r="AR631" s="16">
        <v>0.96199999999999997</v>
      </c>
      <c r="AS631" s="16">
        <v>0.88100000000000001</v>
      </c>
      <c r="AT631" s="7">
        <v>8.9382064000000003</v>
      </c>
    </row>
    <row r="632" spans="1:46" x14ac:dyDescent="0.25">
      <c r="A632" s="4" t="s">
        <v>206</v>
      </c>
      <c r="B632" s="4" t="s">
        <v>207</v>
      </c>
      <c r="C632" s="4" t="s">
        <v>246</v>
      </c>
      <c r="D632" s="4" t="s">
        <v>259</v>
      </c>
      <c r="E632" s="4" t="s">
        <v>261</v>
      </c>
      <c r="F632" s="4" t="s">
        <v>195</v>
      </c>
      <c r="G632" s="4" t="s">
        <v>262</v>
      </c>
      <c r="H632" s="4" t="s">
        <v>151</v>
      </c>
      <c r="I632" s="5">
        <v>894.39300000000003</v>
      </c>
      <c r="J632" s="5">
        <v>1533.096</v>
      </c>
      <c r="K632" s="5">
        <v>2098.326</v>
      </c>
      <c r="L632" s="5">
        <v>1501.0150000000001</v>
      </c>
      <c r="M632" s="5">
        <v>1305.2739999999999</v>
      </c>
      <c r="N632" s="5">
        <v>1148.7760000000001</v>
      </c>
      <c r="O632" s="5">
        <v>1184.425</v>
      </c>
      <c r="P632" s="5">
        <v>1040.0050000000001</v>
      </c>
      <c r="Q632" s="5">
        <v>799.14700000000005</v>
      </c>
      <c r="R632" s="5">
        <v>577.29600000000005</v>
      </c>
      <c r="S632" s="5">
        <v>366.40199999999999</v>
      </c>
      <c r="T632" s="5">
        <v>434.53</v>
      </c>
      <c r="U632" s="5">
        <v>515.38</v>
      </c>
      <c r="V632" s="5">
        <v>1017.2190000000001</v>
      </c>
      <c r="W632" s="5">
        <v>1531.6679999999999</v>
      </c>
      <c r="X632" s="5">
        <v>1492.463</v>
      </c>
      <c r="Y632" s="5">
        <v>965.58399999999995</v>
      </c>
      <c r="Z632" s="5">
        <v>857.58399999999995</v>
      </c>
      <c r="AA632" s="5">
        <v>1006.139</v>
      </c>
      <c r="AB632" s="5">
        <v>936.68200000000002</v>
      </c>
      <c r="AC632" s="5">
        <v>927.69200000000001</v>
      </c>
      <c r="AD632" s="5">
        <v>653.86599999999999</v>
      </c>
      <c r="AE632" s="5">
        <v>587.41600000000005</v>
      </c>
      <c r="AF632" s="5">
        <v>474.43700000000001</v>
      </c>
      <c r="AG632" s="5">
        <v>503.49799999999999</v>
      </c>
      <c r="AH632" s="5">
        <v>731.14200000000005</v>
      </c>
      <c r="AI632" s="5">
        <v>917.322</v>
      </c>
      <c r="AJ632" s="5">
        <v>759.70799999999997</v>
      </c>
      <c r="AK632" s="5">
        <v>295.71499999999997</v>
      </c>
      <c r="AL632" s="5">
        <v>259.33499999999998</v>
      </c>
      <c r="AM632" s="5">
        <v>185.92400000000001</v>
      </c>
      <c r="AN632" s="5">
        <v>128.946</v>
      </c>
      <c r="AO632" s="5">
        <v>106.80800000000001</v>
      </c>
      <c r="AP632" s="5">
        <v>98.043999999999997</v>
      </c>
      <c r="AQ632" s="5">
        <v>103.017</v>
      </c>
      <c r="AR632" s="5">
        <v>67.751999999999995</v>
      </c>
      <c r="AS632" s="5">
        <v>73.988</v>
      </c>
      <c r="AT632" s="5">
        <v>147.976</v>
      </c>
    </row>
    <row r="633" spans="1:46" x14ac:dyDescent="0.25">
      <c r="A633" s="4" t="s">
        <v>206</v>
      </c>
      <c r="B633" s="4" t="s">
        <v>207</v>
      </c>
      <c r="C633" s="4" t="s">
        <v>246</v>
      </c>
      <c r="D633" s="4" t="s">
        <v>259</v>
      </c>
      <c r="E633" s="4" t="s">
        <v>261</v>
      </c>
      <c r="F633" s="4" t="s">
        <v>195</v>
      </c>
      <c r="G633" s="4" t="s">
        <v>262</v>
      </c>
      <c r="H633" s="4" t="s">
        <v>205</v>
      </c>
      <c r="I633" s="6">
        <v>169355.16899999999</v>
      </c>
      <c r="J633" s="6">
        <v>280505.97100000002</v>
      </c>
      <c r="K633" s="6">
        <v>413558.04800000001</v>
      </c>
      <c r="L633" s="6">
        <v>291789.96999999997</v>
      </c>
      <c r="M633" s="6">
        <v>264100.03700000001</v>
      </c>
      <c r="N633" s="6">
        <v>223520.095</v>
      </c>
      <c r="O633" s="6">
        <v>245259.535</v>
      </c>
      <c r="P633" s="6">
        <v>217371.64300000001</v>
      </c>
      <c r="Q633" s="6">
        <v>164321.99299999999</v>
      </c>
      <c r="R633" s="6">
        <v>120936.16800000001</v>
      </c>
      <c r="S633" s="6">
        <v>76357.376999999993</v>
      </c>
      <c r="T633" s="6">
        <v>97999.07</v>
      </c>
      <c r="U633" s="6">
        <v>120173.035</v>
      </c>
      <c r="V633" s="6">
        <v>228617.36600000001</v>
      </c>
      <c r="W633" s="6">
        <v>342672.56400000001</v>
      </c>
      <c r="X633" s="6">
        <v>344200.89600000001</v>
      </c>
      <c r="Y633" s="6">
        <v>217880.07500000001</v>
      </c>
      <c r="Z633" s="6">
        <v>208526.883</v>
      </c>
      <c r="AA633" s="6">
        <v>248067.902</v>
      </c>
      <c r="AB633" s="6">
        <v>226185.21100000001</v>
      </c>
      <c r="AC633" s="6">
        <v>219317.948</v>
      </c>
      <c r="AD633" s="6">
        <v>159221.45499999999</v>
      </c>
      <c r="AE633" s="6">
        <v>138094.245</v>
      </c>
      <c r="AF633" s="6">
        <v>121296.849</v>
      </c>
      <c r="AG633" s="6">
        <v>128821.21400000001</v>
      </c>
      <c r="AH633" s="6">
        <v>188955.72</v>
      </c>
      <c r="AI633" s="6">
        <v>235907.54800000001</v>
      </c>
      <c r="AJ633" s="6">
        <v>188262.05799999999</v>
      </c>
      <c r="AK633" s="6">
        <v>71542.751999999993</v>
      </c>
      <c r="AL633" s="6">
        <v>62405.038</v>
      </c>
      <c r="AM633" s="6">
        <v>39899.24</v>
      </c>
      <c r="AN633" s="6">
        <v>28730.65</v>
      </c>
      <c r="AO633" s="6">
        <v>24041.255000000001</v>
      </c>
      <c r="AP633" s="6">
        <v>20423.823</v>
      </c>
      <c r="AQ633" s="6">
        <v>19596.482</v>
      </c>
      <c r="AR633" s="6">
        <v>11132.715</v>
      </c>
      <c r="AS633" s="6">
        <v>11696.79</v>
      </c>
      <c r="AT633" s="6">
        <v>11696.79</v>
      </c>
    </row>
    <row r="634" spans="1:46" x14ac:dyDescent="0.25">
      <c r="A634" s="4" t="s">
        <v>206</v>
      </c>
      <c r="B634" s="4" t="s">
        <v>207</v>
      </c>
      <c r="C634" s="4" t="s">
        <v>246</v>
      </c>
      <c r="D634" s="4" t="s">
        <v>259</v>
      </c>
      <c r="E634" s="4" t="s">
        <v>261</v>
      </c>
      <c r="F634" s="4" t="s">
        <v>195</v>
      </c>
      <c r="G634" s="4" t="s">
        <v>262</v>
      </c>
      <c r="H634" s="4" t="s">
        <v>249</v>
      </c>
      <c r="I634" s="7">
        <v>3.0000000000000001E-3</v>
      </c>
      <c r="J634" s="7">
        <v>3.0000000000000001E-3</v>
      </c>
      <c r="K634" s="7">
        <v>3.0000000000000001E-3</v>
      </c>
      <c r="L634" s="7">
        <v>2E-3</v>
      </c>
      <c r="M634" s="7">
        <v>1E-3</v>
      </c>
      <c r="N634" s="7">
        <v>1E-3</v>
      </c>
      <c r="O634" s="7">
        <v>1E-3</v>
      </c>
      <c r="P634" s="7">
        <v>1E-3</v>
      </c>
      <c r="Q634" s="7">
        <v>2E-3</v>
      </c>
      <c r="R634" s="7">
        <v>2E-3</v>
      </c>
      <c r="S634" s="7">
        <v>1E-3</v>
      </c>
      <c r="T634" s="7">
        <v>2E-3</v>
      </c>
      <c r="U634" s="7">
        <v>2E-3</v>
      </c>
      <c r="V634" s="7">
        <v>3.0000000000000001E-3</v>
      </c>
      <c r="W634" s="7">
        <v>3.0000000000000001E-3</v>
      </c>
      <c r="X634" s="7">
        <v>2E-3</v>
      </c>
      <c r="Y634" s="7">
        <v>1E-3</v>
      </c>
      <c r="Z634" s="7">
        <v>1E-3</v>
      </c>
      <c r="AA634" s="7">
        <v>1E-3</v>
      </c>
      <c r="AB634" s="7">
        <v>1E-3</v>
      </c>
      <c r="AC634" s="7">
        <v>2E-3</v>
      </c>
      <c r="AD634" s="7">
        <v>2E-3</v>
      </c>
      <c r="AE634" s="7">
        <v>2E-3</v>
      </c>
      <c r="AF634" s="7">
        <v>2E-3</v>
      </c>
      <c r="AG634" s="7">
        <v>2E-3</v>
      </c>
      <c r="AH634" s="7">
        <v>2E-3</v>
      </c>
      <c r="AI634" s="7">
        <v>2E-3</v>
      </c>
      <c r="AJ634" s="7">
        <v>1E-3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1.7000000000000001E-2</v>
      </c>
    </row>
    <row r="635" spans="1:46" x14ac:dyDescent="0.25">
      <c r="A635" s="4" t="s">
        <v>206</v>
      </c>
      <c r="B635" s="4" t="s">
        <v>207</v>
      </c>
      <c r="C635" s="4" t="s">
        <v>246</v>
      </c>
      <c r="D635" s="4" t="s">
        <v>259</v>
      </c>
      <c r="E635" s="4" t="s">
        <v>261</v>
      </c>
      <c r="F635" s="4" t="s">
        <v>195</v>
      </c>
      <c r="G635" s="4" t="s">
        <v>262</v>
      </c>
      <c r="H635" s="4" t="s">
        <v>250</v>
      </c>
      <c r="I635" s="7">
        <v>16.158000000000001</v>
      </c>
      <c r="J635" s="7">
        <v>23.227</v>
      </c>
      <c r="K635" s="7">
        <v>26.756</v>
      </c>
      <c r="L635" s="7">
        <v>23.138000000000002</v>
      </c>
      <c r="M635" s="7">
        <v>27.719000000000001</v>
      </c>
      <c r="N635" s="7">
        <v>22.422999999999998</v>
      </c>
      <c r="O635" s="7">
        <v>20.495000000000001</v>
      </c>
      <c r="P635" s="7">
        <v>18.117999999999999</v>
      </c>
      <c r="Q635" s="7">
        <v>13.829000000000001</v>
      </c>
      <c r="R635" s="7">
        <v>7.9660000000000002</v>
      </c>
      <c r="S635" s="7">
        <v>10.198</v>
      </c>
      <c r="T635" s="7">
        <v>12.154999999999999</v>
      </c>
      <c r="U635" s="7">
        <v>14.595000000000001</v>
      </c>
      <c r="V635" s="7">
        <v>20.018000000000001</v>
      </c>
      <c r="W635" s="7">
        <v>26.172999999999998</v>
      </c>
      <c r="X635" s="7">
        <v>27.14</v>
      </c>
      <c r="Y635" s="7">
        <v>25.077999999999999</v>
      </c>
      <c r="Z635" s="7">
        <v>22.574000000000002</v>
      </c>
      <c r="AA635" s="7">
        <v>21.638999999999999</v>
      </c>
      <c r="AB635" s="7">
        <v>20.079000000000001</v>
      </c>
      <c r="AC635" s="7">
        <v>18.556000000000001</v>
      </c>
      <c r="AD635" s="7">
        <v>13.536</v>
      </c>
      <c r="AE635" s="7">
        <v>9.5909999999999993</v>
      </c>
      <c r="AF635" s="7">
        <v>9.7729999999999997</v>
      </c>
      <c r="AG635" s="7">
        <v>12.603</v>
      </c>
      <c r="AH635" s="7">
        <v>17.846</v>
      </c>
      <c r="AI635" s="7">
        <v>18.577000000000002</v>
      </c>
      <c r="AJ635" s="7">
        <v>19.096</v>
      </c>
      <c r="AK635" s="7">
        <v>15.144</v>
      </c>
      <c r="AL635" s="7">
        <v>10.218999999999999</v>
      </c>
      <c r="AM635" s="7">
        <v>6.6520000000000001</v>
      </c>
      <c r="AN635" s="7">
        <v>7.1050000000000004</v>
      </c>
      <c r="AO635" s="7">
        <v>3.3359999999999999</v>
      </c>
      <c r="AP635" s="7">
        <v>1.367</v>
      </c>
      <c r="AQ635" s="7">
        <v>0.97899999999999998</v>
      </c>
      <c r="AR635" s="7">
        <v>0.83</v>
      </c>
      <c r="AS635" s="7">
        <v>0.88600000000000001</v>
      </c>
      <c r="AT635" s="5">
        <v>152.53</v>
      </c>
    </row>
    <row r="636" spans="1:46" x14ac:dyDescent="0.25">
      <c r="A636" s="4" t="s">
        <v>206</v>
      </c>
      <c r="B636" s="4" t="s">
        <v>207</v>
      </c>
      <c r="C636" s="4" t="s">
        <v>246</v>
      </c>
      <c r="D636" s="4" t="s">
        <v>259</v>
      </c>
      <c r="E636" s="4" t="s">
        <v>261</v>
      </c>
      <c r="F636" s="4" t="s">
        <v>195</v>
      </c>
      <c r="G636" s="4" t="s">
        <v>262</v>
      </c>
      <c r="H636" s="4" t="s">
        <v>251</v>
      </c>
      <c r="I636" s="7">
        <v>1.0694402000000001</v>
      </c>
      <c r="J636" s="7">
        <v>1.4523585999999999</v>
      </c>
      <c r="K636" s="7">
        <v>1.4945463000000001</v>
      </c>
      <c r="L636" s="7">
        <v>1.2130535</v>
      </c>
      <c r="M636" s="7">
        <v>1.2170418999999999</v>
      </c>
      <c r="N636" s="7">
        <v>1.1573606000000001</v>
      </c>
      <c r="O636" s="7">
        <v>1.2101938000000001</v>
      </c>
      <c r="P636" s="7">
        <v>1.1300741000000001</v>
      </c>
      <c r="Q636" s="7">
        <v>1.2007896</v>
      </c>
      <c r="R636" s="7">
        <v>1.1353610999999999</v>
      </c>
      <c r="S636" s="7">
        <v>1.2766554999999999</v>
      </c>
      <c r="T636" s="7">
        <v>1.2518895999999999</v>
      </c>
      <c r="U636" s="7">
        <v>1.2697141000000001</v>
      </c>
      <c r="V636" s="7">
        <v>1.4044844000000001</v>
      </c>
      <c r="W636" s="7">
        <v>1.7950668999999999</v>
      </c>
      <c r="X636" s="7">
        <v>1.5911552</v>
      </c>
      <c r="Y636" s="7">
        <v>1.5249257000000001</v>
      </c>
      <c r="Z636" s="7">
        <v>1.3483371</v>
      </c>
      <c r="AA636" s="7">
        <v>1.2373771</v>
      </c>
      <c r="AB636" s="7">
        <v>1.3358582999999999</v>
      </c>
      <c r="AC636" s="7">
        <v>1.5752257000000001</v>
      </c>
      <c r="AD636" s="7">
        <v>1.0641524</v>
      </c>
      <c r="AE636" s="7">
        <v>0.95171819999999996</v>
      </c>
      <c r="AF636" s="7">
        <v>0.79939260000000001</v>
      </c>
      <c r="AG636" s="7">
        <v>0.97984530000000003</v>
      </c>
      <c r="AH636" s="7">
        <v>1.1739763000000001</v>
      </c>
      <c r="AI636" s="7">
        <v>1.080014</v>
      </c>
      <c r="AJ636" s="7">
        <v>1.1285856000000001</v>
      </c>
      <c r="AK636" s="7">
        <v>0.84986039999999996</v>
      </c>
      <c r="AL636" s="7">
        <v>0.80493619999999999</v>
      </c>
      <c r="AM636" s="7">
        <v>0.7550616</v>
      </c>
      <c r="AN636" s="7">
        <v>0.62242180000000003</v>
      </c>
      <c r="AO636" s="7">
        <v>0.54257849999999996</v>
      </c>
      <c r="AP636" s="7">
        <v>0.4281488</v>
      </c>
      <c r="AQ636" s="7">
        <v>0.41736790000000001</v>
      </c>
      <c r="AR636" s="7">
        <v>0.43660019999999999</v>
      </c>
      <c r="AS636" s="7">
        <v>0.41806290000000002</v>
      </c>
      <c r="AT636" s="7">
        <v>0.88600000000000001</v>
      </c>
    </row>
    <row r="637" spans="1:46" x14ac:dyDescent="0.25">
      <c r="A637" s="4" t="s">
        <v>206</v>
      </c>
      <c r="B637" s="4" t="s">
        <v>207</v>
      </c>
      <c r="C637" s="4" t="s">
        <v>246</v>
      </c>
      <c r="D637" s="4" t="s">
        <v>259</v>
      </c>
      <c r="E637" s="4" t="s">
        <v>261</v>
      </c>
      <c r="F637" s="4" t="s">
        <v>195</v>
      </c>
      <c r="G637" s="4" t="s">
        <v>262</v>
      </c>
      <c r="H637" s="4" t="s">
        <v>252</v>
      </c>
      <c r="I637" s="16">
        <v>8.7999999999999995E-2</v>
      </c>
      <c r="J637" s="16">
        <v>4.9000000000000002E-2</v>
      </c>
      <c r="K637" s="16">
        <v>6.2E-2</v>
      </c>
      <c r="L637" s="16">
        <v>6.9000000000000006E-2</v>
      </c>
      <c r="M637" s="16">
        <v>7.0000000000000007E-2</v>
      </c>
      <c r="N637" s="16">
        <v>4.8000000000000001E-2</v>
      </c>
      <c r="O637" s="16">
        <v>5.5E-2</v>
      </c>
      <c r="P637" s="16">
        <v>4.3999999999999997E-2</v>
      </c>
      <c r="Q637" s="16">
        <v>5.0999999999999997E-2</v>
      </c>
      <c r="R637" s="16">
        <v>4.8000000000000001E-2</v>
      </c>
      <c r="S637" s="16">
        <v>7.3999999999999996E-2</v>
      </c>
      <c r="T637" s="16">
        <v>7.5999999999999998E-2</v>
      </c>
      <c r="U637" s="16">
        <v>7.9000000000000001E-2</v>
      </c>
      <c r="V637" s="16">
        <v>7.6999999999999999E-2</v>
      </c>
      <c r="W637" s="16">
        <v>6.3E-2</v>
      </c>
      <c r="X637" s="16">
        <v>6.8000000000000005E-2</v>
      </c>
      <c r="Y637" s="16">
        <v>5.0999999999999997E-2</v>
      </c>
      <c r="Z637" s="16">
        <v>4.9000000000000002E-2</v>
      </c>
      <c r="AA637" s="16">
        <v>3.5999999999999997E-2</v>
      </c>
      <c r="AB637" s="16">
        <v>0.05</v>
      </c>
      <c r="AC637" s="16">
        <v>4.9000000000000002E-2</v>
      </c>
      <c r="AD637" s="16">
        <v>4.3999999999999997E-2</v>
      </c>
      <c r="AE637" s="16">
        <v>3.2000000000000001E-2</v>
      </c>
      <c r="AF637" s="16">
        <v>4.2000000000000003E-2</v>
      </c>
      <c r="AG637" s="16">
        <v>4.5999999999999999E-2</v>
      </c>
      <c r="AH637" s="16">
        <v>3.2000000000000001E-2</v>
      </c>
      <c r="AI637" s="16">
        <v>2.4E-2</v>
      </c>
      <c r="AJ637" s="16">
        <v>1.9E-2</v>
      </c>
      <c r="AK637" s="16">
        <v>0.02</v>
      </c>
      <c r="AL637" s="16">
        <v>3.1E-2</v>
      </c>
      <c r="AM637" s="16">
        <v>2.7E-2</v>
      </c>
      <c r="AN637" s="16">
        <v>3.3000000000000002E-2</v>
      </c>
      <c r="AO637" s="16">
        <v>4.1000000000000002E-2</v>
      </c>
      <c r="AP637" s="16">
        <v>3.6999999999999998E-2</v>
      </c>
      <c r="AQ637" s="16">
        <v>2.5000000000000001E-2</v>
      </c>
      <c r="AR637" s="16">
        <v>1.4999999999999999E-2</v>
      </c>
      <c r="AS637" s="16">
        <v>1.4999999999999999E-2</v>
      </c>
      <c r="AT637" s="7">
        <v>0.41806290000000002</v>
      </c>
    </row>
    <row r="638" spans="1:46" x14ac:dyDescent="0.25">
      <c r="A638" s="4" t="s">
        <v>206</v>
      </c>
      <c r="B638" s="4" t="s">
        <v>207</v>
      </c>
      <c r="C638" s="4" t="s">
        <v>246</v>
      </c>
      <c r="D638" s="4" t="s">
        <v>263</v>
      </c>
      <c r="E638" s="4" t="s">
        <v>248</v>
      </c>
      <c r="F638" s="4" t="s">
        <v>201</v>
      </c>
      <c r="G638" s="4" t="s">
        <v>71</v>
      </c>
      <c r="H638" s="4" t="s">
        <v>151</v>
      </c>
      <c r="I638" s="5">
        <v>0</v>
      </c>
      <c r="J638" s="5">
        <v>0</v>
      </c>
      <c r="K638" s="5">
        <v>243.53800000000001</v>
      </c>
      <c r="L638" s="5">
        <v>400.73</v>
      </c>
      <c r="M638" s="5">
        <v>254.095</v>
      </c>
      <c r="N638" s="5">
        <v>413.17500000000001</v>
      </c>
      <c r="O638" s="5">
        <v>105.664</v>
      </c>
      <c r="P638" s="8">
        <v>0</v>
      </c>
      <c r="Q638" s="8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64.483000000000004</v>
      </c>
      <c r="Z638" s="8">
        <v>0</v>
      </c>
      <c r="AA638" s="8">
        <v>0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</v>
      </c>
      <c r="AL638" s="9">
        <v>0</v>
      </c>
      <c r="AM638" s="5">
        <v>45.411000000000001</v>
      </c>
      <c r="AN638" s="5">
        <v>27.276</v>
      </c>
      <c r="AO638" s="5">
        <v>24.777000000000001</v>
      </c>
      <c r="AP638" s="8">
        <v>0</v>
      </c>
      <c r="AQ638" s="9">
        <v>0</v>
      </c>
      <c r="AR638" s="9">
        <v>0</v>
      </c>
      <c r="AS638" s="9">
        <v>0</v>
      </c>
      <c r="AT638" s="9">
        <v>0</v>
      </c>
    </row>
    <row r="639" spans="1:46" x14ac:dyDescent="0.25">
      <c r="A639" s="4" t="s">
        <v>206</v>
      </c>
      <c r="B639" s="4" t="s">
        <v>207</v>
      </c>
      <c r="C639" s="4" t="s">
        <v>246</v>
      </c>
      <c r="D639" s="4" t="s">
        <v>263</v>
      </c>
      <c r="E639" s="4" t="s">
        <v>248</v>
      </c>
      <c r="F639" s="4" t="s">
        <v>201</v>
      </c>
      <c r="G639" s="4" t="s">
        <v>71</v>
      </c>
      <c r="H639" s="4" t="s">
        <v>205</v>
      </c>
      <c r="I639" s="6">
        <v>0</v>
      </c>
      <c r="J639" s="6">
        <v>0</v>
      </c>
      <c r="K639" s="6">
        <v>25220.911</v>
      </c>
      <c r="L639" s="6">
        <v>20175.848000000002</v>
      </c>
      <c r="M639" s="6">
        <v>23633.578000000001</v>
      </c>
      <c r="N639" s="6">
        <v>72961.028000000006</v>
      </c>
      <c r="O639" s="6">
        <v>29585.806</v>
      </c>
      <c r="P639" s="10">
        <v>0</v>
      </c>
      <c r="Q639" s="10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11607.012000000001</v>
      </c>
      <c r="Z639" s="10">
        <v>0</v>
      </c>
      <c r="AA639" s="10">
        <v>0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0</v>
      </c>
      <c r="AH639" s="9">
        <v>0</v>
      </c>
      <c r="AI639" s="9">
        <v>0</v>
      </c>
      <c r="AJ639" s="9">
        <v>0</v>
      </c>
      <c r="AK639" s="9">
        <v>0</v>
      </c>
      <c r="AL639" s="9">
        <v>0</v>
      </c>
      <c r="AM639" s="6">
        <v>8900.5110000000004</v>
      </c>
      <c r="AN639" s="6">
        <v>5346.0429999999997</v>
      </c>
      <c r="AO639" s="6">
        <v>4856.3459999999995</v>
      </c>
      <c r="AP639" s="10">
        <v>0</v>
      </c>
      <c r="AQ639" s="9">
        <v>0</v>
      </c>
      <c r="AR639" s="9">
        <v>0</v>
      </c>
      <c r="AS639" s="9">
        <v>0</v>
      </c>
      <c r="AT639" s="9">
        <v>0</v>
      </c>
    </row>
    <row r="640" spans="1:46" x14ac:dyDescent="0.25">
      <c r="A640" s="4" t="s">
        <v>206</v>
      </c>
      <c r="B640" s="4" t="s">
        <v>207</v>
      </c>
      <c r="C640" s="4" t="s">
        <v>246</v>
      </c>
      <c r="D640" s="4" t="s">
        <v>263</v>
      </c>
      <c r="E640" s="4" t="s">
        <v>248</v>
      </c>
      <c r="F640" s="4" t="s">
        <v>201</v>
      </c>
      <c r="G640" s="4" t="s">
        <v>71</v>
      </c>
      <c r="H640" s="4" t="s">
        <v>249</v>
      </c>
      <c r="I640" s="7">
        <v>0</v>
      </c>
      <c r="J640" s="7">
        <v>0</v>
      </c>
      <c r="K640" s="7">
        <v>2E-3</v>
      </c>
      <c r="L640" s="7">
        <v>1E-3</v>
      </c>
      <c r="M640" s="7">
        <v>1E-3</v>
      </c>
      <c r="N640" s="7">
        <v>3.0000000000000001E-3</v>
      </c>
      <c r="O640" s="7">
        <v>1E-3</v>
      </c>
      <c r="P640" s="11">
        <v>0</v>
      </c>
      <c r="Q640" s="11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11">
        <v>0</v>
      </c>
      <c r="AA640" s="11">
        <v>0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7">
        <v>0</v>
      </c>
      <c r="AN640" s="7">
        <v>0</v>
      </c>
      <c r="AO640" s="7">
        <v>0</v>
      </c>
      <c r="AP640" s="11">
        <v>0</v>
      </c>
      <c r="AQ640" s="9">
        <v>0</v>
      </c>
      <c r="AR640" s="9">
        <v>0</v>
      </c>
      <c r="AS640" s="9">
        <v>0</v>
      </c>
      <c r="AT640" s="9">
        <v>0</v>
      </c>
    </row>
    <row r="641" spans="1:46" x14ac:dyDescent="0.25">
      <c r="A641" s="4" t="s">
        <v>206</v>
      </c>
      <c r="B641" s="4" t="s">
        <v>207</v>
      </c>
      <c r="C641" s="4" t="s">
        <v>246</v>
      </c>
      <c r="D641" s="4" t="s">
        <v>263</v>
      </c>
      <c r="E641" s="4" t="s">
        <v>248</v>
      </c>
      <c r="F641" s="4" t="s">
        <v>201</v>
      </c>
      <c r="G641" s="4" t="s">
        <v>71</v>
      </c>
      <c r="H641" s="4" t="s">
        <v>250</v>
      </c>
      <c r="I641" s="7">
        <v>0</v>
      </c>
      <c r="J641" s="7">
        <v>0.22700000000000001</v>
      </c>
      <c r="K641" s="7">
        <v>0.36299999999999999</v>
      </c>
      <c r="L641" s="7">
        <v>0.34599999999999997</v>
      </c>
      <c r="M641" s="7">
        <v>0.36899999999999999</v>
      </c>
      <c r="N641" s="7">
        <v>0.51400000000000001</v>
      </c>
      <c r="O641" s="7">
        <v>0.19</v>
      </c>
      <c r="P641" s="11">
        <v>0</v>
      </c>
      <c r="Q641" s="11">
        <v>0</v>
      </c>
      <c r="R641" s="7">
        <v>1.9E-2</v>
      </c>
      <c r="S641" s="7">
        <v>4.0000000000000001E-3</v>
      </c>
      <c r="T641" s="7">
        <v>2.8000000000000001E-2</v>
      </c>
      <c r="U641" s="7">
        <v>5.1999999999999998E-2</v>
      </c>
      <c r="V641" s="7">
        <v>2.4E-2</v>
      </c>
      <c r="W641" s="7">
        <v>2.7E-2</v>
      </c>
      <c r="X641" s="7">
        <v>1.7999999999999999E-2</v>
      </c>
      <c r="Y641" s="7">
        <v>2.1000000000000001E-2</v>
      </c>
      <c r="Z641" s="11">
        <v>0</v>
      </c>
      <c r="AA641" s="11">
        <v>0</v>
      </c>
      <c r="AB641" s="9">
        <v>0</v>
      </c>
      <c r="AC641" s="9">
        <v>0</v>
      </c>
      <c r="AD641" s="9">
        <v>0</v>
      </c>
      <c r="AE641" s="9">
        <v>0</v>
      </c>
      <c r="AF641" s="9">
        <v>0</v>
      </c>
      <c r="AG641" s="9">
        <v>0</v>
      </c>
      <c r="AH641" s="9">
        <v>0</v>
      </c>
      <c r="AI641" s="9">
        <v>0</v>
      </c>
      <c r="AJ641" s="9">
        <v>0</v>
      </c>
      <c r="AK641" s="9">
        <v>0</v>
      </c>
      <c r="AL641" s="9">
        <v>0</v>
      </c>
      <c r="AM641" s="7">
        <v>1.4999999999999999E-2</v>
      </c>
      <c r="AN641" s="7">
        <v>5.0000000000000001E-3</v>
      </c>
      <c r="AO641" s="7">
        <v>8.9999999999999993E-3</v>
      </c>
      <c r="AP641" s="11">
        <v>0</v>
      </c>
      <c r="AQ641" s="9">
        <v>0</v>
      </c>
      <c r="AR641" s="9">
        <v>0</v>
      </c>
      <c r="AS641" s="9">
        <v>0</v>
      </c>
      <c r="AT641" s="9">
        <v>0</v>
      </c>
    </row>
    <row r="642" spans="1:46" x14ac:dyDescent="0.25">
      <c r="A642" s="4" t="s">
        <v>206</v>
      </c>
      <c r="B642" s="4" t="s">
        <v>207</v>
      </c>
      <c r="C642" s="4" t="s">
        <v>246</v>
      </c>
      <c r="D642" s="4" t="s">
        <v>263</v>
      </c>
      <c r="E642" s="4" t="s">
        <v>248</v>
      </c>
      <c r="F642" s="4" t="s">
        <v>201</v>
      </c>
      <c r="G642" s="4" t="s">
        <v>71</v>
      </c>
      <c r="H642" s="4" t="s">
        <v>251</v>
      </c>
      <c r="I642" s="7">
        <v>0.4363225</v>
      </c>
      <c r="J642" s="7">
        <v>0.58746889999999996</v>
      </c>
      <c r="K642" s="7">
        <v>0.56182940000000003</v>
      </c>
      <c r="L642" s="7">
        <v>0.5605019</v>
      </c>
      <c r="M642" s="7">
        <v>0.61626979999999998</v>
      </c>
      <c r="N642" s="7">
        <v>0.25484259999999997</v>
      </c>
      <c r="O642" s="7">
        <v>0.17667540000000001</v>
      </c>
      <c r="P642" s="7">
        <v>0</v>
      </c>
      <c r="Q642" s="7">
        <v>0</v>
      </c>
      <c r="R642" s="7">
        <v>0.27919149999999998</v>
      </c>
      <c r="S642" s="7">
        <v>0.2791575</v>
      </c>
      <c r="T642" s="7">
        <v>0.27909889999999998</v>
      </c>
      <c r="U642" s="7">
        <v>0.27909</v>
      </c>
      <c r="V642" s="7">
        <v>0.26636320000000002</v>
      </c>
      <c r="W642" s="7">
        <v>0.27901280000000001</v>
      </c>
      <c r="X642" s="7">
        <v>0.27775080000000002</v>
      </c>
      <c r="Y642" s="7">
        <v>0.29134989999999999</v>
      </c>
      <c r="Z642" s="7">
        <v>0</v>
      </c>
      <c r="AA642" s="7">
        <v>0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0</v>
      </c>
      <c r="AL642" s="9">
        <v>0</v>
      </c>
      <c r="AM642" s="7">
        <v>0.1163624</v>
      </c>
      <c r="AN642" s="7">
        <v>0.1163708</v>
      </c>
      <c r="AO642" s="7">
        <v>0.1163739</v>
      </c>
      <c r="AP642" s="7">
        <v>0</v>
      </c>
      <c r="AQ642" s="9">
        <v>0</v>
      </c>
      <c r="AR642" s="9">
        <v>0</v>
      </c>
      <c r="AS642" s="9">
        <v>0</v>
      </c>
      <c r="AT642" s="9">
        <v>0</v>
      </c>
    </row>
    <row r="643" spans="1:46" x14ac:dyDescent="0.25">
      <c r="A643" s="4" t="s">
        <v>206</v>
      </c>
      <c r="B643" s="4" t="s">
        <v>207</v>
      </c>
      <c r="C643" s="4" t="s">
        <v>246</v>
      </c>
      <c r="D643" s="4" t="s">
        <v>263</v>
      </c>
      <c r="E643" s="4" t="s">
        <v>248</v>
      </c>
      <c r="F643" s="4" t="s">
        <v>201</v>
      </c>
      <c r="G643" s="4" t="s">
        <v>71</v>
      </c>
      <c r="H643" s="4" t="s">
        <v>252</v>
      </c>
      <c r="I643" s="16">
        <v>0.108</v>
      </c>
      <c r="J643" s="16">
        <v>0.17199999999999999</v>
      </c>
      <c r="K643" s="16">
        <v>8.5999999999999993E-2</v>
      </c>
      <c r="L643" s="16">
        <v>1.6E-2</v>
      </c>
      <c r="M643" s="16">
        <v>5.5E-2</v>
      </c>
      <c r="N643" s="16">
        <v>1.6E-2</v>
      </c>
      <c r="O643" s="17">
        <v>0</v>
      </c>
      <c r="P643" s="17">
        <v>0</v>
      </c>
      <c r="Q643" s="17">
        <v>0</v>
      </c>
      <c r="R643" s="16">
        <v>1.4999999999999999E-2</v>
      </c>
      <c r="S643" s="16">
        <v>1.6E-2</v>
      </c>
      <c r="T643" s="16">
        <v>1.4999999999999999E-2</v>
      </c>
      <c r="U643" s="16">
        <v>1.4999999999999999E-2</v>
      </c>
      <c r="V643" s="16">
        <v>1.2E-2</v>
      </c>
      <c r="W643" s="16">
        <v>1.0999999999999999E-2</v>
      </c>
      <c r="X643" s="16">
        <v>1.0999999999999999E-2</v>
      </c>
      <c r="Y643" s="17">
        <v>0</v>
      </c>
      <c r="Z643" s="17">
        <v>0</v>
      </c>
      <c r="AA643" s="17">
        <v>0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0</v>
      </c>
      <c r="AH643" s="9">
        <v>0</v>
      </c>
      <c r="AI643" s="9">
        <v>0</v>
      </c>
      <c r="AJ643" s="9">
        <v>0</v>
      </c>
      <c r="AK643" s="9">
        <v>0</v>
      </c>
      <c r="AL643" s="9">
        <v>0</v>
      </c>
      <c r="AM643" s="16">
        <v>5.0000000000000001E-3</v>
      </c>
      <c r="AN643" s="17">
        <v>0</v>
      </c>
      <c r="AO643" s="17">
        <v>0</v>
      </c>
      <c r="AP643" s="17">
        <v>0</v>
      </c>
      <c r="AQ643" s="9">
        <v>0</v>
      </c>
      <c r="AR643" s="9">
        <v>0</v>
      </c>
      <c r="AS643" s="9">
        <v>0</v>
      </c>
      <c r="AT643" s="9">
        <v>0</v>
      </c>
    </row>
    <row r="644" spans="1:46" x14ac:dyDescent="0.25">
      <c r="A644" s="4" t="s">
        <v>206</v>
      </c>
      <c r="B644" s="4" t="s">
        <v>207</v>
      </c>
      <c r="C644" s="4" t="s">
        <v>246</v>
      </c>
      <c r="D644" s="4" t="s">
        <v>263</v>
      </c>
      <c r="E644" s="4" t="s">
        <v>248</v>
      </c>
      <c r="F644" s="4" t="s">
        <v>201</v>
      </c>
      <c r="G644" s="4" t="s">
        <v>76</v>
      </c>
      <c r="H644" s="4" t="s">
        <v>151</v>
      </c>
      <c r="I644" s="5">
        <v>343.58600000000001</v>
      </c>
      <c r="J644" s="5">
        <v>1073.886</v>
      </c>
      <c r="K644" s="5">
        <v>2041.0609999999999</v>
      </c>
      <c r="L644" s="5">
        <v>2545.549</v>
      </c>
      <c r="M644" s="5">
        <v>3636.7620000000002</v>
      </c>
      <c r="N644" s="5">
        <v>2267.0390000000002</v>
      </c>
      <c r="O644" s="5">
        <v>2027.252</v>
      </c>
      <c r="P644" s="5">
        <v>1277.001</v>
      </c>
      <c r="Q644" s="5">
        <v>685.15700000000004</v>
      </c>
      <c r="R644" s="5">
        <v>480.85599999999999</v>
      </c>
      <c r="S644" s="5">
        <v>262.536</v>
      </c>
      <c r="T644" s="5">
        <v>226.13300000000001</v>
      </c>
      <c r="U644" s="5">
        <v>439.64100000000002</v>
      </c>
      <c r="V644" s="5">
        <v>886.505</v>
      </c>
      <c r="W644" s="5">
        <v>2011.2270000000001</v>
      </c>
      <c r="X644" s="5">
        <v>3119.5790000000002</v>
      </c>
      <c r="Y644" s="5">
        <v>3744.0729999999999</v>
      </c>
      <c r="Z644" s="5">
        <v>3148.5390000000002</v>
      </c>
      <c r="AA644" s="5">
        <v>2723.2150000000001</v>
      </c>
      <c r="AB644" s="5">
        <v>1619.645</v>
      </c>
      <c r="AC644" s="5">
        <v>1148.2619999999999</v>
      </c>
      <c r="AD644" s="5">
        <v>905.09</v>
      </c>
      <c r="AE644" s="5">
        <v>674.55</v>
      </c>
      <c r="AF644" s="5">
        <v>447.27699999999999</v>
      </c>
      <c r="AG644" s="5">
        <v>698.07299999999998</v>
      </c>
      <c r="AH644" s="5">
        <v>1462.47</v>
      </c>
      <c r="AI644" s="5">
        <v>2488.0189999999998</v>
      </c>
      <c r="AJ644" s="5">
        <v>4102.8739999999998</v>
      </c>
      <c r="AK644" s="5">
        <v>5535.192</v>
      </c>
      <c r="AL644" s="5">
        <v>4101.1260000000002</v>
      </c>
      <c r="AM644" s="5">
        <v>4931.1279999999997</v>
      </c>
      <c r="AN644" s="5">
        <v>4995.3860000000004</v>
      </c>
      <c r="AO644" s="5">
        <v>2427.558</v>
      </c>
      <c r="AP644" s="5">
        <v>1515.242</v>
      </c>
      <c r="AQ644" s="5">
        <v>1367.327</v>
      </c>
      <c r="AR644" s="5">
        <v>643.86</v>
      </c>
      <c r="AS644" s="5">
        <v>558.80200000000002</v>
      </c>
      <c r="AT644" s="5">
        <v>558.80200000000002</v>
      </c>
    </row>
    <row r="645" spans="1:46" x14ac:dyDescent="0.25">
      <c r="A645" s="4" t="s">
        <v>206</v>
      </c>
      <c r="B645" s="4" t="s">
        <v>207</v>
      </c>
      <c r="C645" s="4" t="s">
        <v>246</v>
      </c>
      <c r="D645" s="4" t="s">
        <v>263</v>
      </c>
      <c r="E645" s="4" t="s">
        <v>248</v>
      </c>
      <c r="F645" s="4" t="s">
        <v>201</v>
      </c>
      <c r="G645" s="4" t="s">
        <v>76</v>
      </c>
      <c r="H645" s="4" t="s">
        <v>205</v>
      </c>
      <c r="I645" s="6">
        <v>88653.131999999998</v>
      </c>
      <c r="J645" s="6">
        <v>264465.77299999999</v>
      </c>
      <c r="K645" s="6">
        <v>549799.06599999999</v>
      </c>
      <c r="L645" s="6">
        <v>718782.554</v>
      </c>
      <c r="M645" s="6">
        <v>1004545.382</v>
      </c>
      <c r="N645" s="6">
        <v>568346.24800000002</v>
      </c>
      <c r="O645" s="6">
        <v>504321.86300000001</v>
      </c>
      <c r="P645" s="6">
        <v>299564.79700000002</v>
      </c>
      <c r="Q645" s="6">
        <v>164609.533</v>
      </c>
      <c r="R645" s="6">
        <v>118860.32399999999</v>
      </c>
      <c r="S645" s="6">
        <v>62807.608</v>
      </c>
      <c r="T645" s="6">
        <v>58382.175999999999</v>
      </c>
      <c r="U645" s="6">
        <v>116284.329</v>
      </c>
      <c r="V645" s="6">
        <v>223182.185</v>
      </c>
      <c r="W645" s="6">
        <v>521455.38799999998</v>
      </c>
      <c r="X645" s="6">
        <v>813751.33200000005</v>
      </c>
      <c r="Y645" s="6">
        <v>1020633.711</v>
      </c>
      <c r="Z645" s="6">
        <v>878585.17</v>
      </c>
      <c r="AA645" s="6">
        <v>750788.47100000002</v>
      </c>
      <c r="AB645" s="6">
        <v>443886.67800000001</v>
      </c>
      <c r="AC645" s="6">
        <v>314297.39500000002</v>
      </c>
      <c r="AD645" s="6">
        <v>246360.87899999999</v>
      </c>
      <c r="AE645" s="6">
        <v>177782.58499999999</v>
      </c>
      <c r="AF645" s="6">
        <v>142534.03099999999</v>
      </c>
      <c r="AG645" s="6">
        <v>200610.53899999999</v>
      </c>
      <c r="AH645" s="6">
        <v>408035.321</v>
      </c>
      <c r="AI645" s="6">
        <v>728669.05299999996</v>
      </c>
      <c r="AJ645" s="6">
        <v>1229828.784</v>
      </c>
      <c r="AK645" s="6">
        <v>1720000.057</v>
      </c>
      <c r="AL645" s="6">
        <v>1244039.598</v>
      </c>
      <c r="AM645" s="6">
        <v>1480789.9140000001</v>
      </c>
      <c r="AN645" s="6">
        <v>1584809.88</v>
      </c>
      <c r="AO645" s="6">
        <v>730675.799</v>
      </c>
      <c r="AP645" s="6">
        <v>425610.17599999998</v>
      </c>
      <c r="AQ645" s="6">
        <v>415457.962</v>
      </c>
      <c r="AR645" s="6">
        <v>176778.54500000001</v>
      </c>
      <c r="AS645" s="6">
        <v>174968.52900000001</v>
      </c>
      <c r="AT645" s="6">
        <v>174968.52900000001</v>
      </c>
    </row>
    <row r="646" spans="1:46" x14ac:dyDescent="0.25">
      <c r="A646" s="4" t="s">
        <v>206</v>
      </c>
      <c r="B646" s="4" t="s">
        <v>207</v>
      </c>
      <c r="C646" s="4" t="s">
        <v>246</v>
      </c>
      <c r="D646" s="4" t="s">
        <v>263</v>
      </c>
      <c r="E646" s="4" t="s">
        <v>248</v>
      </c>
      <c r="F646" s="4" t="s">
        <v>201</v>
      </c>
      <c r="G646" s="4" t="s">
        <v>76</v>
      </c>
      <c r="H646" s="4" t="s">
        <v>249</v>
      </c>
      <c r="I646" s="7">
        <v>2.3E-2</v>
      </c>
      <c r="J646" s="7">
        <v>5.0999999999999997E-2</v>
      </c>
      <c r="K646" s="7">
        <v>6.9000000000000006E-2</v>
      </c>
      <c r="L646" s="7">
        <v>6.6000000000000003E-2</v>
      </c>
      <c r="M646" s="7">
        <v>7.0999999999999994E-2</v>
      </c>
      <c r="N646" s="7">
        <v>4.4999999999999998E-2</v>
      </c>
      <c r="O646" s="7">
        <v>4.4999999999999998E-2</v>
      </c>
      <c r="P646" s="7">
        <v>0.04</v>
      </c>
      <c r="Q646" s="7">
        <v>3.1E-2</v>
      </c>
      <c r="R646" s="7">
        <v>3.4000000000000002E-2</v>
      </c>
      <c r="S646" s="7">
        <v>2.1999999999999999E-2</v>
      </c>
      <c r="T646" s="7">
        <v>0.02</v>
      </c>
      <c r="U646" s="7">
        <v>3.4000000000000002E-2</v>
      </c>
      <c r="V646" s="7">
        <v>5.0999999999999997E-2</v>
      </c>
      <c r="W646" s="7">
        <v>7.4999999999999997E-2</v>
      </c>
      <c r="X646" s="7">
        <v>8.2000000000000003E-2</v>
      </c>
      <c r="Y646" s="7">
        <v>8.5000000000000006E-2</v>
      </c>
      <c r="Z646" s="7">
        <v>7.5999999999999998E-2</v>
      </c>
      <c r="AA646" s="7">
        <v>6.3E-2</v>
      </c>
      <c r="AB646" s="7">
        <v>4.9000000000000002E-2</v>
      </c>
      <c r="AC646" s="7">
        <v>4.4999999999999998E-2</v>
      </c>
      <c r="AD646" s="7">
        <v>4.8000000000000001E-2</v>
      </c>
      <c r="AE646" s="7">
        <v>4.4999999999999998E-2</v>
      </c>
      <c r="AF646" s="7">
        <v>3.4000000000000002E-2</v>
      </c>
      <c r="AG646" s="7">
        <v>4.9000000000000002E-2</v>
      </c>
      <c r="AH646" s="7">
        <v>7.6999999999999999E-2</v>
      </c>
      <c r="AI646" s="7">
        <v>9.8000000000000004E-2</v>
      </c>
      <c r="AJ646" s="7">
        <v>0.108</v>
      </c>
      <c r="AK646" s="7">
        <v>0.114</v>
      </c>
      <c r="AL646" s="7">
        <v>8.5999999999999993E-2</v>
      </c>
      <c r="AM646" s="7">
        <v>8.8999999999999996E-2</v>
      </c>
      <c r="AN646" s="7">
        <v>9.1999999999999998E-2</v>
      </c>
      <c r="AO646" s="7">
        <v>6.9000000000000006E-2</v>
      </c>
      <c r="AP646" s="7">
        <v>0.06</v>
      </c>
      <c r="AQ646" s="7">
        <v>7.2999999999999995E-2</v>
      </c>
      <c r="AR646" s="7">
        <v>4.9000000000000002E-2</v>
      </c>
      <c r="AS646" s="7">
        <v>5.1999999999999998E-2</v>
      </c>
      <c r="AT646" s="7">
        <v>6.3E-2</v>
      </c>
    </row>
    <row r="647" spans="1:46" x14ac:dyDescent="0.25">
      <c r="A647" s="4" t="s">
        <v>206</v>
      </c>
      <c r="B647" s="4" t="s">
        <v>207</v>
      </c>
      <c r="C647" s="4" t="s">
        <v>246</v>
      </c>
      <c r="D647" s="4" t="s">
        <v>263</v>
      </c>
      <c r="E647" s="4" t="s">
        <v>248</v>
      </c>
      <c r="F647" s="4" t="s">
        <v>201</v>
      </c>
      <c r="G647" s="4" t="s">
        <v>76</v>
      </c>
      <c r="H647" s="4" t="s">
        <v>250</v>
      </c>
      <c r="I647" s="7">
        <v>13.789</v>
      </c>
      <c r="J647" s="7">
        <v>23.498000000000001</v>
      </c>
      <c r="K647" s="7">
        <v>35.154000000000003</v>
      </c>
      <c r="L647" s="7">
        <v>36.325000000000003</v>
      </c>
      <c r="M647" s="7">
        <v>41.345999999999997</v>
      </c>
      <c r="N647" s="7">
        <v>32.752000000000002</v>
      </c>
      <c r="O647" s="7">
        <v>30.414000000000001</v>
      </c>
      <c r="P647" s="7">
        <v>25.545999999999999</v>
      </c>
      <c r="Q647" s="7">
        <v>19.268999999999998</v>
      </c>
      <c r="R647" s="7">
        <v>13.068</v>
      </c>
      <c r="S647" s="7">
        <v>10.573</v>
      </c>
      <c r="T647" s="7">
        <v>11.887</v>
      </c>
      <c r="U647" s="7">
        <v>14.968</v>
      </c>
      <c r="V647" s="7">
        <v>22.875</v>
      </c>
      <c r="W647" s="7">
        <v>37.679000000000002</v>
      </c>
      <c r="X647" s="7">
        <v>39.729999999999997</v>
      </c>
      <c r="Y647" s="7">
        <v>41.55</v>
      </c>
      <c r="Z647" s="7">
        <v>39.290999999999997</v>
      </c>
      <c r="AA647" s="7">
        <v>37.963999999999999</v>
      </c>
      <c r="AB647" s="7">
        <v>33.898000000000003</v>
      </c>
      <c r="AC647" s="7">
        <v>28.177</v>
      </c>
      <c r="AD647" s="7">
        <v>20.262</v>
      </c>
      <c r="AE647" s="7">
        <v>15.86</v>
      </c>
      <c r="AF647" s="7">
        <v>18.981000000000002</v>
      </c>
      <c r="AG647" s="7">
        <v>19.042000000000002</v>
      </c>
      <c r="AH647" s="7">
        <v>31.54</v>
      </c>
      <c r="AI647" s="7">
        <v>40.265000000000001</v>
      </c>
      <c r="AJ647" s="7">
        <v>46.865000000000002</v>
      </c>
      <c r="AK647" s="7">
        <v>50.536999999999999</v>
      </c>
      <c r="AL647" s="7">
        <v>44.753</v>
      </c>
      <c r="AM647" s="7">
        <v>44.438000000000002</v>
      </c>
      <c r="AN647" s="7">
        <v>48.725999999999999</v>
      </c>
      <c r="AO647" s="7">
        <v>29.2</v>
      </c>
      <c r="AP647" s="7">
        <v>20.268000000000001</v>
      </c>
      <c r="AQ647" s="7">
        <v>16.66</v>
      </c>
      <c r="AR647" s="7">
        <v>14.885999999999999</v>
      </c>
      <c r="AS647" s="7">
        <v>22.414999999999999</v>
      </c>
      <c r="AT647" s="5">
        <v>1212.6210000000001</v>
      </c>
    </row>
    <row r="648" spans="1:46" x14ac:dyDescent="0.25">
      <c r="A648" s="4" t="s">
        <v>206</v>
      </c>
      <c r="B648" s="4" t="s">
        <v>207</v>
      </c>
      <c r="C648" s="4" t="s">
        <v>246</v>
      </c>
      <c r="D648" s="4" t="s">
        <v>263</v>
      </c>
      <c r="E648" s="4" t="s">
        <v>248</v>
      </c>
      <c r="F648" s="4" t="s">
        <v>201</v>
      </c>
      <c r="G648" s="4" t="s">
        <v>76</v>
      </c>
      <c r="H648" s="4" t="s">
        <v>251</v>
      </c>
      <c r="I648" s="7">
        <v>1.4830121999999999</v>
      </c>
      <c r="J648" s="7">
        <v>1.8270617</v>
      </c>
      <c r="K648" s="7">
        <v>2.3912466999999999</v>
      </c>
      <c r="L648" s="7">
        <v>2.4559641999999999</v>
      </c>
      <c r="M648" s="7">
        <v>2.4718289000000002</v>
      </c>
      <c r="N648" s="7">
        <v>2.1012753000000002</v>
      </c>
      <c r="O648" s="7">
        <v>2.0097470999999998</v>
      </c>
      <c r="P648" s="7">
        <v>2.079367</v>
      </c>
      <c r="Q648" s="7">
        <v>1.7465778000000001</v>
      </c>
      <c r="R648" s="7">
        <v>1.4108708999999999</v>
      </c>
      <c r="S648" s="7">
        <v>1.2213061000000001</v>
      </c>
      <c r="T648" s="7">
        <v>1.3794025999999999</v>
      </c>
      <c r="U648" s="7">
        <v>1.4484885000000001</v>
      </c>
      <c r="V648" s="7">
        <v>1.6397491</v>
      </c>
      <c r="W648" s="7">
        <v>2.1658819999999999</v>
      </c>
      <c r="X648" s="7">
        <v>2.5290938999999999</v>
      </c>
      <c r="Y648" s="7">
        <v>2.8967748000000002</v>
      </c>
      <c r="Z648" s="7">
        <v>2.4759380000000002</v>
      </c>
      <c r="AA648" s="7">
        <v>2.9404211999999998</v>
      </c>
      <c r="AB648" s="7">
        <v>2.7668162000000001</v>
      </c>
      <c r="AC648" s="7">
        <v>2.4588158999999998</v>
      </c>
      <c r="AD648" s="7">
        <v>2.1474479999999998</v>
      </c>
      <c r="AE648" s="7">
        <v>1.968855</v>
      </c>
      <c r="AF648" s="7">
        <v>2.3130354999999998</v>
      </c>
      <c r="AG648" s="7">
        <v>2.4867580999999999</v>
      </c>
      <c r="AH648" s="7">
        <v>3.1187493000000002</v>
      </c>
      <c r="AI648" s="7">
        <v>3.5322380999999998</v>
      </c>
      <c r="AJ648" s="7">
        <v>3.632733</v>
      </c>
      <c r="AK648" s="7">
        <v>3.7858556000000001</v>
      </c>
      <c r="AL648" s="7">
        <v>3.8435747999999998</v>
      </c>
      <c r="AM648" s="7">
        <v>4.1716565000000001</v>
      </c>
      <c r="AN648" s="7">
        <v>4.4569101</v>
      </c>
      <c r="AO648" s="7">
        <v>3.7402115</v>
      </c>
      <c r="AP648" s="7">
        <v>3.0964923999999998</v>
      </c>
      <c r="AQ648" s="7">
        <v>3.2598511000000001</v>
      </c>
      <c r="AR648" s="7">
        <v>3.0389255999999998</v>
      </c>
      <c r="AS648" s="7">
        <v>3.1108604</v>
      </c>
      <c r="AT648" s="7">
        <v>22.414999999999999</v>
      </c>
    </row>
    <row r="649" spans="1:46" x14ac:dyDescent="0.25">
      <c r="A649" s="4" t="s">
        <v>206</v>
      </c>
      <c r="B649" s="4" t="s">
        <v>207</v>
      </c>
      <c r="C649" s="4" t="s">
        <v>246</v>
      </c>
      <c r="D649" s="4" t="s">
        <v>263</v>
      </c>
      <c r="E649" s="4" t="s">
        <v>248</v>
      </c>
      <c r="F649" s="4" t="s">
        <v>201</v>
      </c>
      <c r="G649" s="4" t="s">
        <v>76</v>
      </c>
      <c r="H649" s="4" t="s">
        <v>252</v>
      </c>
      <c r="I649" s="16">
        <v>0.157</v>
      </c>
      <c r="J649" s="16">
        <v>0.17299999999999999</v>
      </c>
      <c r="K649" s="16">
        <v>0.183</v>
      </c>
      <c r="L649" s="16">
        <v>0.13100000000000001</v>
      </c>
      <c r="M649" s="16">
        <v>0.14000000000000001</v>
      </c>
      <c r="N649" s="16">
        <v>0.11799999999999999</v>
      </c>
      <c r="O649" s="16">
        <v>0.114</v>
      </c>
      <c r="P649" s="16">
        <v>0.16300000000000001</v>
      </c>
      <c r="Q649" s="16">
        <v>0.14099999999999999</v>
      </c>
      <c r="R649" s="16">
        <v>7.9000000000000001E-2</v>
      </c>
      <c r="S649" s="16">
        <v>0.11899999999999999</v>
      </c>
      <c r="T649" s="16">
        <v>0.123</v>
      </c>
      <c r="U649" s="16">
        <v>0.108</v>
      </c>
      <c r="V649" s="16">
        <v>0.125</v>
      </c>
      <c r="W649" s="16">
        <v>0.111</v>
      </c>
      <c r="X649" s="16">
        <v>0.11799999999999999</v>
      </c>
      <c r="Y649" s="16">
        <v>0.14899999999999999</v>
      </c>
      <c r="Z649" s="16">
        <v>0.14799999999999999</v>
      </c>
      <c r="AA649" s="16">
        <v>0.17399999999999999</v>
      </c>
      <c r="AB649" s="16">
        <v>0.16500000000000001</v>
      </c>
      <c r="AC649" s="16">
        <v>0.16600000000000001</v>
      </c>
      <c r="AD649" s="16">
        <v>0.13800000000000001</v>
      </c>
      <c r="AE649" s="16">
        <v>0.14299999999999999</v>
      </c>
      <c r="AF649" s="16">
        <v>0.17499999999999999</v>
      </c>
      <c r="AG649" s="16">
        <v>0.20699999999999999</v>
      </c>
      <c r="AH649" s="16">
        <v>0.20599999999999999</v>
      </c>
      <c r="AI649" s="16">
        <v>0.18</v>
      </c>
      <c r="AJ649" s="16">
        <v>0.182</v>
      </c>
      <c r="AK649" s="16">
        <v>0.19600000000000001</v>
      </c>
      <c r="AL649" s="16">
        <v>0.18</v>
      </c>
      <c r="AM649" s="16">
        <v>0.20399999999999999</v>
      </c>
      <c r="AN649" s="16">
        <v>0.22900000000000001</v>
      </c>
      <c r="AO649" s="16">
        <v>0.19800000000000001</v>
      </c>
      <c r="AP649" s="16">
        <v>0.222</v>
      </c>
      <c r="AQ649" s="16">
        <v>0.25700000000000001</v>
      </c>
      <c r="AR649" s="16">
        <v>0.24399999999999999</v>
      </c>
      <c r="AS649" s="16">
        <v>0.23899999999999999</v>
      </c>
      <c r="AT649" s="7">
        <v>3.1108604</v>
      </c>
    </row>
    <row r="650" spans="1:46" x14ac:dyDescent="0.25">
      <c r="A650" s="4" t="s">
        <v>206</v>
      </c>
      <c r="B650" s="4" t="s">
        <v>207</v>
      </c>
      <c r="C650" s="4" t="s">
        <v>246</v>
      </c>
      <c r="D650" s="4" t="s">
        <v>263</v>
      </c>
      <c r="E650" s="4" t="s">
        <v>248</v>
      </c>
      <c r="F650" s="4" t="s">
        <v>201</v>
      </c>
      <c r="G650" s="4" t="s">
        <v>85</v>
      </c>
      <c r="H650" s="4" t="s">
        <v>151</v>
      </c>
      <c r="I650" s="5">
        <v>4046.19</v>
      </c>
      <c r="J650" s="5">
        <v>12567.005999999999</v>
      </c>
      <c r="K650" s="5">
        <v>20116.914000000001</v>
      </c>
      <c r="L650" s="5">
        <v>33717.485000000001</v>
      </c>
      <c r="M650" s="5">
        <v>53810.790999999997</v>
      </c>
      <c r="N650" s="5">
        <v>42810.042999999998</v>
      </c>
      <c r="O650" s="5">
        <v>46679.555999999997</v>
      </c>
      <c r="P650" s="5">
        <v>30081.715</v>
      </c>
      <c r="Q650" s="5">
        <v>17330.951000000001</v>
      </c>
      <c r="R650" s="5">
        <v>7436.7939999999999</v>
      </c>
      <c r="S650" s="5">
        <v>5498.9610000000002</v>
      </c>
      <c r="T650" s="5">
        <v>5365.4279999999999</v>
      </c>
      <c r="U650" s="5">
        <v>6694.0569999999998</v>
      </c>
      <c r="V650" s="5">
        <v>12393.392</v>
      </c>
      <c r="W650" s="5">
        <v>21559.119999999999</v>
      </c>
      <c r="X650" s="5">
        <v>31937.463</v>
      </c>
      <c r="Y650" s="5">
        <v>37198.588000000003</v>
      </c>
      <c r="Z650" s="5">
        <v>34698.275999999998</v>
      </c>
      <c r="AA650" s="5">
        <v>31809.631000000001</v>
      </c>
      <c r="AB650" s="5">
        <v>20633.455999999998</v>
      </c>
      <c r="AC650" s="5">
        <v>16026.504000000001</v>
      </c>
      <c r="AD650" s="5">
        <v>9176.3340000000007</v>
      </c>
      <c r="AE650" s="5">
        <v>4906.5290000000005</v>
      </c>
      <c r="AF650" s="5">
        <v>4919.4939999999997</v>
      </c>
      <c r="AG650" s="5">
        <v>4711.5010000000002</v>
      </c>
      <c r="AH650" s="5">
        <v>9588.9380000000001</v>
      </c>
      <c r="AI650" s="5">
        <v>16546.185000000001</v>
      </c>
      <c r="AJ650" s="5">
        <v>29365.915000000001</v>
      </c>
      <c r="AK650" s="5">
        <v>37052.413999999997</v>
      </c>
      <c r="AL650" s="5">
        <v>33573.360999999997</v>
      </c>
      <c r="AM650" s="5">
        <v>37110.154999999999</v>
      </c>
      <c r="AN650" s="5">
        <v>37151.548999999999</v>
      </c>
      <c r="AO650" s="5">
        <v>19833.964</v>
      </c>
      <c r="AP650" s="5">
        <v>14052.742</v>
      </c>
      <c r="AQ650" s="5">
        <v>9091.857</v>
      </c>
      <c r="AR650" s="5">
        <v>5805.643</v>
      </c>
      <c r="AS650" s="5">
        <v>4807.0010000000002</v>
      </c>
      <c r="AT650" s="5">
        <v>85371.428</v>
      </c>
    </row>
    <row r="651" spans="1:46" x14ac:dyDescent="0.25">
      <c r="A651" s="4" t="s">
        <v>206</v>
      </c>
      <c r="B651" s="4" t="s">
        <v>207</v>
      </c>
      <c r="C651" s="4" t="s">
        <v>246</v>
      </c>
      <c r="D651" s="4" t="s">
        <v>263</v>
      </c>
      <c r="E651" s="4" t="s">
        <v>248</v>
      </c>
      <c r="F651" s="4" t="s">
        <v>201</v>
      </c>
      <c r="G651" s="4" t="s">
        <v>85</v>
      </c>
      <c r="H651" s="4" t="s">
        <v>205</v>
      </c>
      <c r="I651" s="6">
        <v>651577.53099999996</v>
      </c>
      <c r="J651" s="6">
        <v>1896228.929</v>
      </c>
      <c r="K651" s="6">
        <v>3010450.6639999999</v>
      </c>
      <c r="L651" s="6">
        <v>4829415.1979999999</v>
      </c>
      <c r="M651" s="6">
        <v>7054193.2750000004</v>
      </c>
      <c r="N651" s="6">
        <v>5677004.4879999999</v>
      </c>
      <c r="O651" s="6">
        <v>6075129.3710000003</v>
      </c>
      <c r="P651" s="6">
        <v>4022055.2719999999</v>
      </c>
      <c r="Q651" s="6">
        <v>2534157.0869999998</v>
      </c>
      <c r="R651" s="6">
        <v>1062917.3019999999</v>
      </c>
      <c r="S651" s="6">
        <v>771193.96200000006</v>
      </c>
      <c r="T651" s="6">
        <v>770002.63800000004</v>
      </c>
      <c r="U651" s="6">
        <v>944663.81700000004</v>
      </c>
      <c r="V651" s="6">
        <v>1640158.4890000001</v>
      </c>
      <c r="W651" s="6">
        <v>2970160.3560000001</v>
      </c>
      <c r="X651" s="6">
        <v>4444383.2010000004</v>
      </c>
      <c r="Y651" s="6">
        <v>5329113.2410000004</v>
      </c>
      <c r="Z651" s="6">
        <v>5097540.0539999995</v>
      </c>
      <c r="AA651" s="6">
        <v>4715024.0659999996</v>
      </c>
      <c r="AB651" s="6">
        <v>3216370.2009999999</v>
      </c>
      <c r="AC651" s="6">
        <v>2436166.2000000002</v>
      </c>
      <c r="AD651" s="6">
        <v>1366746.9779999999</v>
      </c>
      <c r="AE651" s="6">
        <v>740249.58200000005</v>
      </c>
      <c r="AF651" s="6">
        <v>753169.08799999999</v>
      </c>
      <c r="AG651" s="6">
        <v>736763.77599999995</v>
      </c>
      <c r="AH651" s="6">
        <v>1472478.3189999999</v>
      </c>
      <c r="AI651" s="6">
        <v>2599687.3459999999</v>
      </c>
      <c r="AJ651" s="6">
        <v>4669082.2319999998</v>
      </c>
      <c r="AK651" s="6">
        <v>6043904.8130000001</v>
      </c>
      <c r="AL651" s="6">
        <v>5481091.1739999996</v>
      </c>
      <c r="AM651" s="6">
        <v>6089310.0630000001</v>
      </c>
      <c r="AN651" s="6">
        <v>6194929.5060000001</v>
      </c>
      <c r="AO651" s="6">
        <v>3313392.2820000001</v>
      </c>
      <c r="AP651" s="6">
        <v>2338865.3429999999</v>
      </c>
      <c r="AQ651" s="6">
        <v>1498890.5930000001</v>
      </c>
      <c r="AR651" s="6">
        <v>953310.12100000004</v>
      </c>
      <c r="AS651" s="6">
        <v>792522.32700000005</v>
      </c>
      <c r="AT651" s="6">
        <v>792522.32700000005</v>
      </c>
    </row>
    <row r="652" spans="1:46" x14ac:dyDescent="0.25">
      <c r="A652" s="4" t="s">
        <v>206</v>
      </c>
      <c r="B652" s="4" t="s">
        <v>207</v>
      </c>
      <c r="C652" s="4" t="s">
        <v>246</v>
      </c>
      <c r="D652" s="4" t="s">
        <v>263</v>
      </c>
      <c r="E652" s="4" t="s">
        <v>248</v>
      </c>
      <c r="F652" s="4" t="s">
        <v>201</v>
      </c>
      <c r="G652" s="4" t="s">
        <v>85</v>
      </c>
      <c r="H652" s="4" t="s">
        <v>249</v>
      </c>
      <c r="I652" s="7">
        <v>0.13100000000000001</v>
      </c>
      <c r="J652" s="7">
        <v>0.26200000000000001</v>
      </c>
      <c r="K652" s="7">
        <v>0.29299999999999998</v>
      </c>
      <c r="L652" s="7">
        <v>0.36699999999999999</v>
      </c>
      <c r="M652" s="7">
        <v>0.41699999999999998</v>
      </c>
      <c r="N652" s="7">
        <v>0.34100000000000003</v>
      </c>
      <c r="O652" s="7">
        <v>0.42499999999999999</v>
      </c>
      <c r="P652" s="7">
        <v>0.38800000000000001</v>
      </c>
      <c r="Q652" s="7">
        <v>0.32900000000000001</v>
      </c>
      <c r="R652" s="7">
        <v>0.22</v>
      </c>
      <c r="S652" s="7">
        <v>0.188</v>
      </c>
      <c r="T652" s="7">
        <v>0.19900000000000001</v>
      </c>
      <c r="U652" s="7">
        <v>0.218</v>
      </c>
      <c r="V652" s="7">
        <v>0.28000000000000003</v>
      </c>
      <c r="W652" s="7">
        <v>0.32100000000000001</v>
      </c>
      <c r="X652" s="7">
        <v>0.33600000000000002</v>
      </c>
      <c r="Y652" s="7">
        <v>0.33200000000000002</v>
      </c>
      <c r="Z652" s="7">
        <v>0.33800000000000002</v>
      </c>
      <c r="AA652" s="7">
        <v>0.29799999999999999</v>
      </c>
      <c r="AB652" s="7">
        <v>0.26800000000000002</v>
      </c>
      <c r="AC652" s="7">
        <v>0.27300000000000002</v>
      </c>
      <c r="AD652" s="7">
        <v>0.20899999999999999</v>
      </c>
      <c r="AE652" s="7">
        <v>0.14299999999999999</v>
      </c>
      <c r="AF652" s="7">
        <v>0.16</v>
      </c>
      <c r="AG652" s="7">
        <v>0.14499999999999999</v>
      </c>
      <c r="AH652" s="7">
        <v>0.20799999999999999</v>
      </c>
      <c r="AI652" s="7">
        <v>0.27</v>
      </c>
      <c r="AJ652" s="7">
        <v>0.32700000000000001</v>
      </c>
      <c r="AK652" s="7">
        <v>0.313</v>
      </c>
      <c r="AL652" s="7">
        <v>0.28699999999999998</v>
      </c>
      <c r="AM652" s="7">
        <v>0.27100000000000002</v>
      </c>
      <c r="AN652" s="7">
        <v>0.27900000000000003</v>
      </c>
      <c r="AO652" s="7">
        <v>0.23</v>
      </c>
      <c r="AP652" s="7">
        <v>0.22900000000000001</v>
      </c>
      <c r="AQ652" s="7">
        <v>0.21099999999999999</v>
      </c>
      <c r="AR652" s="7">
        <v>0.19500000000000001</v>
      </c>
      <c r="AS652" s="7">
        <v>0.17599999999999999</v>
      </c>
      <c r="AT652" s="7">
        <v>9.6739999999999995</v>
      </c>
    </row>
    <row r="653" spans="1:46" x14ac:dyDescent="0.25">
      <c r="A653" s="4" t="s">
        <v>206</v>
      </c>
      <c r="B653" s="4" t="s">
        <v>207</v>
      </c>
      <c r="C653" s="4" t="s">
        <v>246</v>
      </c>
      <c r="D653" s="4" t="s">
        <v>263</v>
      </c>
      <c r="E653" s="4" t="s">
        <v>248</v>
      </c>
      <c r="F653" s="4" t="s">
        <v>201</v>
      </c>
      <c r="G653" s="4" t="s">
        <v>85</v>
      </c>
      <c r="H653" s="4" t="s">
        <v>250</v>
      </c>
      <c r="I653" s="7">
        <v>52.338999999999999</v>
      </c>
      <c r="J653" s="7">
        <v>63.298999999999999</v>
      </c>
      <c r="K653" s="7">
        <v>72.793999999999997</v>
      </c>
      <c r="L653" s="7">
        <v>74.372</v>
      </c>
      <c r="M653" s="7">
        <v>76.763000000000005</v>
      </c>
      <c r="N653" s="7">
        <v>73.290999999999997</v>
      </c>
      <c r="O653" s="7">
        <v>72.649000000000001</v>
      </c>
      <c r="P653" s="7">
        <v>67.718999999999994</v>
      </c>
      <c r="Q653" s="7">
        <v>63.295000000000002</v>
      </c>
      <c r="R653" s="7">
        <v>54.558</v>
      </c>
      <c r="S653" s="7">
        <v>52.68</v>
      </c>
      <c r="T653" s="7">
        <v>54.713000000000001</v>
      </c>
      <c r="U653" s="7">
        <v>60.951999999999998</v>
      </c>
      <c r="V653" s="7">
        <v>64.173000000000002</v>
      </c>
      <c r="W653" s="7">
        <v>70.436999999999998</v>
      </c>
      <c r="X653" s="7">
        <v>70.491</v>
      </c>
      <c r="Y653" s="7">
        <v>71.183999999999997</v>
      </c>
      <c r="Z653" s="7">
        <v>70.498999999999995</v>
      </c>
      <c r="AA653" s="7">
        <v>70.222999999999999</v>
      </c>
      <c r="AB653" s="7">
        <v>68.311999999999998</v>
      </c>
      <c r="AC653" s="7">
        <v>63.540999999999997</v>
      </c>
      <c r="AD653" s="7">
        <v>56.765999999999998</v>
      </c>
      <c r="AE653" s="7">
        <v>50.92</v>
      </c>
      <c r="AF653" s="7">
        <v>47.947000000000003</v>
      </c>
      <c r="AG653" s="7">
        <v>51.259</v>
      </c>
      <c r="AH653" s="7">
        <v>60.896000000000001</v>
      </c>
      <c r="AI653" s="7">
        <v>67.807000000000002</v>
      </c>
      <c r="AJ653" s="7">
        <v>73.956999999999994</v>
      </c>
      <c r="AK653" s="7">
        <v>75.543999999999997</v>
      </c>
      <c r="AL653" s="7">
        <v>71.539000000000001</v>
      </c>
      <c r="AM653" s="7">
        <v>70.513999999999996</v>
      </c>
      <c r="AN653" s="7">
        <v>71.617000000000004</v>
      </c>
      <c r="AO653" s="7">
        <v>57.188000000000002</v>
      </c>
      <c r="AP653" s="7">
        <v>49.722999999999999</v>
      </c>
      <c r="AQ653" s="7">
        <v>43.613999999999997</v>
      </c>
      <c r="AR653" s="7">
        <v>44.177999999999997</v>
      </c>
      <c r="AS653" s="7">
        <v>51.273000000000003</v>
      </c>
      <c r="AT653" s="5">
        <v>209841.883</v>
      </c>
    </row>
    <row r="654" spans="1:46" x14ac:dyDescent="0.25">
      <c r="A654" s="4" t="s">
        <v>206</v>
      </c>
      <c r="B654" s="4" t="s">
        <v>207</v>
      </c>
      <c r="C654" s="4" t="s">
        <v>246</v>
      </c>
      <c r="D654" s="4" t="s">
        <v>263</v>
      </c>
      <c r="E654" s="4" t="s">
        <v>248</v>
      </c>
      <c r="F654" s="4" t="s">
        <v>201</v>
      </c>
      <c r="G654" s="4" t="s">
        <v>85</v>
      </c>
      <c r="H654" s="4" t="s">
        <v>251</v>
      </c>
      <c r="I654" s="7">
        <v>14.752467299999999</v>
      </c>
      <c r="J654" s="7">
        <v>15.169852300000001</v>
      </c>
      <c r="K654" s="7">
        <v>17.0940607</v>
      </c>
      <c r="L654" s="7">
        <v>19.293391799999998</v>
      </c>
      <c r="M654" s="7">
        <v>19.099602699999998</v>
      </c>
      <c r="N654" s="7">
        <v>19.214388899999999</v>
      </c>
      <c r="O654" s="7">
        <v>19.5496534</v>
      </c>
      <c r="P654" s="7">
        <v>18.660954400000001</v>
      </c>
      <c r="Q654" s="7">
        <v>17.203786699999998</v>
      </c>
      <c r="R654" s="7">
        <v>16.4952471</v>
      </c>
      <c r="S654" s="7">
        <v>15.3684814</v>
      </c>
      <c r="T654" s="7">
        <v>15.0011466</v>
      </c>
      <c r="U654" s="7">
        <v>14.3771779</v>
      </c>
      <c r="V654" s="7">
        <v>14.6475864</v>
      </c>
      <c r="W654" s="7">
        <v>15.6961438</v>
      </c>
      <c r="X654" s="7">
        <v>16.434992600000001</v>
      </c>
      <c r="Y654" s="7">
        <v>17.029035</v>
      </c>
      <c r="Z654" s="7">
        <v>17.246932999999999</v>
      </c>
      <c r="AA654" s="7">
        <v>17.5294095</v>
      </c>
      <c r="AB654" s="7">
        <v>17.573070099999999</v>
      </c>
      <c r="AC654" s="7">
        <v>17.233890500000001</v>
      </c>
      <c r="AD654" s="7">
        <v>15.5272381</v>
      </c>
      <c r="AE654" s="7">
        <v>15.007740999999999</v>
      </c>
      <c r="AF654" s="7">
        <v>14.8075046</v>
      </c>
      <c r="AG654" s="7">
        <v>15.572197600000001</v>
      </c>
      <c r="AH654" s="7">
        <v>16.782636499999999</v>
      </c>
      <c r="AI654" s="7">
        <v>18.683672600000001</v>
      </c>
      <c r="AJ654" s="7">
        <v>18.947087499999999</v>
      </c>
      <c r="AK654" s="7">
        <v>19.730830399999999</v>
      </c>
      <c r="AL654" s="7">
        <v>20.543565999999998</v>
      </c>
      <c r="AM654" s="7">
        <v>20.131437200000001</v>
      </c>
      <c r="AN654" s="7">
        <v>19.971473700000001</v>
      </c>
      <c r="AO654" s="7">
        <v>17.449172999999998</v>
      </c>
      <c r="AP654" s="7">
        <v>16.5448989</v>
      </c>
      <c r="AQ654" s="7">
        <v>16.584614899999998</v>
      </c>
      <c r="AR654" s="7">
        <v>15.5351505</v>
      </c>
      <c r="AS654" s="7">
        <v>14.785987499999999</v>
      </c>
      <c r="AT654" s="7">
        <v>51.273000000000003</v>
      </c>
    </row>
    <row r="655" spans="1:46" x14ac:dyDescent="0.25">
      <c r="A655" s="4" t="s">
        <v>206</v>
      </c>
      <c r="B655" s="4" t="s">
        <v>207</v>
      </c>
      <c r="C655" s="4" t="s">
        <v>246</v>
      </c>
      <c r="D655" s="4" t="s">
        <v>263</v>
      </c>
      <c r="E655" s="4" t="s">
        <v>248</v>
      </c>
      <c r="F655" s="4" t="s">
        <v>201</v>
      </c>
      <c r="G655" s="4" t="s">
        <v>85</v>
      </c>
      <c r="H655" s="4" t="s">
        <v>252</v>
      </c>
      <c r="I655" s="16">
        <v>1.72</v>
      </c>
      <c r="J655" s="16">
        <v>2.0569999999999999</v>
      </c>
      <c r="K655" s="16">
        <v>2.4049999999999998</v>
      </c>
      <c r="L655" s="16">
        <v>2.621</v>
      </c>
      <c r="M655" s="16">
        <v>3.0870000000000002</v>
      </c>
      <c r="N655" s="16">
        <v>2.62</v>
      </c>
      <c r="O655" s="16">
        <v>3.0760000000000001</v>
      </c>
      <c r="P655" s="16">
        <v>2.8050000000000002</v>
      </c>
      <c r="Q655" s="16">
        <v>2.99</v>
      </c>
      <c r="R655" s="16">
        <v>2.8109999999999999</v>
      </c>
      <c r="S655" s="16">
        <v>2.7130000000000001</v>
      </c>
      <c r="T655" s="16">
        <v>2.782</v>
      </c>
      <c r="U655" s="16">
        <v>2.64</v>
      </c>
      <c r="V655" s="16">
        <v>2.8340000000000001</v>
      </c>
      <c r="W655" s="16">
        <v>2.3540000000000001</v>
      </c>
      <c r="X655" s="16">
        <v>1.984</v>
      </c>
      <c r="Y655" s="16">
        <v>2.14</v>
      </c>
      <c r="Z655" s="16">
        <v>1.823</v>
      </c>
      <c r="AA655" s="16">
        <v>1.849</v>
      </c>
      <c r="AB655" s="16">
        <v>2.0219999999999998</v>
      </c>
      <c r="AC655" s="16">
        <v>2.286</v>
      </c>
      <c r="AD655" s="16">
        <v>2.1920000000000002</v>
      </c>
      <c r="AE655" s="16">
        <v>1.92</v>
      </c>
      <c r="AF655" s="16">
        <v>2.012</v>
      </c>
      <c r="AG655" s="16">
        <v>1.9990000000000001</v>
      </c>
      <c r="AH655" s="16">
        <v>1.9930000000000001</v>
      </c>
      <c r="AI655" s="16">
        <v>1.738</v>
      </c>
      <c r="AJ655" s="16">
        <v>1.948</v>
      </c>
      <c r="AK655" s="16">
        <v>2.2530000000000001</v>
      </c>
      <c r="AL655" s="16">
        <v>2.4420000000000002</v>
      </c>
      <c r="AM655" s="16">
        <v>2.226</v>
      </c>
      <c r="AN655" s="16">
        <v>2.1509999999999998</v>
      </c>
      <c r="AO655" s="16">
        <v>2.3330000000000002</v>
      </c>
      <c r="AP655" s="16">
        <v>2.1539999999999999</v>
      </c>
      <c r="AQ655" s="16">
        <v>2.149</v>
      </c>
      <c r="AR655" s="16">
        <v>2.3359999999999999</v>
      </c>
      <c r="AS655" s="16">
        <v>2.0409999999999999</v>
      </c>
      <c r="AT655" s="7">
        <v>14.785987499999999</v>
      </c>
    </row>
    <row r="656" spans="1:46" x14ac:dyDescent="0.25">
      <c r="A656" s="4" t="s">
        <v>206</v>
      </c>
      <c r="B656" s="4" t="s">
        <v>207</v>
      </c>
      <c r="C656" s="4" t="s">
        <v>246</v>
      </c>
      <c r="D656" s="4" t="s">
        <v>263</v>
      </c>
      <c r="E656" s="4" t="s">
        <v>248</v>
      </c>
      <c r="F656" s="4" t="s">
        <v>195</v>
      </c>
      <c r="G656" s="4" t="s">
        <v>264</v>
      </c>
      <c r="H656" s="4" t="s">
        <v>151</v>
      </c>
      <c r="I656" s="5">
        <v>266.34300000000002</v>
      </c>
      <c r="J656" s="5">
        <v>348.25099999999998</v>
      </c>
      <c r="K656" s="5">
        <v>554.58600000000001</v>
      </c>
      <c r="L656" s="5">
        <v>749.51599999999996</v>
      </c>
      <c r="M656" s="5">
        <v>490.47</v>
      </c>
      <c r="N656" s="5">
        <v>444.22800000000001</v>
      </c>
      <c r="O656" s="5">
        <v>377.43400000000003</v>
      </c>
      <c r="P656" s="5">
        <v>321.10399999999998</v>
      </c>
      <c r="Q656" s="5">
        <v>294.68700000000001</v>
      </c>
      <c r="R656" s="5">
        <v>239.54400000000001</v>
      </c>
      <c r="S656" s="5">
        <v>232.46199999999999</v>
      </c>
      <c r="T656" s="5">
        <v>219.90899999999999</v>
      </c>
      <c r="U656" s="5">
        <v>166.34100000000001</v>
      </c>
      <c r="V656" s="5">
        <v>186.197</v>
      </c>
      <c r="W656" s="5">
        <v>266.7</v>
      </c>
      <c r="X656" s="5">
        <v>227.95099999999999</v>
      </c>
      <c r="Y656" s="5">
        <v>193.47800000000001</v>
      </c>
      <c r="Z656" s="5">
        <v>412.03199999999998</v>
      </c>
      <c r="AA656" s="5">
        <v>442.529</v>
      </c>
      <c r="AB656" s="5">
        <v>421.279</v>
      </c>
      <c r="AC656" s="5">
        <v>329.51799999999997</v>
      </c>
      <c r="AD656" s="5">
        <v>214.518</v>
      </c>
      <c r="AE656" s="5">
        <v>188.39699999999999</v>
      </c>
      <c r="AF656" s="5">
        <v>225.58600000000001</v>
      </c>
      <c r="AG656" s="5">
        <v>226.54400000000001</v>
      </c>
      <c r="AH656" s="5">
        <v>232.28399999999999</v>
      </c>
      <c r="AI656" s="5">
        <v>298.101</v>
      </c>
      <c r="AJ656" s="5">
        <v>468.16300000000001</v>
      </c>
      <c r="AK656" s="5">
        <v>421.77499999999998</v>
      </c>
      <c r="AL656" s="5">
        <v>249.108</v>
      </c>
      <c r="AM656" s="5">
        <v>240.16</v>
      </c>
      <c r="AN656" s="5">
        <v>420.43</v>
      </c>
      <c r="AO656" s="5">
        <v>238.398</v>
      </c>
      <c r="AP656" s="5">
        <v>496.62599999999998</v>
      </c>
      <c r="AQ656" s="5">
        <v>248.054</v>
      </c>
      <c r="AR656" s="5">
        <v>147.16300000000001</v>
      </c>
      <c r="AS656" s="5">
        <v>25.116</v>
      </c>
      <c r="AT656" s="5">
        <v>25.116</v>
      </c>
    </row>
    <row r="657" spans="1:46" x14ac:dyDescent="0.25">
      <c r="A657" s="4" t="s">
        <v>206</v>
      </c>
      <c r="B657" s="4" t="s">
        <v>207</v>
      </c>
      <c r="C657" s="4" t="s">
        <v>246</v>
      </c>
      <c r="D657" s="4" t="s">
        <v>263</v>
      </c>
      <c r="E657" s="4" t="s">
        <v>248</v>
      </c>
      <c r="F657" s="4" t="s">
        <v>195</v>
      </c>
      <c r="G657" s="4" t="s">
        <v>264</v>
      </c>
      <c r="H657" s="4" t="s">
        <v>205</v>
      </c>
      <c r="I657" s="6">
        <v>117479.24</v>
      </c>
      <c r="J657" s="6">
        <v>157708.67000000001</v>
      </c>
      <c r="K657" s="6">
        <v>219109.82699999999</v>
      </c>
      <c r="L657" s="6">
        <v>286383.46399999998</v>
      </c>
      <c r="M657" s="6">
        <v>201656.53099999999</v>
      </c>
      <c r="N657" s="6">
        <v>183673.071</v>
      </c>
      <c r="O657" s="6">
        <v>160483.05499999999</v>
      </c>
      <c r="P657" s="6">
        <v>131879.75200000001</v>
      </c>
      <c r="Q657" s="6">
        <v>119698.031</v>
      </c>
      <c r="R657" s="6">
        <v>102461.965</v>
      </c>
      <c r="S657" s="6">
        <v>100538.185</v>
      </c>
      <c r="T657" s="6">
        <v>100886.8</v>
      </c>
      <c r="U657" s="6">
        <v>75841.225999999995</v>
      </c>
      <c r="V657" s="6">
        <v>81103.115000000005</v>
      </c>
      <c r="W657" s="6">
        <v>126913.363</v>
      </c>
      <c r="X657" s="6">
        <v>116679.38800000001</v>
      </c>
      <c r="Y657" s="6">
        <v>88213.34</v>
      </c>
      <c r="Z657" s="6">
        <v>212666.12899999999</v>
      </c>
      <c r="AA657" s="6">
        <v>218474.853</v>
      </c>
      <c r="AB657" s="6">
        <v>207594.20699999999</v>
      </c>
      <c r="AC657" s="6">
        <v>161046.75899999999</v>
      </c>
      <c r="AD657" s="6">
        <v>91171.667000000001</v>
      </c>
      <c r="AE657" s="6">
        <v>85897.532999999996</v>
      </c>
      <c r="AF657" s="6">
        <v>114360.492</v>
      </c>
      <c r="AG657" s="6">
        <v>115033.639</v>
      </c>
      <c r="AH657" s="6">
        <v>102474.38499999999</v>
      </c>
      <c r="AI657" s="6">
        <v>148307.85699999999</v>
      </c>
      <c r="AJ657" s="6">
        <v>210704.71400000001</v>
      </c>
      <c r="AK657" s="6">
        <v>194745.70300000001</v>
      </c>
      <c r="AL657" s="6">
        <v>112784.912</v>
      </c>
      <c r="AM657" s="6">
        <v>109362.037</v>
      </c>
      <c r="AN657" s="6">
        <v>168407.70600000001</v>
      </c>
      <c r="AO657" s="6">
        <v>112360.906</v>
      </c>
      <c r="AP657" s="6">
        <v>217627.66099999999</v>
      </c>
      <c r="AQ657" s="6">
        <v>100229.565</v>
      </c>
      <c r="AR657" s="6">
        <v>58903.158000000003</v>
      </c>
      <c r="AS657" s="6">
        <v>7418.9780000000001</v>
      </c>
      <c r="AT657" s="6">
        <v>7418.9780000000001</v>
      </c>
    </row>
    <row r="658" spans="1:46" x14ac:dyDescent="0.25">
      <c r="A658" s="4" t="s">
        <v>206</v>
      </c>
      <c r="B658" s="4" t="s">
        <v>207</v>
      </c>
      <c r="C658" s="4" t="s">
        <v>246</v>
      </c>
      <c r="D658" s="4" t="s">
        <v>263</v>
      </c>
      <c r="E658" s="4" t="s">
        <v>248</v>
      </c>
      <c r="F658" s="4" t="s">
        <v>195</v>
      </c>
      <c r="G658" s="4" t="s">
        <v>264</v>
      </c>
      <c r="H658" s="4" t="s">
        <v>249</v>
      </c>
      <c r="I658" s="7">
        <v>0.11700000000000001</v>
      </c>
      <c r="J658" s="7">
        <v>0.106</v>
      </c>
      <c r="K658" s="7">
        <v>0.121</v>
      </c>
      <c r="L658" s="7">
        <v>0.125</v>
      </c>
      <c r="M658" s="7">
        <v>6.2E-2</v>
      </c>
      <c r="N658" s="7">
        <v>5.7000000000000002E-2</v>
      </c>
      <c r="O658" s="7">
        <v>5.3999999999999999E-2</v>
      </c>
      <c r="P658" s="7">
        <v>6.4000000000000001E-2</v>
      </c>
      <c r="Q658" s="7">
        <v>8.5999999999999993E-2</v>
      </c>
      <c r="R658" s="7">
        <v>0.108</v>
      </c>
      <c r="S658" s="7">
        <v>0.125</v>
      </c>
      <c r="T658" s="7">
        <v>0.123</v>
      </c>
      <c r="U658" s="7">
        <v>8.3000000000000004E-2</v>
      </c>
      <c r="V658" s="7">
        <v>6.9000000000000006E-2</v>
      </c>
      <c r="W658" s="7">
        <v>6.4000000000000001E-2</v>
      </c>
      <c r="X658" s="7">
        <v>3.9E-2</v>
      </c>
      <c r="Y658" s="7">
        <v>2.8000000000000001E-2</v>
      </c>
      <c r="Z658" s="7">
        <v>6.4000000000000001E-2</v>
      </c>
      <c r="AA658" s="7">
        <v>6.6000000000000003E-2</v>
      </c>
      <c r="AB658" s="7">
        <v>8.3000000000000004E-2</v>
      </c>
      <c r="AC658" s="7">
        <v>8.4000000000000005E-2</v>
      </c>
      <c r="AD658" s="7">
        <v>7.3999999999999996E-2</v>
      </c>
      <c r="AE658" s="7">
        <v>8.2000000000000003E-2</v>
      </c>
      <c r="AF658" s="7">
        <v>0.109</v>
      </c>
      <c r="AG658" s="7">
        <v>0.10299999999999999</v>
      </c>
      <c r="AH658" s="7">
        <v>0.08</v>
      </c>
      <c r="AI658" s="7">
        <v>7.5999999999999998E-2</v>
      </c>
      <c r="AJ658" s="7">
        <v>0.08</v>
      </c>
      <c r="AK658" s="7">
        <v>5.6000000000000001E-2</v>
      </c>
      <c r="AL658" s="7">
        <v>3.4000000000000002E-2</v>
      </c>
      <c r="AM658" s="7">
        <v>2.8000000000000001E-2</v>
      </c>
      <c r="AN658" s="7">
        <v>0.05</v>
      </c>
      <c r="AO658" s="7">
        <v>4.3999999999999997E-2</v>
      </c>
      <c r="AP658" s="7">
        <v>0.128</v>
      </c>
      <c r="AQ658" s="7">
        <v>8.5999999999999993E-2</v>
      </c>
      <c r="AR658" s="7">
        <v>7.2999999999999995E-2</v>
      </c>
      <c r="AS658" s="7">
        <v>1.4999999999999999E-2</v>
      </c>
      <c r="AT658" s="7">
        <v>3.0000000000000001E-3</v>
      </c>
    </row>
    <row r="659" spans="1:46" x14ac:dyDescent="0.25">
      <c r="A659" s="4" t="s">
        <v>206</v>
      </c>
      <c r="B659" s="4" t="s">
        <v>207</v>
      </c>
      <c r="C659" s="4" t="s">
        <v>246</v>
      </c>
      <c r="D659" s="4" t="s">
        <v>263</v>
      </c>
      <c r="E659" s="4" t="s">
        <v>248</v>
      </c>
      <c r="F659" s="4" t="s">
        <v>195</v>
      </c>
      <c r="G659" s="4" t="s">
        <v>264</v>
      </c>
      <c r="H659" s="4" t="s">
        <v>250</v>
      </c>
      <c r="I659" s="7">
        <v>8.1969999999999992</v>
      </c>
      <c r="J659" s="7">
        <v>7.7539999999999996</v>
      </c>
      <c r="K659" s="7">
        <v>6.4009999999999998</v>
      </c>
      <c r="L659" s="7">
        <v>6.1879999999999997</v>
      </c>
      <c r="M659" s="7">
        <v>4.7069999999999999</v>
      </c>
      <c r="N659" s="7">
        <v>4.665</v>
      </c>
      <c r="O659" s="7">
        <v>4.125</v>
      </c>
      <c r="P659" s="7">
        <v>4.3259999999999996</v>
      </c>
      <c r="Q659" s="7">
        <v>5.3659999999999997</v>
      </c>
      <c r="R659" s="7">
        <v>6.2619999999999996</v>
      </c>
      <c r="S659" s="7">
        <v>6.827</v>
      </c>
      <c r="T659" s="7">
        <v>6.3040000000000003</v>
      </c>
      <c r="U659" s="7">
        <v>5.3440000000000003</v>
      </c>
      <c r="V659" s="7">
        <v>4.1609999999999996</v>
      </c>
      <c r="W659" s="7">
        <v>3.3559999999999999</v>
      </c>
      <c r="X659" s="7">
        <v>2.9710000000000001</v>
      </c>
      <c r="Y659" s="7">
        <v>2.2730000000000001</v>
      </c>
      <c r="Z659" s="7">
        <v>3.18</v>
      </c>
      <c r="AA659" s="7">
        <v>3.415</v>
      </c>
      <c r="AB659" s="7">
        <v>3.504</v>
      </c>
      <c r="AC659" s="7">
        <v>4.1829999999999998</v>
      </c>
      <c r="AD659" s="7">
        <v>4.25</v>
      </c>
      <c r="AE659" s="7">
        <v>5.016</v>
      </c>
      <c r="AF659" s="7">
        <v>5.1289999999999996</v>
      </c>
      <c r="AG659" s="7">
        <v>4.03</v>
      </c>
      <c r="AH659" s="7">
        <v>3.7269999999999999</v>
      </c>
      <c r="AI659" s="7">
        <v>2.9020000000000001</v>
      </c>
      <c r="AJ659" s="7">
        <v>2.452</v>
      </c>
      <c r="AK659" s="7">
        <v>2.0609999999999999</v>
      </c>
      <c r="AL659" s="7">
        <v>2.4220000000000002</v>
      </c>
      <c r="AM659" s="7">
        <v>1.9470000000000001</v>
      </c>
      <c r="AN659" s="7">
        <v>2.2930000000000001</v>
      </c>
      <c r="AO659" s="7">
        <v>3.1480000000000001</v>
      </c>
      <c r="AP659" s="7">
        <v>4.2709999999999999</v>
      </c>
      <c r="AQ659" s="7">
        <v>3.6739999999999999</v>
      </c>
      <c r="AR659" s="7">
        <v>3.8439999999999999</v>
      </c>
      <c r="AS659" s="7">
        <v>1.1659999999999999</v>
      </c>
      <c r="AT659" s="5">
        <v>323.29300000000001</v>
      </c>
    </row>
    <row r="660" spans="1:46" x14ac:dyDescent="0.25">
      <c r="A660" s="4" t="s">
        <v>206</v>
      </c>
      <c r="B660" s="4" t="s">
        <v>207</v>
      </c>
      <c r="C660" s="4" t="s">
        <v>246</v>
      </c>
      <c r="D660" s="4" t="s">
        <v>263</v>
      </c>
      <c r="E660" s="4" t="s">
        <v>248</v>
      </c>
      <c r="F660" s="4" t="s">
        <v>195</v>
      </c>
      <c r="G660" s="4" t="s">
        <v>264</v>
      </c>
      <c r="H660" s="4" t="s">
        <v>251</v>
      </c>
      <c r="I660" s="7">
        <v>1.3881657000000001</v>
      </c>
      <c r="J660" s="7">
        <v>1.6227279999999999</v>
      </c>
      <c r="K660" s="7">
        <v>1.7356235</v>
      </c>
      <c r="L660" s="7">
        <v>1.5741257</v>
      </c>
      <c r="M660" s="7">
        <v>1.4847931000000001</v>
      </c>
      <c r="N660" s="7">
        <v>1.238216</v>
      </c>
      <c r="O660" s="7">
        <v>1.2597913000000001</v>
      </c>
      <c r="P660" s="7">
        <v>1.2461679000000001</v>
      </c>
      <c r="Q660" s="7">
        <v>1.1817070000000001</v>
      </c>
      <c r="R660" s="7">
        <v>1.0566310000000001</v>
      </c>
      <c r="S660" s="7">
        <v>0.95784930000000001</v>
      </c>
      <c r="T660" s="7">
        <v>0.92618389999999995</v>
      </c>
      <c r="U660" s="7">
        <v>0.81231359999999997</v>
      </c>
      <c r="V660" s="7">
        <v>0.8121834</v>
      </c>
      <c r="W660" s="7">
        <v>0.83826040000000002</v>
      </c>
      <c r="X660" s="7">
        <v>0.82927720000000005</v>
      </c>
      <c r="Y660" s="7">
        <v>0.71194919999999995</v>
      </c>
      <c r="Z660" s="7">
        <v>1.0055518000000001</v>
      </c>
      <c r="AA660" s="7">
        <v>0.9476019</v>
      </c>
      <c r="AB660" s="7">
        <v>0.79293800000000003</v>
      </c>
      <c r="AC660" s="7">
        <v>0.94572100000000003</v>
      </c>
      <c r="AD660" s="7">
        <v>0.75251679999999999</v>
      </c>
      <c r="AE660" s="7">
        <v>0.61621309999999996</v>
      </c>
      <c r="AF660" s="7">
        <v>0.60355250000000005</v>
      </c>
      <c r="AG660" s="7">
        <v>0.61594130000000002</v>
      </c>
      <c r="AH660" s="7">
        <v>0.68280079999999999</v>
      </c>
      <c r="AI660" s="7">
        <v>0.62796099999999999</v>
      </c>
      <c r="AJ660" s="7">
        <v>0.65216439999999998</v>
      </c>
      <c r="AK660" s="7">
        <v>0.61678759999999999</v>
      </c>
      <c r="AL660" s="7">
        <v>0.53031989999999996</v>
      </c>
      <c r="AM660" s="7">
        <v>0.44108530000000001</v>
      </c>
      <c r="AN660" s="7">
        <v>0.62026159999999997</v>
      </c>
      <c r="AO660" s="7">
        <v>0.62582289999999996</v>
      </c>
      <c r="AP660" s="7">
        <v>0.64702110000000002</v>
      </c>
      <c r="AQ660" s="7">
        <v>0.66668510000000003</v>
      </c>
      <c r="AR660" s="7">
        <v>0.64763230000000005</v>
      </c>
      <c r="AS660" s="7">
        <v>0.57894749999999995</v>
      </c>
      <c r="AT660" s="7">
        <v>1.1659999999999999</v>
      </c>
    </row>
    <row r="661" spans="1:46" x14ac:dyDescent="0.25">
      <c r="A661" s="4" t="s">
        <v>206</v>
      </c>
      <c r="B661" s="4" t="s">
        <v>207</v>
      </c>
      <c r="C661" s="4" t="s">
        <v>246</v>
      </c>
      <c r="D661" s="4" t="s">
        <v>263</v>
      </c>
      <c r="E661" s="4" t="s">
        <v>248</v>
      </c>
      <c r="F661" s="4" t="s">
        <v>195</v>
      </c>
      <c r="G661" s="4" t="s">
        <v>264</v>
      </c>
      <c r="H661" s="4" t="s">
        <v>252</v>
      </c>
      <c r="I661" s="16">
        <v>0.17399999999999999</v>
      </c>
      <c r="J661" s="16">
        <v>0.17899999999999999</v>
      </c>
      <c r="K661" s="16">
        <v>0.16800000000000001</v>
      </c>
      <c r="L661" s="16">
        <v>0.14000000000000001</v>
      </c>
      <c r="M661" s="16">
        <v>0.13300000000000001</v>
      </c>
      <c r="N661" s="16">
        <v>0.11799999999999999</v>
      </c>
      <c r="O661" s="16">
        <v>0.115</v>
      </c>
      <c r="P661" s="16">
        <v>0.11799999999999999</v>
      </c>
      <c r="Q661" s="16">
        <v>0.105</v>
      </c>
      <c r="R661" s="16">
        <v>0.104</v>
      </c>
      <c r="S661" s="16">
        <v>0.1</v>
      </c>
      <c r="T661" s="16">
        <v>9.9000000000000005E-2</v>
      </c>
      <c r="U661" s="16">
        <v>9.9000000000000005E-2</v>
      </c>
      <c r="V661" s="16">
        <v>9.2999999999999999E-2</v>
      </c>
      <c r="W661" s="16">
        <v>7.9000000000000001E-2</v>
      </c>
      <c r="X661" s="16">
        <v>7.3999999999999996E-2</v>
      </c>
      <c r="Y661" s="16">
        <v>7.3999999999999996E-2</v>
      </c>
      <c r="Z661" s="16">
        <v>9.8000000000000004E-2</v>
      </c>
      <c r="AA661" s="16">
        <v>7.0999999999999994E-2</v>
      </c>
      <c r="AB661" s="16">
        <v>9.8000000000000004E-2</v>
      </c>
      <c r="AC661" s="16">
        <v>9.2999999999999999E-2</v>
      </c>
      <c r="AD661" s="16">
        <v>8.4000000000000005E-2</v>
      </c>
      <c r="AE661" s="16">
        <v>8.6999999999999994E-2</v>
      </c>
      <c r="AF661" s="16">
        <v>8.5000000000000006E-2</v>
      </c>
      <c r="AG661" s="16">
        <v>9.0999999999999998E-2</v>
      </c>
      <c r="AH661" s="16">
        <v>0.10100000000000001</v>
      </c>
      <c r="AI661" s="16">
        <v>7.3999999999999996E-2</v>
      </c>
      <c r="AJ661" s="16">
        <v>7.9000000000000001E-2</v>
      </c>
      <c r="AK661" s="16">
        <v>7.0000000000000007E-2</v>
      </c>
      <c r="AL661" s="16">
        <v>7.6999999999999999E-2</v>
      </c>
      <c r="AM661" s="16">
        <v>7.9000000000000001E-2</v>
      </c>
      <c r="AN661" s="16">
        <v>8.1000000000000003E-2</v>
      </c>
      <c r="AO661" s="16">
        <v>8.6999999999999994E-2</v>
      </c>
      <c r="AP661" s="16">
        <v>8.5999999999999993E-2</v>
      </c>
      <c r="AQ661" s="16">
        <v>8.1000000000000003E-2</v>
      </c>
      <c r="AR661" s="16">
        <v>7.1999999999999995E-2</v>
      </c>
      <c r="AS661" s="16">
        <v>6.4000000000000001E-2</v>
      </c>
      <c r="AT661" s="7">
        <v>0.57894749999999995</v>
      </c>
    </row>
    <row r="662" spans="1:46" x14ac:dyDescent="0.25">
      <c r="A662" s="4" t="s">
        <v>206</v>
      </c>
      <c r="B662" s="4" t="s">
        <v>207</v>
      </c>
      <c r="C662" s="4" t="s">
        <v>246</v>
      </c>
      <c r="D662" s="4" t="s">
        <v>263</v>
      </c>
      <c r="E662" s="4" t="s">
        <v>248</v>
      </c>
      <c r="F662" s="4" t="s">
        <v>195</v>
      </c>
      <c r="G662" s="4" t="s">
        <v>71</v>
      </c>
      <c r="H662" s="4" t="s">
        <v>151</v>
      </c>
      <c r="I662" s="5">
        <v>3538.4340000000002</v>
      </c>
      <c r="J662" s="5">
        <v>6252.7349999999997</v>
      </c>
      <c r="K662" s="5">
        <v>10477.066999999999</v>
      </c>
      <c r="L662" s="5">
        <v>17449.109</v>
      </c>
      <c r="M662" s="5">
        <v>34754.491999999998</v>
      </c>
      <c r="N662" s="5">
        <v>32986.642999999996</v>
      </c>
      <c r="O662" s="5">
        <v>26115.269</v>
      </c>
      <c r="P662" s="5">
        <v>19100.282999999999</v>
      </c>
      <c r="Q662" s="5">
        <v>8971.2440000000006</v>
      </c>
      <c r="R662" s="5">
        <v>3662.7570000000001</v>
      </c>
      <c r="S662" s="5">
        <v>3586.3049999999998</v>
      </c>
      <c r="T662" s="5">
        <v>3573.7510000000002</v>
      </c>
      <c r="U662" s="5">
        <v>2863.9859999999999</v>
      </c>
      <c r="V662" s="5">
        <v>3677.6709999999998</v>
      </c>
      <c r="W662" s="5">
        <v>15494.225</v>
      </c>
      <c r="X662" s="5">
        <v>19945.909</v>
      </c>
      <c r="Y662" s="5">
        <v>25880.155999999999</v>
      </c>
      <c r="Z662" s="5">
        <v>30379.688999999998</v>
      </c>
      <c r="AA662" s="5">
        <v>25668.246999999999</v>
      </c>
      <c r="AB662" s="5">
        <v>15185.704</v>
      </c>
      <c r="AC662" s="5">
        <v>11120.03</v>
      </c>
      <c r="AD662" s="5">
        <v>5274.3490000000002</v>
      </c>
      <c r="AE662" s="5">
        <v>3994.913</v>
      </c>
      <c r="AF662" s="5">
        <v>2836.2139999999999</v>
      </c>
      <c r="AG662" s="5">
        <v>2972.49</v>
      </c>
      <c r="AH662" s="5">
        <v>5959.8149999999996</v>
      </c>
      <c r="AI662" s="5">
        <v>8948.0619999999999</v>
      </c>
      <c r="AJ662" s="5">
        <v>20725.829000000002</v>
      </c>
      <c r="AK662" s="5">
        <v>32036.812000000002</v>
      </c>
      <c r="AL662" s="5">
        <v>28942.977999999999</v>
      </c>
      <c r="AM662" s="5">
        <v>31343.545999999998</v>
      </c>
      <c r="AN662" s="5">
        <v>35778.675000000003</v>
      </c>
      <c r="AO662" s="5">
        <v>15077.271000000001</v>
      </c>
      <c r="AP662" s="5">
        <v>11915.401</v>
      </c>
      <c r="AQ662" s="5">
        <v>5298.4859999999999</v>
      </c>
      <c r="AR662" s="5">
        <v>3014.0650000000001</v>
      </c>
      <c r="AS662" s="5">
        <v>2717.3910000000001</v>
      </c>
      <c r="AT662" s="5">
        <v>30264.921999999999</v>
      </c>
    </row>
    <row r="663" spans="1:46" x14ac:dyDescent="0.25">
      <c r="A663" s="4" t="s">
        <v>206</v>
      </c>
      <c r="B663" s="4" t="s">
        <v>207</v>
      </c>
      <c r="C663" s="4" t="s">
        <v>246</v>
      </c>
      <c r="D663" s="4" t="s">
        <v>263</v>
      </c>
      <c r="E663" s="4" t="s">
        <v>248</v>
      </c>
      <c r="F663" s="4" t="s">
        <v>195</v>
      </c>
      <c r="G663" s="4" t="s">
        <v>71</v>
      </c>
      <c r="H663" s="4" t="s">
        <v>205</v>
      </c>
      <c r="I663" s="6">
        <v>379503.65500000003</v>
      </c>
      <c r="J663" s="6">
        <v>673970.71600000001</v>
      </c>
      <c r="K663" s="6">
        <v>1135389.375</v>
      </c>
      <c r="L663" s="6">
        <v>1934292.8640000001</v>
      </c>
      <c r="M663" s="6">
        <v>3493848.1269999999</v>
      </c>
      <c r="N663" s="6">
        <v>2898799.952</v>
      </c>
      <c r="O663" s="6">
        <v>2307008.3590000002</v>
      </c>
      <c r="P663" s="6">
        <v>1402433.588</v>
      </c>
      <c r="Q663" s="6">
        <v>741249.13100000005</v>
      </c>
      <c r="R663" s="6">
        <v>400527.30300000001</v>
      </c>
      <c r="S663" s="6">
        <v>310527.73599999998</v>
      </c>
      <c r="T663" s="6">
        <v>331889.761</v>
      </c>
      <c r="U663" s="6">
        <v>247286.698</v>
      </c>
      <c r="V663" s="6">
        <v>367309.478</v>
      </c>
      <c r="W663" s="6">
        <v>1218774.145</v>
      </c>
      <c r="X663" s="6">
        <v>2250958.3190000001</v>
      </c>
      <c r="Y663" s="6">
        <v>2893855.13</v>
      </c>
      <c r="Z663" s="6">
        <v>3093300.446</v>
      </c>
      <c r="AA663" s="6">
        <v>2790036.432</v>
      </c>
      <c r="AB663" s="6">
        <v>1775824.925</v>
      </c>
      <c r="AC663" s="6">
        <v>1304398.9450000001</v>
      </c>
      <c r="AD663" s="6">
        <v>638584.429</v>
      </c>
      <c r="AE663" s="6">
        <v>470210.98499999999</v>
      </c>
      <c r="AF663" s="6">
        <v>362816.26400000002</v>
      </c>
      <c r="AG663" s="6">
        <v>382354.78700000001</v>
      </c>
      <c r="AH663" s="6">
        <v>792406.43400000001</v>
      </c>
      <c r="AI663" s="6">
        <v>1188137.2949999999</v>
      </c>
      <c r="AJ663" s="6">
        <v>2891766.503</v>
      </c>
      <c r="AK663" s="6">
        <v>4567765.4539999999</v>
      </c>
      <c r="AL663" s="6">
        <v>4117446.1630000002</v>
      </c>
      <c r="AM663" s="6">
        <v>4566400.426</v>
      </c>
      <c r="AN663" s="6">
        <v>5314174.2369999997</v>
      </c>
      <c r="AO663" s="6">
        <v>2116438.659</v>
      </c>
      <c r="AP663" s="6">
        <v>1473425.5970000001</v>
      </c>
      <c r="AQ663" s="6">
        <v>684765.68500000006</v>
      </c>
      <c r="AR663" s="6">
        <v>398401.929</v>
      </c>
      <c r="AS663" s="6">
        <v>387370.64799999999</v>
      </c>
      <c r="AT663" s="6">
        <v>387370.64799999999</v>
      </c>
    </row>
    <row r="664" spans="1:46" x14ac:dyDescent="0.25">
      <c r="A664" s="4" t="s">
        <v>206</v>
      </c>
      <c r="B664" s="4" t="s">
        <v>207</v>
      </c>
      <c r="C664" s="4" t="s">
        <v>246</v>
      </c>
      <c r="D664" s="4" t="s">
        <v>263</v>
      </c>
      <c r="E664" s="4" t="s">
        <v>248</v>
      </c>
      <c r="F664" s="4" t="s">
        <v>195</v>
      </c>
      <c r="G664" s="4" t="s">
        <v>71</v>
      </c>
      <c r="H664" s="4" t="s">
        <v>249</v>
      </c>
      <c r="I664" s="7">
        <v>6.3E-2</v>
      </c>
      <c r="J664" s="7">
        <v>7.6999999999999999E-2</v>
      </c>
      <c r="K664" s="7">
        <v>9.0999999999999998E-2</v>
      </c>
      <c r="L664" s="7">
        <v>0.11799999999999999</v>
      </c>
      <c r="M664" s="7">
        <v>0.158</v>
      </c>
      <c r="N664" s="7">
        <v>0.13400000000000001</v>
      </c>
      <c r="O664" s="7">
        <v>0.12</v>
      </c>
      <c r="P664" s="7">
        <v>0.106</v>
      </c>
      <c r="Q664" s="7">
        <v>7.6999999999999999E-2</v>
      </c>
      <c r="R664" s="7">
        <v>6.2E-2</v>
      </c>
      <c r="S664" s="7">
        <v>5.8999999999999997E-2</v>
      </c>
      <c r="T664" s="7">
        <v>6.6000000000000003E-2</v>
      </c>
      <c r="U664" s="7">
        <v>4.4999999999999998E-2</v>
      </c>
      <c r="V664" s="7">
        <v>4.7E-2</v>
      </c>
      <c r="W664" s="7">
        <v>0.104</v>
      </c>
      <c r="X664" s="7">
        <v>0.123</v>
      </c>
      <c r="Y664" s="7">
        <v>0.13400000000000001</v>
      </c>
      <c r="Z664" s="7">
        <v>0.154</v>
      </c>
      <c r="AA664" s="7">
        <v>0.128</v>
      </c>
      <c r="AB664" s="7">
        <v>0.10199999999999999</v>
      </c>
      <c r="AC664" s="7">
        <v>9.6000000000000002E-2</v>
      </c>
      <c r="AD664" s="7">
        <v>6.2E-2</v>
      </c>
      <c r="AE664" s="7">
        <v>5.8000000000000003E-2</v>
      </c>
      <c r="AF664" s="7">
        <v>5.0999999999999997E-2</v>
      </c>
      <c r="AG664" s="7">
        <v>4.9000000000000002E-2</v>
      </c>
      <c r="AH664" s="7">
        <v>7.5999999999999998E-2</v>
      </c>
      <c r="AI664" s="7">
        <v>8.6999999999999994E-2</v>
      </c>
      <c r="AJ664" s="7">
        <v>0.13600000000000001</v>
      </c>
      <c r="AK664" s="7">
        <v>0.16500000000000001</v>
      </c>
      <c r="AL664" s="7">
        <v>0.152</v>
      </c>
      <c r="AM664" s="7">
        <v>0.14399999999999999</v>
      </c>
      <c r="AN664" s="7">
        <v>0.16700000000000001</v>
      </c>
      <c r="AO664" s="7">
        <v>0.105</v>
      </c>
      <c r="AP664" s="7">
        <v>0.11600000000000001</v>
      </c>
      <c r="AQ664" s="7">
        <v>7.0999999999999994E-2</v>
      </c>
      <c r="AR664" s="7">
        <v>5.8000000000000003E-2</v>
      </c>
      <c r="AS664" s="7">
        <v>6.3E-2</v>
      </c>
      <c r="AT664" s="7">
        <v>3.43</v>
      </c>
    </row>
    <row r="665" spans="1:46" x14ac:dyDescent="0.25">
      <c r="A665" s="4" t="s">
        <v>206</v>
      </c>
      <c r="B665" s="4" t="s">
        <v>207</v>
      </c>
      <c r="C665" s="4" t="s">
        <v>246</v>
      </c>
      <c r="D665" s="4" t="s">
        <v>263</v>
      </c>
      <c r="E665" s="4" t="s">
        <v>248</v>
      </c>
      <c r="F665" s="4" t="s">
        <v>195</v>
      </c>
      <c r="G665" s="4" t="s">
        <v>71</v>
      </c>
      <c r="H665" s="4" t="s">
        <v>250</v>
      </c>
      <c r="I665" s="7">
        <v>42.456000000000003</v>
      </c>
      <c r="J665" s="7">
        <v>56.563000000000002</v>
      </c>
      <c r="K665" s="7">
        <v>66.209999999999994</v>
      </c>
      <c r="L665" s="7">
        <v>68.302000000000007</v>
      </c>
      <c r="M665" s="7">
        <v>72.968000000000004</v>
      </c>
      <c r="N665" s="7">
        <v>67.947999999999993</v>
      </c>
      <c r="O665" s="7">
        <v>65.036000000000001</v>
      </c>
      <c r="P665" s="7">
        <v>61.514000000000003</v>
      </c>
      <c r="Q665" s="7">
        <v>53.042000000000002</v>
      </c>
      <c r="R665" s="7">
        <v>40.719000000000001</v>
      </c>
      <c r="S665" s="7">
        <v>39.173000000000002</v>
      </c>
      <c r="T665" s="7">
        <v>41.344000000000001</v>
      </c>
      <c r="U665" s="7">
        <v>44.917000000000002</v>
      </c>
      <c r="V665" s="7">
        <v>53.676000000000002</v>
      </c>
      <c r="W665" s="7">
        <v>65.119</v>
      </c>
      <c r="X665" s="7">
        <v>68.438000000000002</v>
      </c>
      <c r="Y665" s="7">
        <v>69.546000000000006</v>
      </c>
      <c r="Z665" s="7">
        <v>70.736000000000004</v>
      </c>
      <c r="AA665" s="7">
        <v>65.593999999999994</v>
      </c>
      <c r="AB665" s="7">
        <v>56.847999999999999</v>
      </c>
      <c r="AC665" s="7">
        <v>50.994999999999997</v>
      </c>
      <c r="AD665" s="7">
        <v>40.613999999999997</v>
      </c>
      <c r="AE665" s="7">
        <v>35.948999999999998</v>
      </c>
      <c r="AF665" s="7">
        <v>33.695999999999998</v>
      </c>
      <c r="AG665" s="7">
        <v>34.688000000000002</v>
      </c>
      <c r="AH665" s="7">
        <v>49.643999999999998</v>
      </c>
      <c r="AI665" s="7">
        <v>57.667999999999999</v>
      </c>
      <c r="AJ665" s="7">
        <v>66.194000000000003</v>
      </c>
      <c r="AK665" s="7">
        <v>72.575000000000003</v>
      </c>
      <c r="AL665" s="7">
        <v>66.525999999999996</v>
      </c>
      <c r="AM665" s="7">
        <v>65.289000000000001</v>
      </c>
      <c r="AN665" s="7">
        <v>66.885000000000005</v>
      </c>
      <c r="AO665" s="7">
        <v>50.981999999999999</v>
      </c>
      <c r="AP665" s="7">
        <v>38.954999999999998</v>
      </c>
      <c r="AQ665" s="7">
        <v>30.33</v>
      </c>
      <c r="AR665" s="7">
        <v>30.745000000000001</v>
      </c>
      <c r="AS665" s="7">
        <v>40.89</v>
      </c>
      <c r="AT665" s="5">
        <v>125246.016</v>
      </c>
    </row>
    <row r="666" spans="1:46" x14ac:dyDescent="0.25">
      <c r="A666" s="4" t="s">
        <v>206</v>
      </c>
      <c r="B666" s="4" t="s">
        <v>207</v>
      </c>
      <c r="C666" s="4" t="s">
        <v>246</v>
      </c>
      <c r="D666" s="4" t="s">
        <v>263</v>
      </c>
      <c r="E666" s="4" t="s">
        <v>248</v>
      </c>
      <c r="F666" s="4" t="s">
        <v>195</v>
      </c>
      <c r="G666" s="4" t="s">
        <v>71</v>
      </c>
      <c r="H666" s="4" t="s">
        <v>251</v>
      </c>
      <c r="I666" s="7">
        <v>13.046724899999999</v>
      </c>
      <c r="J666" s="7">
        <v>13.843423100000001</v>
      </c>
      <c r="K666" s="7">
        <v>14.4259217</v>
      </c>
      <c r="L666" s="7">
        <v>15.303353700000001</v>
      </c>
      <c r="M666" s="7">
        <v>16.486386199999998</v>
      </c>
      <c r="N666" s="7">
        <v>15.9521332</v>
      </c>
      <c r="O666" s="7">
        <v>16.0942492</v>
      </c>
      <c r="P666" s="7">
        <v>16.523760299999999</v>
      </c>
      <c r="Q666" s="7">
        <v>14.855296299999999</v>
      </c>
      <c r="R666" s="7">
        <v>13.8423143</v>
      </c>
      <c r="S666" s="7">
        <v>13.667350799999999</v>
      </c>
      <c r="T666" s="7">
        <v>13.5386486</v>
      </c>
      <c r="U666" s="7">
        <v>13.382622</v>
      </c>
      <c r="V666" s="7">
        <v>13.780348999999999</v>
      </c>
      <c r="W666" s="7">
        <v>15.429035900000001</v>
      </c>
      <c r="X666" s="7">
        <v>16.128658300000001</v>
      </c>
      <c r="Y666" s="7">
        <v>17.090501799999998</v>
      </c>
      <c r="Z666" s="7">
        <v>17.695767400000001</v>
      </c>
      <c r="AA666" s="7">
        <v>17.919537999999999</v>
      </c>
      <c r="AB666" s="7">
        <v>15.597349299999999</v>
      </c>
      <c r="AC666" s="7">
        <v>13.968511100000001</v>
      </c>
      <c r="AD666" s="7">
        <v>13.0303092</v>
      </c>
      <c r="AE666" s="7">
        <v>13.515875599999999</v>
      </c>
      <c r="AF666" s="7">
        <v>13.1920334</v>
      </c>
      <c r="AG666" s="7">
        <v>13.3394034</v>
      </c>
      <c r="AH666" s="7">
        <v>14.0604326</v>
      </c>
      <c r="AI666" s="7">
        <v>15.4281804</v>
      </c>
      <c r="AJ666" s="7">
        <v>16.176266999999999</v>
      </c>
      <c r="AK666" s="7">
        <v>17.995448499999998</v>
      </c>
      <c r="AL666" s="7">
        <v>17.726770900000002</v>
      </c>
      <c r="AM666" s="7">
        <v>18.141639300000001</v>
      </c>
      <c r="AN666" s="7">
        <v>16.656371700000001</v>
      </c>
      <c r="AO666" s="7">
        <v>14.614613800000001</v>
      </c>
      <c r="AP666" s="7">
        <v>13.104977399999999</v>
      </c>
      <c r="AQ666" s="7">
        <v>12.106897500000001</v>
      </c>
      <c r="AR666" s="7">
        <v>11.7014935</v>
      </c>
      <c r="AS666" s="7">
        <v>11.394367000000001</v>
      </c>
      <c r="AT666" s="7">
        <v>40.89</v>
      </c>
    </row>
    <row r="667" spans="1:46" x14ac:dyDescent="0.25">
      <c r="A667" s="4" t="s">
        <v>206</v>
      </c>
      <c r="B667" s="4" t="s">
        <v>207</v>
      </c>
      <c r="C667" s="4" t="s">
        <v>246</v>
      </c>
      <c r="D667" s="4" t="s">
        <v>263</v>
      </c>
      <c r="E667" s="4" t="s">
        <v>248</v>
      </c>
      <c r="F667" s="4" t="s">
        <v>195</v>
      </c>
      <c r="G667" s="4" t="s">
        <v>71</v>
      </c>
      <c r="H667" s="4" t="s">
        <v>252</v>
      </c>
      <c r="I667" s="16">
        <v>2.4830000000000001</v>
      </c>
      <c r="J667" s="16">
        <v>2.0009999999999999</v>
      </c>
      <c r="K667" s="16">
        <v>2.0219999999999998</v>
      </c>
      <c r="L667" s="16">
        <v>2.4239999999999999</v>
      </c>
      <c r="M667" s="16">
        <v>2.4209999999999998</v>
      </c>
      <c r="N667" s="16">
        <v>2.044</v>
      </c>
      <c r="O667" s="16">
        <v>2.0019999999999998</v>
      </c>
      <c r="P667" s="16">
        <v>2.4529999999999998</v>
      </c>
      <c r="Q667" s="16">
        <v>2.0339999999999998</v>
      </c>
      <c r="R667" s="16">
        <v>2.1720000000000002</v>
      </c>
      <c r="S667" s="16">
        <v>2.1480000000000001</v>
      </c>
      <c r="T667" s="16">
        <v>2.0590000000000002</v>
      </c>
      <c r="U667" s="16">
        <v>2.101</v>
      </c>
      <c r="V667" s="16">
        <v>1.887</v>
      </c>
      <c r="W667" s="16">
        <v>2.1139999999999999</v>
      </c>
      <c r="X667" s="16">
        <v>2.109</v>
      </c>
      <c r="Y667" s="16">
        <v>2.42</v>
      </c>
      <c r="Z667" s="16">
        <v>2.347</v>
      </c>
      <c r="AA667" s="16">
        <v>2.758</v>
      </c>
      <c r="AB667" s="16">
        <v>2.5590000000000002</v>
      </c>
      <c r="AC667" s="16">
        <v>2.5030000000000001</v>
      </c>
      <c r="AD667" s="16">
        <v>2.5009999999999999</v>
      </c>
      <c r="AE667" s="16">
        <v>2.4689999999999999</v>
      </c>
      <c r="AF667" s="16">
        <v>2.6890000000000001</v>
      </c>
      <c r="AG667" s="16">
        <v>2.65</v>
      </c>
      <c r="AH667" s="16">
        <v>3.0739999999999998</v>
      </c>
      <c r="AI667" s="16">
        <v>2.984</v>
      </c>
      <c r="AJ667" s="16">
        <v>2.4249999999999998</v>
      </c>
      <c r="AK667" s="16">
        <v>2.5449999999999999</v>
      </c>
      <c r="AL667" s="16">
        <v>2.754</v>
      </c>
      <c r="AM667" s="16">
        <v>2.6789999999999998</v>
      </c>
      <c r="AN667" s="16">
        <v>2.2170000000000001</v>
      </c>
      <c r="AO667" s="16">
        <v>2.0539999999999998</v>
      </c>
      <c r="AP667" s="16">
        <v>1.956</v>
      </c>
      <c r="AQ667" s="16">
        <v>1.879</v>
      </c>
      <c r="AR667" s="16">
        <v>1.8049999999999999</v>
      </c>
      <c r="AS667" s="16">
        <v>2.1360000000000001</v>
      </c>
      <c r="AT667" s="7">
        <v>11.394367000000001</v>
      </c>
    </row>
    <row r="668" spans="1:46" x14ac:dyDescent="0.25">
      <c r="A668" s="4" t="s">
        <v>206</v>
      </c>
      <c r="B668" s="4" t="s">
        <v>207</v>
      </c>
      <c r="C668" s="4" t="s">
        <v>246</v>
      </c>
      <c r="D668" s="4" t="s">
        <v>263</v>
      </c>
      <c r="E668" s="4" t="s">
        <v>248</v>
      </c>
      <c r="F668" s="4" t="s">
        <v>195</v>
      </c>
      <c r="G668" s="4" t="s">
        <v>76</v>
      </c>
      <c r="H668" s="4" t="s">
        <v>151</v>
      </c>
      <c r="I668" s="5">
        <v>1965.1479999999999</v>
      </c>
      <c r="J668" s="5">
        <v>5798.8370000000004</v>
      </c>
      <c r="K668" s="5">
        <v>9727.2070000000003</v>
      </c>
      <c r="L668" s="5">
        <v>12591.922</v>
      </c>
      <c r="M668" s="5">
        <v>17613.563999999998</v>
      </c>
      <c r="N668" s="5">
        <v>13495.796</v>
      </c>
      <c r="O668" s="5">
        <v>10361.316999999999</v>
      </c>
      <c r="P668" s="5">
        <v>5852.3469999999998</v>
      </c>
      <c r="Q668" s="5">
        <v>3129.3159999999998</v>
      </c>
      <c r="R668" s="5">
        <v>1430.9929999999999</v>
      </c>
      <c r="S668" s="5">
        <v>979.26</v>
      </c>
      <c r="T668" s="5">
        <v>1150.069</v>
      </c>
      <c r="U668" s="5">
        <v>2205.9209999999998</v>
      </c>
      <c r="V668" s="5">
        <v>4964.8149999999996</v>
      </c>
      <c r="W668" s="5">
        <v>13165.849</v>
      </c>
      <c r="X668" s="5">
        <v>19150.155999999999</v>
      </c>
      <c r="Y668" s="5">
        <v>20266.437000000002</v>
      </c>
      <c r="Z668" s="5">
        <v>15830.155000000001</v>
      </c>
      <c r="AA668" s="5">
        <v>14091.811</v>
      </c>
      <c r="AB668" s="5">
        <v>8147.45</v>
      </c>
      <c r="AC668" s="5">
        <v>5624.9279999999999</v>
      </c>
      <c r="AD668" s="5">
        <v>3432.9090000000001</v>
      </c>
      <c r="AE668" s="5">
        <v>2047.7470000000001</v>
      </c>
      <c r="AF668" s="5">
        <v>1814.374</v>
      </c>
      <c r="AG668" s="5">
        <v>2505.183</v>
      </c>
      <c r="AH668" s="5">
        <v>5033.259</v>
      </c>
      <c r="AI668" s="5">
        <v>10451.147000000001</v>
      </c>
      <c r="AJ668" s="5">
        <v>23003.212</v>
      </c>
      <c r="AK668" s="5">
        <v>25875.88</v>
      </c>
      <c r="AL668" s="5">
        <v>18297.874</v>
      </c>
      <c r="AM668" s="5">
        <v>17899.553</v>
      </c>
      <c r="AN668" s="5">
        <v>17904.001</v>
      </c>
      <c r="AO668" s="5">
        <v>8945.7469999999994</v>
      </c>
      <c r="AP668" s="5">
        <v>4512.8819999999996</v>
      </c>
      <c r="AQ668" s="5">
        <v>2971.4760000000001</v>
      </c>
      <c r="AR668" s="5">
        <v>2046.3140000000001</v>
      </c>
      <c r="AS668" s="5">
        <v>2708.8420000000001</v>
      </c>
      <c r="AT668" s="5">
        <v>2708.8420000000001</v>
      </c>
    </row>
    <row r="669" spans="1:46" x14ac:dyDescent="0.25">
      <c r="A669" s="4" t="s">
        <v>206</v>
      </c>
      <c r="B669" s="4" t="s">
        <v>207</v>
      </c>
      <c r="C669" s="4" t="s">
        <v>246</v>
      </c>
      <c r="D669" s="4" t="s">
        <v>263</v>
      </c>
      <c r="E669" s="4" t="s">
        <v>248</v>
      </c>
      <c r="F669" s="4" t="s">
        <v>195</v>
      </c>
      <c r="G669" s="4" t="s">
        <v>76</v>
      </c>
      <c r="H669" s="4" t="s">
        <v>205</v>
      </c>
      <c r="I669" s="6">
        <v>541347.72600000002</v>
      </c>
      <c r="J669" s="6">
        <v>1657187.2960000001</v>
      </c>
      <c r="K669" s="6">
        <v>2730666.1090000002</v>
      </c>
      <c r="L669" s="6">
        <v>3609569.5269999998</v>
      </c>
      <c r="M669" s="6">
        <v>4961881.7379999999</v>
      </c>
      <c r="N669" s="6">
        <v>3766395.2949999999</v>
      </c>
      <c r="O669" s="6">
        <v>2866105.193</v>
      </c>
      <c r="P669" s="6">
        <v>1596837.125</v>
      </c>
      <c r="Q669" s="6">
        <v>840982.505</v>
      </c>
      <c r="R669" s="6">
        <v>383585.34399999998</v>
      </c>
      <c r="S669" s="6">
        <v>292247.45</v>
      </c>
      <c r="T669" s="6">
        <v>323252.25300000003</v>
      </c>
      <c r="U669" s="6">
        <v>605569.16799999995</v>
      </c>
      <c r="V669" s="6">
        <v>1365902.7679999999</v>
      </c>
      <c r="W669" s="6">
        <v>3661187.1060000001</v>
      </c>
      <c r="X669" s="6">
        <v>5332604.3490000004</v>
      </c>
      <c r="Y669" s="6">
        <v>5847150.0109999999</v>
      </c>
      <c r="Z669" s="6">
        <v>4687997.0420000004</v>
      </c>
      <c r="AA669" s="6">
        <v>4152395.1970000002</v>
      </c>
      <c r="AB669" s="6">
        <v>2426420.9539999999</v>
      </c>
      <c r="AC669" s="6">
        <v>1650117.7120000001</v>
      </c>
      <c r="AD669" s="6">
        <v>1029875.885</v>
      </c>
      <c r="AE669" s="6">
        <v>601629.11199999996</v>
      </c>
      <c r="AF669" s="6">
        <v>549147.09900000005</v>
      </c>
      <c r="AG669" s="6">
        <v>741299.98300000001</v>
      </c>
      <c r="AH669" s="6">
        <v>1575109.9569999999</v>
      </c>
      <c r="AI669" s="6">
        <v>3255638.7549999999</v>
      </c>
      <c r="AJ669" s="6">
        <v>7135235.4280000003</v>
      </c>
      <c r="AK669" s="6">
        <v>8185008.9210000001</v>
      </c>
      <c r="AL669" s="6">
        <v>5826914.8650000002</v>
      </c>
      <c r="AM669" s="6">
        <v>5843302.3099999996</v>
      </c>
      <c r="AN669" s="6">
        <v>5894390.2960000001</v>
      </c>
      <c r="AO669" s="6">
        <v>2968853.8810000001</v>
      </c>
      <c r="AP669" s="6">
        <v>1449821.8430000001</v>
      </c>
      <c r="AQ669" s="6">
        <v>942919.652</v>
      </c>
      <c r="AR669" s="6">
        <v>651947.29599999997</v>
      </c>
      <c r="AS669" s="6">
        <v>896234.61</v>
      </c>
      <c r="AT669" s="6">
        <v>896234.61</v>
      </c>
    </row>
    <row r="670" spans="1:46" x14ac:dyDescent="0.25">
      <c r="A670" s="4" t="s">
        <v>206</v>
      </c>
      <c r="B670" s="4" t="s">
        <v>207</v>
      </c>
      <c r="C670" s="4" t="s">
        <v>246</v>
      </c>
      <c r="D670" s="4" t="s">
        <v>263</v>
      </c>
      <c r="E670" s="4" t="s">
        <v>248</v>
      </c>
      <c r="F670" s="4" t="s">
        <v>195</v>
      </c>
      <c r="G670" s="4" t="s">
        <v>76</v>
      </c>
      <c r="H670" s="4" t="s">
        <v>249</v>
      </c>
      <c r="I670" s="7">
        <v>0.13300000000000001</v>
      </c>
      <c r="J670" s="7">
        <v>0.27300000000000002</v>
      </c>
      <c r="K670" s="7">
        <v>0.32700000000000001</v>
      </c>
      <c r="L670" s="7">
        <v>0.32600000000000001</v>
      </c>
      <c r="M670" s="7">
        <v>0.34200000000000003</v>
      </c>
      <c r="N670" s="7">
        <v>0.26600000000000001</v>
      </c>
      <c r="O670" s="7">
        <v>0.23</v>
      </c>
      <c r="P670" s="7">
        <v>0.182</v>
      </c>
      <c r="Q670" s="7">
        <v>0.14099999999999999</v>
      </c>
      <c r="R670" s="7">
        <v>0.1</v>
      </c>
      <c r="S670" s="7">
        <v>8.2000000000000003E-2</v>
      </c>
      <c r="T670" s="7">
        <v>0.1</v>
      </c>
      <c r="U670" s="7">
        <v>0.17</v>
      </c>
      <c r="V670" s="7">
        <v>0.28399999999999997</v>
      </c>
      <c r="W670" s="7">
        <v>0.48899999999999999</v>
      </c>
      <c r="X670" s="7">
        <v>0.504</v>
      </c>
      <c r="Y670" s="7">
        <v>0.45800000000000002</v>
      </c>
      <c r="Z670" s="7">
        <v>0.38200000000000001</v>
      </c>
      <c r="AA670" s="7">
        <v>0.32600000000000001</v>
      </c>
      <c r="AB670" s="7">
        <v>0.248</v>
      </c>
      <c r="AC670" s="7">
        <v>0.222</v>
      </c>
      <c r="AD670" s="7">
        <v>0.183</v>
      </c>
      <c r="AE670" s="7">
        <v>0.13800000000000001</v>
      </c>
      <c r="AF670" s="7">
        <v>0.13600000000000001</v>
      </c>
      <c r="AG670" s="7">
        <v>0.17599999999999999</v>
      </c>
      <c r="AH670" s="7">
        <v>0.26700000000000002</v>
      </c>
      <c r="AI670" s="7">
        <v>0.41199999999999998</v>
      </c>
      <c r="AJ670" s="7">
        <v>0.60599999999999998</v>
      </c>
      <c r="AK670" s="7">
        <v>0.53300000000000003</v>
      </c>
      <c r="AL670" s="7">
        <v>0.38400000000000001</v>
      </c>
      <c r="AM670" s="7">
        <v>0.32400000000000001</v>
      </c>
      <c r="AN670" s="7">
        <v>0.32900000000000001</v>
      </c>
      <c r="AO670" s="7">
        <v>0.252</v>
      </c>
      <c r="AP670" s="7">
        <v>0.17399999999999999</v>
      </c>
      <c r="AQ670" s="7">
        <v>0.155</v>
      </c>
      <c r="AR670" s="7">
        <v>0.157</v>
      </c>
      <c r="AS670" s="7">
        <v>0.252</v>
      </c>
      <c r="AT670" s="7">
        <v>0.307</v>
      </c>
    </row>
    <row r="671" spans="1:46" x14ac:dyDescent="0.25">
      <c r="A671" s="4" t="s">
        <v>206</v>
      </c>
      <c r="B671" s="4" t="s">
        <v>207</v>
      </c>
      <c r="C671" s="4" t="s">
        <v>246</v>
      </c>
      <c r="D671" s="4" t="s">
        <v>263</v>
      </c>
      <c r="E671" s="4" t="s">
        <v>248</v>
      </c>
      <c r="F671" s="4" t="s">
        <v>195</v>
      </c>
      <c r="G671" s="4" t="s">
        <v>76</v>
      </c>
      <c r="H671" s="4" t="s">
        <v>250</v>
      </c>
      <c r="I671" s="7">
        <v>40.753</v>
      </c>
      <c r="J671" s="7">
        <v>53.287999999999997</v>
      </c>
      <c r="K671" s="7">
        <v>62.231999999999999</v>
      </c>
      <c r="L671" s="7">
        <v>61.314</v>
      </c>
      <c r="M671" s="7">
        <v>65.418999999999997</v>
      </c>
      <c r="N671" s="7">
        <v>58.302</v>
      </c>
      <c r="O671" s="7">
        <v>55.997999999999998</v>
      </c>
      <c r="P671" s="7">
        <v>50.52</v>
      </c>
      <c r="Q671" s="7">
        <v>43.997</v>
      </c>
      <c r="R671" s="7">
        <v>31.388000000000002</v>
      </c>
      <c r="S671" s="7">
        <v>29.582000000000001</v>
      </c>
      <c r="T671" s="7">
        <v>34.734000000000002</v>
      </c>
      <c r="U671" s="7">
        <v>45.402999999999999</v>
      </c>
      <c r="V671" s="7">
        <v>56.856000000000002</v>
      </c>
      <c r="W671" s="7">
        <v>67.614000000000004</v>
      </c>
      <c r="X671" s="7">
        <v>70.400999999999996</v>
      </c>
      <c r="Y671" s="7">
        <v>68.988</v>
      </c>
      <c r="Z671" s="7">
        <v>67.975999999999999</v>
      </c>
      <c r="AA671" s="7">
        <v>63.561</v>
      </c>
      <c r="AB671" s="7">
        <v>59.274999999999999</v>
      </c>
      <c r="AC671" s="7">
        <v>53.317999999999998</v>
      </c>
      <c r="AD671" s="7">
        <v>44.734000000000002</v>
      </c>
      <c r="AE671" s="7">
        <v>39.167999999999999</v>
      </c>
      <c r="AF671" s="7">
        <v>38.610999999999997</v>
      </c>
      <c r="AG671" s="7">
        <v>40.741</v>
      </c>
      <c r="AH671" s="7">
        <v>58.478999999999999</v>
      </c>
      <c r="AI671" s="7">
        <v>65.497</v>
      </c>
      <c r="AJ671" s="7">
        <v>74.245999999999995</v>
      </c>
      <c r="AK671" s="7">
        <v>77.63</v>
      </c>
      <c r="AL671" s="7">
        <v>73.052999999999997</v>
      </c>
      <c r="AM671" s="7">
        <v>72.260000000000005</v>
      </c>
      <c r="AN671" s="7">
        <v>71.637</v>
      </c>
      <c r="AO671" s="7">
        <v>56.723999999999997</v>
      </c>
      <c r="AP671" s="7">
        <v>45.232999999999997</v>
      </c>
      <c r="AQ671" s="7">
        <v>39.389000000000003</v>
      </c>
      <c r="AR671" s="7">
        <v>39.418999999999997</v>
      </c>
      <c r="AS671" s="7">
        <v>48.186999999999998</v>
      </c>
      <c r="AT671" s="5">
        <v>6506.9250000000002</v>
      </c>
    </row>
    <row r="672" spans="1:46" x14ac:dyDescent="0.25">
      <c r="A672" s="4" t="s">
        <v>206</v>
      </c>
      <c r="B672" s="4" t="s">
        <v>207</v>
      </c>
      <c r="C672" s="4" t="s">
        <v>246</v>
      </c>
      <c r="D672" s="4" t="s">
        <v>263</v>
      </c>
      <c r="E672" s="4" t="s">
        <v>248</v>
      </c>
      <c r="F672" s="4" t="s">
        <v>195</v>
      </c>
      <c r="G672" s="4" t="s">
        <v>76</v>
      </c>
      <c r="H672" s="4" t="s">
        <v>251</v>
      </c>
      <c r="I672" s="7">
        <v>6.4924147999999997</v>
      </c>
      <c r="J672" s="7">
        <v>7.2438016000000003</v>
      </c>
      <c r="K672" s="7">
        <v>8.0436122999999995</v>
      </c>
      <c r="L672" s="7">
        <v>7.8129049000000004</v>
      </c>
      <c r="M672" s="7">
        <v>7.9603092000000002</v>
      </c>
      <c r="N672" s="7">
        <v>8.4196399999999993</v>
      </c>
      <c r="O672" s="7">
        <v>8.2415149000000003</v>
      </c>
      <c r="P672" s="7">
        <v>8.2787062000000002</v>
      </c>
      <c r="Q672" s="7">
        <v>7.8748443999999997</v>
      </c>
      <c r="R672" s="7">
        <v>7.2121266999999998</v>
      </c>
      <c r="S672" s="7">
        <v>6.4578873999999997</v>
      </c>
      <c r="T672" s="7">
        <v>6.7229580999999996</v>
      </c>
      <c r="U672" s="7">
        <v>7.2862688999999996</v>
      </c>
      <c r="V672" s="7">
        <v>8.2362242000000006</v>
      </c>
      <c r="W672" s="7">
        <v>9.4121875999999993</v>
      </c>
      <c r="X672" s="7">
        <v>10.1824283</v>
      </c>
      <c r="Y672" s="7">
        <v>10.200386399999999</v>
      </c>
      <c r="Z672" s="7">
        <v>10.628935999999999</v>
      </c>
      <c r="AA672" s="7">
        <v>10.3172383</v>
      </c>
      <c r="AB672" s="7">
        <v>10.3884188</v>
      </c>
      <c r="AC672" s="7">
        <v>9.6581571000000004</v>
      </c>
      <c r="AD672" s="7">
        <v>8.7434432999999991</v>
      </c>
      <c r="AE672" s="7">
        <v>8.0835767000000001</v>
      </c>
      <c r="AF672" s="7">
        <v>8.1330232999999996</v>
      </c>
      <c r="AG672" s="7">
        <v>9.0895785</v>
      </c>
      <c r="AH672" s="7">
        <v>10.489387499999999</v>
      </c>
      <c r="AI672" s="7">
        <v>11.5554308</v>
      </c>
      <c r="AJ672" s="7">
        <v>13.014645099999999</v>
      </c>
      <c r="AK672" s="7">
        <v>13.467693300000001</v>
      </c>
      <c r="AL672" s="7">
        <v>13.700915200000001</v>
      </c>
      <c r="AM672" s="7">
        <v>13.7928944</v>
      </c>
      <c r="AN672" s="7">
        <v>13.6313347</v>
      </c>
      <c r="AO672" s="7">
        <v>14.0642896</v>
      </c>
      <c r="AP672" s="7">
        <v>12.642586100000001</v>
      </c>
      <c r="AQ672" s="7">
        <v>11.815759</v>
      </c>
      <c r="AR672" s="7">
        <v>11.3556027</v>
      </c>
      <c r="AS672" s="7">
        <v>10.7204446</v>
      </c>
      <c r="AT672" s="7">
        <v>48.186999999999998</v>
      </c>
    </row>
    <row r="673" spans="1:46" x14ac:dyDescent="0.25">
      <c r="A673" s="4" t="s">
        <v>206</v>
      </c>
      <c r="B673" s="4" t="s">
        <v>207</v>
      </c>
      <c r="C673" s="4" t="s">
        <v>246</v>
      </c>
      <c r="D673" s="4" t="s">
        <v>263</v>
      </c>
      <c r="E673" s="4" t="s">
        <v>248</v>
      </c>
      <c r="F673" s="4" t="s">
        <v>195</v>
      </c>
      <c r="G673" s="4" t="s">
        <v>76</v>
      </c>
      <c r="H673" s="4" t="s">
        <v>252</v>
      </c>
      <c r="I673" s="16">
        <v>1.1399999999999999</v>
      </c>
      <c r="J673" s="16">
        <v>0.96799999999999997</v>
      </c>
      <c r="K673" s="16">
        <v>0.77800000000000002</v>
      </c>
      <c r="L673" s="16">
        <v>0.747</v>
      </c>
      <c r="M673" s="16">
        <v>0.879</v>
      </c>
      <c r="N673" s="16">
        <v>0.90500000000000003</v>
      </c>
      <c r="O673" s="16">
        <v>0.89200000000000002</v>
      </c>
      <c r="P673" s="16">
        <v>0.89</v>
      </c>
      <c r="Q673" s="16">
        <v>0.89400000000000002</v>
      </c>
      <c r="R673" s="16">
        <v>0.88600000000000001</v>
      </c>
      <c r="S673" s="16">
        <v>0.90300000000000002</v>
      </c>
      <c r="T673" s="16">
        <v>0.89</v>
      </c>
      <c r="U673" s="16">
        <v>0.97899999999999998</v>
      </c>
      <c r="V673" s="16">
        <v>1.0840000000000001</v>
      </c>
      <c r="W673" s="16">
        <v>1.17</v>
      </c>
      <c r="X673" s="16">
        <v>1.0660000000000001</v>
      </c>
      <c r="Y673" s="16">
        <v>1.107</v>
      </c>
      <c r="Z673" s="16">
        <v>1.196</v>
      </c>
      <c r="AA673" s="16">
        <v>1.113</v>
      </c>
      <c r="AB673" s="16">
        <v>1.161</v>
      </c>
      <c r="AC673" s="16">
        <v>1.1419999999999999</v>
      </c>
      <c r="AD673" s="16">
        <v>1.1240000000000001</v>
      </c>
      <c r="AE673" s="16">
        <v>1.133</v>
      </c>
      <c r="AF673" s="16">
        <v>1.1479999999999999</v>
      </c>
      <c r="AG673" s="16">
        <v>1.2470000000000001</v>
      </c>
      <c r="AH673" s="16">
        <v>1.256</v>
      </c>
      <c r="AI673" s="16">
        <v>1.2529999999999999</v>
      </c>
      <c r="AJ673" s="16">
        <v>1.169</v>
      </c>
      <c r="AK673" s="16">
        <v>1.2889999999999999</v>
      </c>
      <c r="AL673" s="16">
        <v>1.1819999999999999</v>
      </c>
      <c r="AM673" s="16">
        <v>1.1890000000000001</v>
      </c>
      <c r="AN673" s="16">
        <v>1.4430000000000001</v>
      </c>
      <c r="AO673" s="16">
        <v>1.355</v>
      </c>
      <c r="AP673" s="16">
        <v>1.302</v>
      </c>
      <c r="AQ673" s="16">
        <v>1.3560000000000001</v>
      </c>
      <c r="AR673" s="16">
        <v>1.3169999999999999</v>
      </c>
      <c r="AS673" s="16">
        <v>1.2729999999999999</v>
      </c>
      <c r="AT673" s="7">
        <v>10.7204446</v>
      </c>
    </row>
    <row r="674" spans="1:46" x14ac:dyDescent="0.25">
      <c r="A674" s="4" t="s">
        <v>206</v>
      </c>
      <c r="B674" s="4" t="s">
        <v>207</v>
      </c>
      <c r="C674" s="4" t="s">
        <v>246</v>
      </c>
      <c r="D674" s="4" t="s">
        <v>263</v>
      </c>
      <c r="E674" s="4" t="s">
        <v>248</v>
      </c>
      <c r="F674" s="4" t="s">
        <v>195</v>
      </c>
      <c r="G674" s="4" t="s">
        <v>85</v>
      </c>
      <c r="H674" s="4" t="s">
        <v>151</v>
      </c>
      <c r="I674" s="5">
        <v>10254.451999999999</v>
      </c>
      <c r="J674" s="5">
        <v>20980.021000000001</v>
      </c>
      <c r="K674" s="5">
        <v>44041.099000000002</v>
      </c>
      <c r="L674" s="5">
        <v>60188.021999999997</v>
      </c>
      <c r="M674" s="5">
        <v>84594.872000000003</v>
      </c>
      <c r="N674" s="5">
        <v>65103.042000000001</v>
      </c>
      <c r="O674" s="5">
        <v>42043.525000000001</v>
      </c>
      <c r="P674" s="5">
        <v>28071.985000000001</v>
      </c>
      <c r="Q674" s="5">
        <v>15763.764999999999</v>
      </c>
      <c r="R674" s="5">
        <v>9780.1329999999998</v>
      </c>
      <c r="S674" s="5">
        <v>8155.7709999999997</v>
      </c>
      <c r="T674" s="5">
        <v>8141.1809999999996</v>
      </c>
      <c r="U674" s="5">
        <v>9729.7189999999991</v>
      </c>
      <c r="V674" s="5">
        <v>13136.525</v>
      </c>
      <c r="W674" s="5">
        <v>30888.991999999998</v>
      </c>
      <c r="X674" s="5">
        <v>47803.241000000002</v>
      </c>
      <c r="Y674" s="5">
        <v>57839.974999999999</v>
      </c>
      <c r="Z674" s="5">
        <v>48910.008000000002</v>
      </c>
      <c r="AA674" s="5">
        <v>43746.796000000002</v>
      </c>
      <c r="AB674" s="5">
        <v>29130.027999999998</v>
      </c>
      <c r="AC674" s="5">
        <v>21884.153999999999</v>
      </c>
      <c r="AD674" s="5">
        <v>14946.514999999999</v>
      </c>
      <c r="AE674" s="5">
        <v>12941.643</v>
      </c>
      <c r="AF674" s="5">
        <v>9684.9509999999991</v>
      </c>
      <c r="AG674" s="5">
        <v>10712.941000000001</v>
      </c>
      <c r="AH674" s="5">
        <v>15469.973</v>
      </c>
      <c r="AI674" s="5">
        <v>26198.043000000001</v>
      </c>
      <c r="AJ674" s="5">
        <v>48851.942999999999</v>
      </c>
      <c r="AK674" s="5">
        <v>67482.164000000004</v>
      </c>
      <c r="AL674" s="5">
        <v>56186.875999999997</v>
      </c>
      <c r="AM674" s="5">
        <v>66168.942999999999</v>
      </c>
      <c r="AN674" s="5">
        <v>64373.394999999997</v>
      </c>
      <c r="AO674" s="5">
        <v>40374.230000000003</v>
      </c>
      <c r="AP674" s="5">
        <v>26726.192999999999</v>
      </c>
      <c r="AQ674" s="5">
        <v>17576.366999999998</v>
      </c>
      <c r="AR674" s="5">
        <v>13927.77</v>
      </c>
      <c r="AS674" s="5">
        <v>11758.38</v>
      </c>
      <c r="AT674" s="5">
        <v>210108.65700000001</v>
      </c>
    </row>
    <row r="675" spans="1:46" x14ac:dyDescent="0.25">
      <c r="A675" s="4" t="s">
        <v>206</v>
      </c>
      <c r="B675" s="4" t="s">
        <v>207</v>
      </c>
      <c r="C675" s="4" t="s">
        <v>246</v>
      </c>
      <c r="D675" s="4" t="s">
        <v>263</v>
      </c>
      <c r="E675" s="4" t="s">
        <v>248</v>
      </c>
      <c r="F675" s="4" t="s">
        <v>195</v>
      </c>
      <c r="G675" s="4" t="s">
        <v>85</v>
      </c>
      <c r="H675" s="4" t="s">
        <v>205</v>
      </c>
      <c r="I675" s="6">
        <v>1875387.2109999999</v>
      </c>
      <c r="J675" s="6">
        <v>3546055.1690000002</v>
      </c>
      <c r="K675" s="6">
        <v>7232756.1150000002</v>
      </c>
      <c r="L675" s="6">
        <v>9881894.6410000008</v>
      </c>
      <c r="M675" s="6">
        <v>14253857.370999999</v>
      </c>
      <c r="N675" s="6">
        <v>11222747.880999999</v>
      </c>
      <c r="O675" s="6">
        <v>8024755.0719999997</v>
      </c>
      <c r="P675" s="6">
        <v>5590941.5439999998</v>
      </c>
      <c r="Q675" s="6">
        <v>3096018.2349999999</v>
      </c>
      <c r="R675" s="6">
        <v>1934245.3870000001</v>
      </c>
      <c r="S675" s="6">
        <v>1553874.764</v>
      </c>
      <c r="T675" s="6">
        <v>1467363.8959999999</v>
      </c>
      <c r="U675" s="6">
        <v>1868348.4879999999</v>
      </c>
      <c r="V675" s="6">
        <v>2579309.273</v>
      </c>
      <c r="W675" s="6">
        <v>6188445.568</v>
      </c>
      <c r="X675" s="6">
        <v>9919677.3729999997</v>
      </c>
      <c r="Y675" s="6">
        <v>12563876.293</v>
      </c>
      <c r="Z675" s="6">
        <v>10715296.932</v>
      </c>
      <c r="AA675" s="6">
        <v>9540109.7229999993</v>
      </c>
      <c r="AB675" s="6">
        <v>6159522.7659999998</v>
      </c>
      <c r="AC675" s="6">
        <v>4636772.6220000004</v>
      </c>
      <c r="AD675" s="6">
        <v>3001057.3319999999</v>
      </c>
      <c r="AE675" s="6">
        <v>2370366.6379999998</v>
      </c>
      <c r="AF675" s="6">
        <v>1911625.051</v>
      </c>
      <c r="AG675" s="6">
        <v>2157668.5630000001</v>
      </c>
      <c r="AH675" s="6">
        <v>3264639.25</v>
      </c>
      <c r="AI675" s="6">
        <v>5741607.3669999996</v>
      </c>
      <c r="AJ675" s="6">
        <v>10902312.18</v>
      </c>
      <c r="AK675" s="6">
        <v>14864123.993000001</v>
      </c>
      <c r="AL675" s="6">
        <v>12106198.165999999</v>
      </c>
      <c r="AM675" s="6">
        <v>14127061.426999999</v>
      </c>
      <c r="AN675" s="6">
        <v>13923286.856000001</v>
      </c>
      <c r="AO675" s="6">
        <v>8592496.8100000005</v>
      </c>
      <c r="AP675" s="6">
        <v>5584692.6380000003</v>
      </c>
      <c r="AQ675" s="6">
        <v>3654919.5410000002</v>
      </c>
      <c r="AR675" s="6">
        <v>2749275.9589999998</v>
      </c>
      <c r="AS675" s="6">
        <v>2380306.0260000001</v>
      </c>
      <c r="AT675" s="6">
        <v>2380306.0260000001</v>
      </c>
    </row>
    <row r="676" spans="1:46" x14ac:dyDescent="0.25">
      <c r="A676" s="4" t="s">
        <v>206</v>
      </c>
      <c r="B676" s="4" t="s">
        <v>207</v>
      </c>
      <c r="C676" s="4" t="s">
        <v>246</v>
      </c>
      <c r="D676" s="4" t="s">
        <v>263</v>
      </c>
      <c r="E676" s="4" t="s">
        <v>248</v>
      </c>
      <c r="F676" s="4" t="s">
        <v>195</v>
      </c>
      <c r="G676" s="4" t="s">
        <v>85</v>
      </c>
      <c r="H676" s="4" t="s">
        <v>249</v>
      </c>
      <c r="I676" s="7">
        <v>0.33300000000000002</v>
      </c>
      <c r="J676" s="7">
        <v>0.41299999999999998</v>
      </c>
      <c r="K676" s="7">
        <v>0.623</v>
      </c>
      <c r="L676" s="7">
        <v>0.66800000000000004</v>
      </c>
      <c r="M676" s="7">
        <v>0.68400000000000005</v>
      </c>
      <c r="N676" s="7">
        <v>0.55100000000000005</v>
      </c>
      <c r="O676" s="7">
        <v>0.43</v>
      </c>
      <c r="P676" s="7">
        <v>0.41</v>
      </c>
      <c r="Q676" s="7">
        <v>0.33700000000000002</v>
      </c>
      <c r="R676" s="7">
        <v>0.33</v>
      </c>
      <c r="S676" s="7">
        <v>0.32900000000000001</v>
      </c>
      <c r="T676" s="7">
        <v>0.35399999999999998</v>
      </c>
      <c r="U676" s="7">
        <v>0.35499999999999998</v>
      </c>
      <c r="V676" s="7">
        <v>0.32900000000000001</v>
      </c>
      <c r="W676" s="7">
        <v>0.45200000000000001</v>
      </c>
      <c r="X676" s="7">
        <v>0.49</v>
      </c>
      <c r="Y676" s="7">
        <v>0.51900000000000002</v>
      </c>
      <c r="Z676" s="7">
        <v>0.48</v>
      </c>
      <c r="AA676" s="7">
        <v>0.42699999999999999</v>
      </c>
      <c r="AB676" s="7">
        <v>0.379</v>
      </c>
      <c r="AC676" s="7">
        <v>0.38900000000000001</v>
      </c>
      <c r="AD676" s="7">
        <v>0.36099999999999999</v>
      </c>
      <c r="AE676" s="7">
        <v>0.377</v>
      </c>
      <c r="AF676" s="7">
        <v>0.34499999999999997</v>
      </c>
      <c r="AG676" s="7">
        <v>0.33600000000000002</v>
      </c>
      <c r="AH676" s="7">
        <v>0.33300000000000002</v>
      </c>
      <c r="AI676" s="7">
        <v>0.39800000000000002</v>
      </c>
      <c r="AJ676" s="7">
        <v>0.47099999999999997</v>
      </c>
      <c r="AK676" s="7">
        <v>0.50600000000000001</v>
      </c>
      <c r="AL676" s="7">
        <v>0.45800000000000002</v>
      </c>
      <c r="AM676" s="7">
        <v>0.46600000000000003</v>
      </c>
      <c r="AN676" s="7">
        <v>0.47499999999999998</v>
      </c>
      <c r="AO676" s="7">
        <v>0.49099999999999999</v>
      </c>
      <c r="AP676" s="7">
        <v>0.46899999999999997</v>
      </c>
      <c r="AQ676" s="7">
        <v>0.433</v>
      </c>
      <c r="AR676" s="7">
        <v>0.46800000000000003</v>
      </c>
      <c r="AS676" s="7">
        <v>0.443</v>
      </c>
      <c r="AT676" s="7">
        <v>23.81</v>
      </c>
    </row>
    <row r="677" spans="1:46" x14ac:dyDescent="0.25">
      <c r="A677" s="4" t="s">
        <v>206</v>
      </c>
      <c r="B677" s="4" t="s">
        <v>207</v>
      </c>
      <c r="C677" s="4" t="s">
        <v>246</v>
      </c>
      <c r="D677" s="4" t="s">
        <v>263</v>
      </c>
      <c r="E677" s="4" t="s">
        <v>248</v>
      </c>
      <c r="F677" s="4" t="s">
        <v>195</v>
      </c>
      <c r="G677" s="4" t="s">
        <v>85</v>
      </c>
      <c r="H677" s="4" t="s">
        <v>250</v>
      </c>
      <c r="I677" s="7">
        <v>72.171999999999997</v>
      </c>
      <c r="J677" s="7">
        <v>78.218999999999994</v>
      </c>
      <c r="K677" s="7">
        <v>82.894999999999996</v>
      </c>
      <c r="L677" s="7">
        <v>83.358000000000004</v>
      </c>
      <c r="M677" s="7">
        <v>86.221000000000004</v>
      </c>
      <c r="N677" s="7">
        <v>82.531000000000006</v>
      </c>
      <c r="O677" s="7">
        <v>80.653000000000006</v>
      </c>
      <c r="P677" s="7">
        <v>76.509</v>
      </c>
      <c r="Q677" s="7">
        <v>69.646000000000001</v>
      </c>
      <c r="R677" s="7">
        <v>61.137</v>
      </c>
      <c r="S677" s="7">
        <v>61.475999999999999</v>
      </c>
      <c r="T677" s="7">
        <v>63.643999999999998</v>
      </c>
      <c r="U677" s="7">
        <v>68.292000000000002</v>
      </c>
      <c r="V677" s="7">
        <v>76.055000000000007</v>
      </c>
      <c r="W677" s="7">
        <v>84.545000000000002</v>
      </c>
      <c r="X677" s="7">
        <v>84.953000000000003</v>
      </c>
      <c r="Y677" s="7">
        <v>85.477000000000004</v>
      </c>
      <c r="Z677" s="7">
        <v>84.521000000000001</v>
      </c>
      <c r="AA677" s="7">
        <v>83.275999999999996</v>
      </c>
      <c r="AB677" s="7">
        <v>79.316000000000003</v>
      </c>
      <c r="AC677" s="7">
        <v>75.602000000000004</v>
      </c>
      <c r="AD677" s="7">
        <v>70.061999999999998</v>
      </c>
      <c r="AE677" s="7">
        <v>68.171000000000006</v>
      </c>
      <c r="AF677" s="7">
        <v>64.671999999999997</v>
      </c>
      <c r="AG677" s="7">
        <v>67.248000000000005</v>
      </c>
      <c r="AH677" s="7">
        <v>73.98</v>
      </c>
      <c r="AI677" s="7">
        <v>81.212000000000003</v>
      </c>
      <c r="AJ677" s="7">
        <v>85.855000000000004</v>
      </c>
      <c r="AK677" s="7">
        <v>89.503</v>
      </c>
      <c r="AL677" s="7">
        <v>88.27</v>
      </c>
      <c r="AM677" s="7">
        <v>88.683000000000007</v>
      </c>
      <c r="AN677" s="7">
        <v>87.847999999999999</v>
      </c>
      <c r="AO677" s="7">
        <v>78.87</v>
      </c>
      <c r="AP677" s="7">
        <v>73.323999999999998</v>
      </c>
      <c r="AQ677" s="7">
        <v>69.007000000000005</v>
      </c>
      <c r="AR677" s="7">
        <v>65.734999999999999</v>
      </c>
      <c r="AS677" s="7">
        <v>70.722999999999999</v>
      </c>
      <c r="AT677" s="5">
        <v>579241.53399999999</v>
      </c>
    </row>
    <row r="678" spans="1:46" x14ac:dyDescent="0.25">
      <c r="A678" s="4" t="s">
        <v>206</v>
      </c>
      <c r="B678" s="4" t="s">
        <v>207</v>
      </c>
      <c r="C678" s="4" t="s">
        <v>246</v>
      </c>
      <c r="D678" s="4" t="s">
        <v>263</v>
      </c>
      <c r="E678" s="4" t="s">
        <v>248</v>
      </c>
      <c r="F678" s="4" t="s">
        <v>195</v>
      </c>
      <c r="G678" s="4" t="s">
        <v>85</v>
      </c>
      <c r="H678" s="4" t="s">
        <v>251</v>
      </c>
      <c r="I678" s="7">
        <v>27.739409999999999</v>
      </c>
      <c r="J678" s="7">
        <v>28.5420783</v>
      </c>
      <c r="K678" s="7">
        <v>29.121834799999998</v>
      </c>
      <c r="L678" s="7">
        <v>30.3461833</v>
      </c>
      <c r="M678" s="7">
        <v>30.774099799999998</v>
      </c>
      <c r="N678" s="7">
        <v>30.5145415</v>
      </c>
      <c r="O678" s="7">
        <v>30.370409599999999</v>
      </c>
      <c r="P678" s="7">
        <v>29.075825900000002</v>
      </c>
      <c r="Q678" s="7">
        <v>26.643191300000002</v>
      </c>
      <c r="R678" s="7">
        <v>24.857106300000002</v>
      </c>
      <c r="S678" s="7">
        <v>24.190139200000001</v>
      </c>
      <c r="T678" s="7">
        <v>24.927805200000002</v>
      </c>
      <c r="U678" s="7">
        <v>25.2385266</v>
      </c>
      <c r="V678" s="7">
        <v>26.327369999999998</v>
      </c>
      <c r="W678" s="7">
        <v>28.4280376</v>
      </c>
      <c r="X678" s="7">
        <v>30.325618800000001</v>
      </c>
      <c r="Y678" s="7">
        <v>32.737257900000003</v>
      </c>
      <c r="Z678" s="7">
        <v>32.558355400000003</v>
      </c>
      <c r="AA678" s="7">
        <v>31.056743999999998</v>
      </c>
      <c r="AB678" s="7">
        <v>30.749079399999999</v>
      </c>
      <c r="AC678" s="7">
        <v>29.132412899999999</v>
      </c>
      <c r="AD678" s="7">
        <v>28.953621299999998</v>
      </c>
      <c r="AE678" s="7">
        <v>28.068781900000001</v>
      </c>
      <c r="AF678" s="7">
        <v>26.531797099999999</v>
      </c>
      <c r="AG678" s="7">
        <v>27.863842900000002</v>
      </c>
      <c r="AH678" s="7">
        <v>29.433055</v>
      </c>
      <c r="AI678" s="7">
        <v>31.0700298</v>
      </c>
      <c r="AJ678" s="7">
        <v>32.565237600000003</v>
      </c>
      <c r="AK678" s="7">
        <v>37.547460399999999</v>
      </c>
      <c r="AL678" s="7">
        <v>38.8493967</v>
      </c>
      <c r="AM678" s="7">
        <v>38.555065300000003</v>
      </c>
      <c r="AN678" s="7">
        <v>35.841621400000001</v>
      </c>
      <c r="AO678" s="7">
        <v>34.107235899999999</v>
      </c>
      <c r="AP678" s="7">
        <v>31.956769399999999</v>
      </c>
      <c r="AQ678" s="7">
        <v>30.2885484</v>
      </c>
      <c r="AR678" s="7">
        <v>29.472531199999999</v>
      </c>
      <c r="AS678" s="7">
        <v>29.6239743</v>
      </c>
      <c r="AT678" s="7">
        <v>70.722999999999999</v>
      </c>
    </row>
    <row r="679" spans="1:46" x14ac:dyDescent="0.25">
      <c r="A679" s="4" t="s">
        <v>206</v>
      </c>
      <c r="B679" s="4" t="s">
        <v>207</v>
      </c>
      <c r="C679" s="4" t="s">
        <v>246</v>
      </c>
      <c r="D679" s="4" t="s">
        <v>263</v>
      </c>
      <c r="E679" s="4" t="s">
        <v>248</v>
      </c>
      <c r="F679" s="4" t="s">
        <v>195</v>
      </c>
      <c r="G679" s="4" t="s">
        <v>85</v>
      </c>
      <c r="H679" s="4" t="s">
        <v>252</v>
      </c>
      <c r="I679" s="16">
        <v>5.3079999999999998</v>
      </c>
      <c r="J679" s="16">
        <v>5.1239999999999997</v>
      </c>
      <c r="K679" s="16">
        <v>4.8449999999999998</v>
      </c>
      <c r="L679" s="16">
        <v>4.49</v>
      </c>
      <c r="M679" s="16">
        <v>5.2130000000000001</v>
      </c>
      <c r="N679" s="16">
        <v>4.7329999999999997</v>
      </c>
      <c r="O679" s="16">
        <v>5.2510000000000003</v>
      </c>
      <c r="P679" s="16">
        <v>4.8620000000000001</v>
      </c>
      <c r="Q679" s="16">
        <v>4.6470000000000002</v>
      </c>
      <c r="R679" s="16">
        <v>5.1630000000000003</v>
      </c>
      <c r="S679" s="16">
        <v>5.0270000000000001</v>
      </c>
      <c r="T679" s="16">
        <v>5.0430000000000001</v>
      </c>
      <c r="U679" s="16">
        <v>4.9219999999999997</v>
      </c>
      <c r="V679" s="16">
        <v>4.9989999999999997</v>
      </c>
      <c r="W679" s="16">
        <v>4.8879999999999999</v>
      </c>
      <c r="X679" s="16">
        <v>5.3029999999999999</v>
      </c>
      <c r="Y679" s="16">
        <v>5.3959999999999999</v>
      </c>
      <c r="Z679" s="16">
        <v>5.1589999999999998</v>
      </c>
      <c r="AA679" s="16">
        <v>5.2469999999999999</v>
      </c>
      <c r="AB679" s="16">
        <v>5.4089999999999998</v>
      </c>
      <c r="AC679" s="16">
        <v>5.6829999999999998</v>
      </c>
      <c r="AD679" s="16">
        <v>5.19</v>
      </c>
      <c r="AE679" s="16">
        <v>5.423</v>
      </c>
      <c r="AF679" s="16">
        <v>5.2850000000000001</v>
      </c>
      <c r="AG679" s="16">
        <v>5.4820000000000002</v>
      </c>
      <c r="AH679" s="16">
        <v>4.665</v>
      </c>
      <c r="AI679" s="16">
        <v>4.7039999999999997</v>
      </c>
      <c r="AJ679" s="16">
        <v>5.1920000000000002</v>
      </c>
      <c r="AK679" s="16">
        <v>5.3520000000000003</v>
      </c>
      <c r="AL679" s="16">
        <v>5.274</v>
      </c>
      <c r="AM679" s="16">
        <v>5.6059999999999999</v>
      </c>
      <c r="AN679" s="16">
        <v>5.7469999999999999</v>
      </c>
      <c r="AO679" s="16">
        <v>5.6</v>
      </c>
      <c r="AP679" s="16">
        <v>5.5339999999999998</v>
      </c>
      <c r="AQ679" s="16">
        <v>5.4820000000000002</v>
      </c>
      <c r="AR679" s="16">
        <v>5.5750000000000002</v>
      </c>
      <c r="AS679" s="16">
        <v>5.8070000000000004</v>
      </c>
      <c r="AT679" s="7">
        <v>29.6239743</v>
      </c>
    </row>
    <row r="680" spans="1:46" x14ac:dyDescent="0.25">
      <c r="A680" s="4" t="s">
        <v>206</v>
      </c>
      <c r="B680" s="4" t="s">
        <v>207</v>
      </c>
      <c r="C680" s="4" t="s">
        <v>246</v>
      </c>
      <c r="D680" s="4" t="s">
        <v>265</v>
      </c>
      <c r="E680" s="4" t="s">
        <v>266</v>
      </c>
      <c r="F680" s="4" t="s">
        <v>195</v>
      </c>
      <c r="G680" s="4" t="s">
        <v>93</v>
      </c>
      <c r="H680" s="4" t="s">
        <v>151</v>
      </c>
      <c r="I680" s="5">
        <v>3289.5189999999998</v>
      </c>
      <c r="J680" s="5">
        <v>5823.4740000000002</v>
      </c>
      <c r="K680" s="5">
        <v>7044.0230000000001</v>
      </c>
      <c r="L680" s="5">
        <v>9718.9150000000009</v>
      </c>
      <c r="M680" s="5">
        <v>13207.521000000001</v>
      </c>
      <c r="N680" s="5">
        <v>10766.895</v>
      </c>
      <c r="O680" s="5">
        <v>9672.2980000000007</v>
      </c>
      <c r="P680" s="5">
        <v>6881.3950000000004</v>
      </c>
      <c r="Q680" s="5">
        <v>5032.6109999999999</v>
      </c>
      <c r="R680" s="5">
        <v>2330.875</v>
      </c>
      <c r="S680" s="5">
        <v>2088.0529999999999</v>
      </c>
      <c r="T680" s="5">
        <v>2733.357</v>
      </c>
      <c r="U680" s="5">
        <v>2914.096</v>
      </c>
      <c r="V680" s="5">
        <v>5015.4440000000004</v>
      </c>
      <c r="W680" s="5">
        <v>7392.1629999999996</v>
      </c>
      <c r="X680" s="5">
        <v>9104.0419999999995</v>
      </c>
      <c r="Y680" s="5">
        <v>11819.592000000001</v>
      </c>
      <c r="Z680" s="5">
        <v>9907.4570000000003</v>
      </c>
      <c r="AA680" s="5">
        <v>9928.3989999999994</v>
      </c>
      <c r="AB680" s="5">
        <v>7701.4750000000004</v>
      </c>
      <c r="AC680" s="5">
        <v>5100.4380000000001</v>
      </c>
      <c r="AD680" s="5">
        <v>3408.44</v>
      </c>
      <c r="AE680" s="5">
        <v>2551.3829999999998</v>
      </c>
      <c r="AF680" s="5">
        <v>1799.4449999999999</v>
      </c>
      <c r="AG680" s="5">
        <v>2071.462</v>
      </c>
      <c r="AH680" s="5">
        <v>4407.2039999999997</v>
      </c>
      <c r="AI680" s="5">
        <v>5586.7449999999999</v>
      </c>
      <c r="AJ680" s="5">
        <v>9142.9670000000006</v>
      </c>
      <c r="AK680" s="5">
        <v>11561.203</v>
      </c>
      <c r="AL680" s="5">
        <v>9882.5789999999997</v>
      </c>
      <c r="AM680" s="5">
        <v>11993.742</v>
      </c>
      <c r="AN680" s="5">
        <v>10448.666999999999</v>
      </c>
      <c r="AO680" s="5">
        <v>6566.33</v>
      </c>
      <c r="AP680" s="5">
        <v>3442.1309999999999</v>
      </c>
      <c r="AQ680" s="5">
        <v>2231.165</v>
      </c>
      <c r="AR680" s="5">
        <v>2267.768</v>
      </c>
      <c r="AS680" s="5">
        <v>2243.3510000000001</v>
      </c>
      <c r="AT680" s="5">
        <v>2243.3510000000001</v>
      </c>
    </row>
    <row r="681" spans="1:46" x14ac:dyDescent="0.25">
      <c r="A681" s="4" t="s">
        <v>206</v>
      </c>
      <c r="B681" s="4" t="s">
        <v>207</v>
      </c>
      <c r="C681" s="4" t="s">
        <v>246</v>
      </c>
      <c r="D681" s="4" t="s">
        <v>265</v>
      </c>
      <c r="E681" s="4" t="s">
        <v>266</v>
      </c>
      <c r="F681" s="4" t="s">
        <v>195</v>
      </c>
      <c r="G681" s="4" t="s">
        <v>93</v>
      </c>
      <c r="H681" s="4" t="s">
        <v>205</v>
      </c>
      <c r="I681" s="6">
        <v>649133.098</v>
      </c>
      <c r="J681" s="6">
        <v>1134990.4569999999</v>
      </c>
      <c r="K681" s="6">
        <v>1403541.04</v>
      </c>
      <c r="L681" s="6">
        <v>1977262.655</v>
      </c>
      <c r="M681" s="6">
        <v>2628579.625</v>
      </c>
      <c r="N681" s="6">
        <v>2163651.29</v>
      </c>
      <c r="O681" s="6">
        <v>1927706.773</v>
      </c>
      <c r="P681" s="6">
        <v>1443526.6340000001</v>
      </c>
      <c r="Q681" s="6">
        <v>1030399.2120000001</v>
      </c>
      <c r="R681" s="6">
        <v>474869.31099999999</v>
      </c>
      <c r="S681" s="6">
        <v>410770.62699999998</v>
      </c>
      <c r="T681" s="6">
        <v>565818.13500000001</v>
      </c>
      <c r="U681" s="6">
        <v>613969.11899999995</v>
      </c>
      <c r="V681" s="6">
        <v>985916.446</v>
      </c>
      <c r="W681" s="6">
        <v>1449507.3359999999</v>
      </c>
      <c r="X681" s="6">
        <v>1719798.321</v>
      </c>
      <c r="Y681" s="6">
        <v>2207127.9360000002</v>
      </c>
      <c r="Z681" s="6">
        <v>1912342.0649999999</v>
      </c>
      <c r="AA681" s="6">
        <v>1921286.8840000001</v>
      </c>
      <c r="AB681" s="6">
        <v>1419407.78</v>
      </c>
      <c r="AC681" s="6">
        <v>963678.36199999996</v>
      </c>
      <c r="AD681" s="6">
        <v>646537.90500000003</v>
      </c>
      <c r="AE681" s="6">
        <v>491056.071</v>
      </c>
      <c r="AF681" s="6">
        <v>350291.88199999998</v>
      </c>
      <c r="AG681" s="6">
        <v>399724.56599999999</v>
      </c>
      <c r="AH681" s="6">
        <v>836280.19400000002</v>
      </c>
      <c r="AI681" s="6">
        <v>1099456.767</v>
      </c>
      <c r="AJ681" s="6">
        <v>1803996.9820000001</v>
      </c>
      <c r="AK681" s="6">
        <v>2303450.193</v>
      </c>
      <c r="AL681" s="6">
        <v>1996860.22</v>
      </c>
      <c r="AM681" s="6">
        <v>2376026.2030000002</v>
      </c>
      <c r="AN681" s="6">
        <v>2052649.5519999999</v>
      </c>
      <c r="AO681" s="6">
        <v>1346982.7050000001</v>
      </c>
      <c r="AP681" s="6">
        <v>691835.01599999995</v>
      </c>
      <c r="AQ681" s="6">
        <v>447794.22200000001</v>
      </c>
      <c r="AR681" s="6">
        <v>455381.26400000002</v>
      </c>
      <c r="AS681" s="6">
        <v>446759.005</v>
      </c>
      <c r="AT681" s="6">
        <v>446759.005</v>
      </c>
    </row>
    <row r="682" spans="1:46" x14ac:dyDescent="0.25">
      <c r="A682" s="4" t="s">
        <v>206</v>
      </c>
      <c r="B682" s="4" t="s">
        <v>207</v>
      </c>
      <c r="C682" s="4" t="s">
        <v>246</v>
      </c>
      <c r="D682" s="4" t="s">
        <v>265</v>
      </c>
      <c r="E682" s="4" t="s">
        <v>266</v>
      </c>
      <c r="F682" s="4" t="s">
        <v>195</v>
      </c>
      <c r="G682" s="4" t="s">
        <v>93</v>
      </c>
      <c r="H682" s="4" t="s">
        <v>249</v>
      </c>
      <c r="I682" s="7">
        <v>1.8919999999999999</v>
      </c>
      <c r="J682" s="7">
        <v>2.2989999999999999</v>
      </c>
      <c r="K682" s="7">
        <v>1.9930000000000001</v>
      </c>
      <c r="L682" s="7">
        <v>2.1360000000000001</v>
      </c>
      <c r="M682" s="7">
        <v>2.173</v>
      </c>
      <c r="N682" s="7">
        <v>1.8069999999999999</v>
      </c>
      <c r="O682" s="7">
        <v>1.82</v>
      </c>
      <c r="P682" s="7">
        <v>1.839</v>
      </c>
      <c r="Q682" s="7">
        <v>1.925</v>
      </c>
      <c r="R682" s="7">
        <v>1.3879999999999999</v>
      </c>
      <c r="S682" s="7">
        <v>1.4470000000000001</v>
      </c>
      <c r="T682" s="7">
        <v>2.0030000000000001</v>
      </c>
      <c r="U682" s="7">
        <v>1.865</v>
      </c>
      <c r="V682" s="7">
        <v>2.4</v>
      </c>
      <c r="W682" s="7">
        <v>2.2629999999999999</v>
      </c>
      <c r="X682" s="7">
        <v>1.96</v>
      </c>
      <c r="Y682" s="7">
        <v>2.1739999999999999</v>
      </c>
      <c r="Z682" s="7">
        <v>1.96</v>
      </c>
      <c r="AA682" s="7">
        <v>1.891</v>
      </c>
      <c r="AB682" s="7">
        <v>1.9139999999999999</v>
      </c>
      <c r="AC682" s="7">
        <v>1.635</v>
      </c>
      <c r="AD682" s="7">
        <v>1.472</v>
      </c>
      <c r="AE682" s="7">
        <v>1.4019999999999999</v>
      </c>
      <c r="AF682" s="7">
        <v>1.095</v>
      </c>
      <c r="AG682" s="7">
        <v>1.18</v>
      </c>
      <c r="AH682" s="7">
        <v>1.887</v>
      </c>
      <c r="AI682" s="7">
        <v>1.7749999999999999</v>
      </c>
      <c r="AJ682" s="7">
        <v>1.9430000000000001</v>
      </c>
      <c r="AK682" s="7">
        <v>1.9419999999999999</v>
      </c>
      <c r="AL682" s="7">
        <v>1.694</v>
      </c>
      <c r="AM682" s="7">
        <v>1.7749999999999999</v>
      </c>
      <c r="AN682" s="7">
        <v>1.5609999999999999</v>
      </c>
      <c r="AO682" s="7">
        <v>1.534</v>
      </c>
      <c r="AP682" s="7">
        <v>1.1100000000000001</v>
      </c>
      <c r="AQ682" s="7">
        <v>0.98299999999999998</v>
      </c>
      <c r="AR682" s="7">
        <v>1.431</v>
      </c>
      <c r="AS682" s="7">
        <v>1.7090000000000001</v>
      </c>
      <c r="AT682" s="7">
        <v>0.254</v>
      </c>
    </row>
    <row r="683" spans="1:46" x14ac:dyDescent="0.25">
      <c r="A683" s="4" t="s">
        <v>206</v>
      </c>
      <c r="B683" s="4" t="s">
        <v>207</v>
      </c>
      <c r="C683" s="4" t="s">
        <v>246</v>
      </c>
      <c r="D683" s="4" t="s">
        <v>265</v>
      </c>
      <c r="E683" s="4" t="s">
        <v>266</v>
      </c>
      <c r="F683" s="4" t="s">
        <v>195</v>
      </c>
      <c r="G683" s="4" t="s">
        <v>93</v>
      </c>
      <c r="H683" s="4" t="s">
        <v>250</v>
      </c>
      <c r="I683" s="7">
        <v>46.494</v>
      </c>
      <c r="J683" s="7">
        <v>55.735999999999997</v>
      </c>
      <c r="K683" s="7">
        <v>61.712000000000003</v>
      </c>
      <c r="L683" s="7">
        <v>62.161999999999999</v>
      </c>
      <c r="M683" s="7">
        <v>66.849999999999994</v>
      </c>
      <c r="N683" s="7">
        <v>59.643999999999998</v>
      </c>
      <c r="O683" s="7">
        <v>58.034999999999997</v>
      </c>
      <c r="P683" s="7">
        <v>51.953000000000003</v>
      </c>
      <c r="Q683" s="7">
        <v>45.031999999999996</v>
      </c>
      <c r="R683" s="7">
        <v>34.320999999999998</v>
      </c>
      <c r="S683" s="7">
        <v>33.04</v>
      </c>
      <c r="T683" s="7">
        <v>37.890999999999998</v>
      </c>
      <c r="U683" s="7">
        <v>45.749000000000002</v>
      </c>
      <c r="V683" s="7">
        <v>55.015999999999998</v>
      </c>
      <c r="W683" s="7">
        <v>66.173000000000002</v>
      </c>
      <c r="X683" s="7">
        <v>67.873000000000005</v>
      </c>
      <c r="Y683" s="7">
        <v>67.713999999999999</v>
      </c>
      <c r="Z683" s="7">
        <v>65.162999999999997</v>
      </c>
      <c r="AA683" s="7">
        <v>62.561999999999998</v>
      </c>
      <c r="AB683" s="7">
        <v>57.110999999999997</v>
      </c>
      <c r="AC683" s="7">
        <v>50.94</v>
      </c>
      <c r="AD683" s="7">
        <v>40.706000000000003</v>
      </c>
      <c r="AE683" s="7">
        <v>34.741</v>
      </c>
      <c r="AF683" s="7">
        <v>32.561</v>
      </c>
      <c r="AG683" s="7">
        <v>33.796999999999997</v>
      </c>
      <c r="AH683" s="7">
        <v>46.978000000000002</v>
      </c>
      <c r="AI683" s="7">
        <v>52.755000000000003</v>
      </c>
      <c r="AJ683" s="7">
        <v>59.149000000000001</v>
      </c>
      <c r="AK683" s="7">
        <v>59.860999999999997</v>
      </c>
      <c r="AL683" s="7">
        <v>52.436999999999998</v>
      </c>
      <c r="AM683" s="7">
        <v>50.225999999999999</v>
      </c>
      <c r="AN683" s="7">
        <v>51.183</v>
      </c>
      <c r="AO683" s="7">
        <v>38.817</v>
      </c>
      <c r="AP683" s="7">
        <v>31.869</v>
      </c>
      <c r="AQ683" s="7">
        <v>28.244</v>
      </c>
      <c r="AR683" s="7">
        <v>30.771999999999998</v>
      </c>
      <c r="AS683" s="7">
        <v>42.01</v>
      </c>
      <c r="AT683" s="5">
        <v>3635.011</v>
      </c>
    </row>
    <row r="684" spans="1:46" x14ac:dyDescent="0.25">
      <c r="A684" s="4" t="s">
        <v>206</v>
      </c>
      <c r="B684" s="4" t="s">
        <v>207</v>
      </c>
      <c r="C684" s="4" t="s">
        <v>246</v>
      </c>
      <c r="D684" s="4" t="s">
        <v>265</v>
      </c>
      <c r="E684" s="4" t="s">
        <v>266</v>
      </c>
      <c r="F684" s="4" t="s">
        <v>195</v>
      </c>
      <c r="G684" s="4" t="s">
        <v>93</v>
      </c>
      <c r="H684" s="4" t="s">
        <v>251</v>
      </c>
      <c r="I684" s="7">
        <v>9.2270211999999994</v>
      </c>
      <c r="J684" s="7">
        <v>8.4026078000000002</v>
      </c>
      <c r="K684" s="7">
        <v>8.7561304</v>
      </c>
      <c r="L684" s="7">
        <v>8.9911065000000008</v>
      </c>
      <c r="M684" s="7">
        <v>9.1970711000000005</v>
      </c>
      <c r="N684" s="7">
        <v>8.9157469000000003</v>
      </c>
      <c r="O684" s="7">
        <v>9.7314208999999998</v>
      </c>
      <c r="P684" s="7">
        <v>9.2990428999999999</v>
      </c>
      <c r="Q684" s="7">
        <v>9.0884236000000005</v>
      </c>
      <c r="R684" s="7">
        <v>8.4458711999999991</v>
      </c>
      <c r="S684" s="7">
        <v>8.0675928999999993</v>
      </c>
      <c r="T684" s="7">
        <v>8.3586396000000001</v>
      </c>
      <c r="U684" s="7">
        <v>8.0853608999999995</v>
      </c>
      <c r="V684" s="7">
        <v>8.8671523000000008</v>
      </c>
      <c r="W684" s="7">
        <v>10.0916628</v>
      </c>
      <c r="X684" s="7">
        <v>9.9037682</v>
      </c>
      <c r="Y684" s="7">
        <v>10.035119399999999</v>
      </c>
      <c r="Z684" s="7">
        <v>9.8784694999999996</v>
      </c>
      <c r="AA684" s="7">
        <v>9.5019370999999992</v>
      </c>
      <c r="AB684" s="7">
        <v>8.1678835999999997</v>
      </c>
      <c r="AC684" s="7">
        <v>7.4604594000000004</v>
      </c>
      <c r="AD684" s="7">
        <v>6.6528843000000002</v>
      </c>
      <c r="AE684" s="7">
        <v>6.1862786999999999</v>
      </c>
      <c r="AF684" s="7">
        <v>5.6278518000000002</v>
      </c>
      <c r="AG684" s="7">
        <v>5.9757666</v>
      </c>
      <c r="AH684" s="7">
        <v>6.9651462999999998</v>
      </c>
      <c r="AI684" s="7">
        <v>7.6913844999999998</v>
      </c>
      <c r="AJ684" s="7">
        <v>7.8708169999999997</v>
      </c>
      <c r="AK684" s="7">
        <v>9.2153459000000009</v>
      </c>
      <c r="AL684" s="7">
        <v>8.5294115999999995</v>
      </c>
      <c r="AM684" s="7">
        <v>8.3853045999999996</v>
      </c>
      <c r="AN684" s="7">
        <v>8.3313811999999992</v>
      </c>
      <c r="AO684" s="7">
        <v>8.0302700999999992</v>
      </c>
      <c r="AP684" s="7">
        <v>6.8572397</v>
      </c>
      <c r="AQ684" s="7">
        <v>6.2082063999999999</v>
      </c>
      <c r="AR684" s="7">
        <v>6.6738049000000004</v>
      </c>
      <c r="AS684" s="7">
        <v>6.5226799</v>
      </c>
      <c r="AT684" s="7">
        <v>42.01</v>
      </c>
    </row>
    <row r="685" spans="1:46" x14ac:dyDescent="0.25">
      <c r="A685" s="4" t="s">
        <v>206</v>
      </c>
      <c r="B685" s="4" t="s">
        <v>207</v>
      </c>
      <c r="C685" s="4" t="s">
        <v>246</v>
      </c>
      <c r="D685" s="4" t="s">
        <v>265</v>
      </c>
      <c r="E685" s="4" t="s">
        <v>266</v>
      </c>
      <c r="F685" s="4" t="s">
        <v>195</v>
      </c>
      <c r="G685" s="4" t="s">
        <v>93</v>
      </c>
      <c r="H685" s="4" t="s">
        <v>252</v>
      </c>
      <c r="I685" s="16">
        <v>0.99399999999999999</v>
      </c>
      <c r="J685" s="16">
        <v>0.83</v>
      </c>
      <c r="K685" s="16">
        <v>0.96099999999999997</v>
      </c>
      <c r="L685" s="16">
        <v>0.98699999999999999</v>
      </c>
      <c r="M685" s="16">
        <v>0.88500000000000001</v>
      </c>
      <c r="N685" s="16">
        <v>1.0900000000000001</v>
      </c>
      <c r="O685" s="16">
        <v>0.94799999999999995</v>
      </c>
      <c r="P685" s="16">
        <v>0.93700000000000006</v>
      </c>
      <c r="Q685" s="16">
        <v>0.89300000000000002</v>
      </c>
      <c r="R685" s="16">
        <v>0.82199999999999995</v>
      </c>
      <c r="S685" s="16">
        <v>0.79800000000000004</v>
      </c>
      <c r="T685" s="16">
        <v>0.70699999999999996</v>
      </c>
      <c r="U685" s="16">
        <v>0.89900000000000002</v>
      </c>
      <c r="V685" s="16">
        <v>0.94099999999999995</v>
      </c>
      <c r="W685" s="16">
        <v>0.95099999999999996</v>
      </c>
      <c r="X685" s="16">
        <v>0.77700000000000002</v>
      </c>
      <c r="Y685" s="16">
        <v>0.90100000000000002</v>
      </c>
      <c r="Z685" s="16">
        <v>0.73099999999999998</v>
      </c>
      <c r="AA685" s="16">
        <v>0.58099999999999996</v>
      </c>
      <c r="AB685" s="16">
        <v>0.57799999999999996</v>
      </c>
      <c r="AC685" s="16">
        <v>0.54500000000000004</v>
      </c>
      <c r="AD685" s="16">
        <v>0.50600000000000001</v>
      </c>
      <c r="AE685" s="16">
        <v>0.46200000000000002</v>
      </c>
      <c r="AF685" s="16">
        <v>0.498</v>
      </c>
      <c r="AG685" s="16">
        <v>0.45100000000000001</v>
      </c>
      <c r="AH685" s="16">
        <v>0.502</v>
      </c>
      <c r="AI685" s="16">
        <v>0.48399999999999999</v>
      </c>
      <c r="AJ685" s="16">
        <v>0.45400000000000001</v>
      </c>
      <c r="AK685" s="16">
        <v>0.61699999999999999</v>
      </c>
      <c r="AL685" s="16">
        <v>0.51700000000000002</v>
      </c>
      <c r="AM685" s="16">
        <v>0.55700000000000005</v>
      </c>
      <c r="AN685" s="16">
        <v>0.54400000000000004</v>
      </c>
      <c r="AO685" s="16">
        <v>0.58899999999999997</v>
      </c>
      <c r="AP685" s="16">
        <v>0.63500000000000001</v>
      </c>
      <c r="AQ685" s="16">
        <v>0.64200000000000002</v>
      </c>
      <c r="AR685" s="16">
        <v>0.69499999999999995</v>
      </c>
      <c r="AS685" s="16">
        <v>0.70599999999999996</v>
      </c>
      <c r="AT685" s="7">
        <v>6.5226799</v>
      </c>
    </row>
    <row r="686" spans="1:46" x14ac:dyDescent="0.25">
      <c r="A686" s="4" t="s">
        <v>196</v>
      </c>
      <c r="B686" s="4" t="s">
        <v>207</v>
      </c>
      <c r="C686" s="4" t="s">
        <v>246</v>
      </c>
      <c r="D686" s="4" t="s">
        <v>247</v>
      </c>
      <c r="E686" s="4" t="s">
        <v>248</v>
      </c>
      <c r="F686" s="4" t="s">
        <v>201</v>
      </c>
      <c r="G686" s="4" t="s">
        <v>93</v>
      </c>
      <c r="H686" s="4" t="s">
        <v>151</v>
      </c>
      <c r="I686" s="5">
        <v>126.58</v>
      </c>
      <c r="J686" s="5">
        <v>377.71</v>
      </c>
      <c r="K686" s="5">
        <v>759.70100000000002</v>
      </c>
      <c r="L686" s="5">
        <v>1120.8720000000001</v>
      </c>
      <c r="M686" s="5">
        <v>1467.3309999999999</v>
      </c>
      <c r="N686" s="5">
        <v>1368.9390000000001</v>
      </c>
      <c r="O686" s="5">
        <v>961.947</v>
      </c>
      <c r="P686" s="5">
        <v>379.61</v>
      </c>
      <c r="Q686" s="5">
        <v>96.516000000000005</v>
      </c>
      <c r="R686" s="5">
        <v>34.018999999999998</v>
      </c>
      <c r="S686" s="5">
        <v>22.613</v>
      </c>
      <c r="T686" s="5">
        <v>17.649000000000001</v>
      </c>
      <c r="U686" s="5">
        <v>53.722000000000001</v>
      </c>
      <c r="V686" s="5">
        <v>130.30000000000001</v>
      </c>
      <c r="W686" s="5">
        <v>388.23500000000001</v>
      </c>
      <c r="X686" s="5">
        <v>960.14400000000001</v>
      </c>
      <c r="Y686" s="5">
        <v>1060.527</v>
      </c>
      <c r="Z686" s="5">
        <v>1063.454</v>
      </c>
      <c r="AA686" s="5">
        <v>1052.424</v>
      </c>
      <c r="AB686" s="5">
        <v>628.827</v>
      </c>
      <c r="AC686" s="5">
        <v>480.97199999999998</v>
      </c>
      <c r="AD686" s="5">
        <v>122.38</v>
      </c>
      <c r="AE686" s="5">
        <v>188.44399999999999</v>
      </c>
      <c r="AF686" s="5">
        <v>143.018</v>
      </c>
      <c r="AG686" s="5">
        <v>143.33000000000001</v>
      </c>
      <c r="AH686" s="5">
        <v>221.61799999999999</v>
      </c>
      <c r="AI686" s="5">
        <v>539.66800000000001</v>
      </c>
      <c r="AJ686" s="5">
        <v>1048.579</v>
      </c>
      <c r="AK686" s="5">
        <v>1374.98</v>
      </c>
      <c r="AL686" s="5">
        <v>1361.5050000000001</v>
      </c>
      <c r="AM686" s="5">
        <v>2259.86</v>
      </c>
      <c r="AN686" s="5">
        <v>2813.6019999999999</v>
      </c>
      <c r="AO686" s="5">
        <v>2260.9270000000001</v>
      </c>
      <c r="AP686" s="5">
        <v>1074.5170000000001</v>
      </c>
      <c r="AQ686" s="5">
        <v>413.45299999999997</v>
      </c>
      <c r="AR686" s="5">
        <v>397.09500000000003</v>
      </c>
      <c r="AS686" s="5">
        <v>391.29899999999998</v>
      </c>
      <c r="AT686" s="5">
        <v>391.29899999999998</v>
      </c>
    </row>
    <row r="687" spans="1:46" x14ac:dyDescent="0.25">
      <c r="A687" s="4" t="s">
        <v>196</v>
      </c>
      <c r="B687" s="4" t="s">
        <v>207</v>
      </c>
      <c r="C687" s="4" t="s">
        <v>246</v>
      </c>
      <c r="D687" s="4" t="s">
        <v>247</v>
      </c>
      <c r="E687" s="4" t="s">
        <v>248</v>
      </c>
      <c r="F687" s="4" t="s">
        <v>201</v>
      </c>
      <c r="G687" s="4" t="s">
        <v>93</v>
      </c>
      <c r="H687" s="4" t="s">
        <v>205</v>
      </c>
      <c r="I687" s="6">
        <v>16867.856</v>
      </c>
      <c r="J687" s="6">
        <v>64063.262999999999</v>
      </c>
      <c r="K687" s="6">
        <v>117528.417</v>
      </c>
      <c r="L687" s="6">
        <v>171309.02100000001</v>
      </c>
      <c r="M687" s="6">
        <v>234742.96</v>
      </c>
      <c r="N687" s="6">
        <v>232498.64</v>
      </c>
      <c r="O687" s="6">
        <v>159911.09899999999</v>
      </c>
      <c r="P687" s="6">
        <v>68552.486999999994</v>
      </c>
      <c r="Q687" s="6">
        <v>17133.341</v>
      </c>
      <c r="R687" s="6">
        <v>6999.549</v>
      </c>
      <c r="S687" s="6">
        <v>4300.9250000000002</v>
      </c>
      <c r="T687" s="6">
        <v>3125.2570000000001</v>
      </c>
      <c r="U687" s="6">
        <v>10066.871999999999</v>
      </c>
      <c r="V687" s="6">
        <v>23795.562999999998</v>
      </c>
      <c r="W687" s="6">
        <v>64704.118000000002</v>
      </c>
      <c r="X687" s="6">
        <v>169440.50399999999</v>
      </c>
      <c r="Y687" s="6">
        <v>208791.98699999999</v>
      </c>
      <c r="Z687" s="6">
        <v>200055.08799999999</v>
      </c>
      <c r="AA687" s="6">
        <v>201750.27</v>
      </c>
      <c r="AB687" s="6">
        <v>125831.164</v>
      </c>
      <c r="AC687" s="6">
        <v>101160.19500000001</v>
      </c>
      <c r="AD687" s="6">
        <v>23322.562999999998</v>
      </c>
      <c r="AE687" s="6">
        <v>36766.762999999999</v>
      </c>
      <c r="AF687" s="6">
        <v>28491.616000000002</v>
      </c>
      <c r="AG687" s="6">
        <v>28562.257000000001</v>
      </c>
      <c r="AH687" s="6">
        <v>43365.286999999997</v>
      </c>
      <c r="AI687" s="6">
        <v>109100.71</v>
      </c>
      <c r="AJ687" s="6">
        <v>215058.24900000001</v>
      </c>
      <c r="AK687" s="6">
        <v>300623.783</v>
      </c>
      <c r="AL687" s="6">
        <v>297054.31300000002</v>
      </c>
      <c r="AM687" s="6">
        <v>481543.06</v>
      </c>
      <c r="AN687" s="6">
        <v>616017.05000000005</v>
      </c>
      <c r="AO687" s="6">
        <v>515632.38699999999</v>
      </c>
      <c r="AP687" s="6">
        <v>247644.57699999999</v>
      </c>
      <c r="AQ687" s="6">
        <v>91499.675000000003</v>
      </c>
      <c r="AR687" s="6">
        <v>89846.648000000001</v>
      </c>
      <c r="AS687" s="6">
        <v>86847.228000000003</v>
      </c>
      <c r="AT687" s="6">
        <v>86847.228000000003</v>
      </c>
    </row>
    <row r="688" spans="1:46" x14ac:dyDescent="0.25">
      <c r="A688" s="4" t="s">
        <v>196</v>
      </c>
      <c r="B688" s="4" t="s">
        <v>207</v>
      </c>
      <c r="C688" s="4" t="s">
        <v>246</v>
      </c>
      <c r="D688" s="4" t="s">
        <v>247</v>
      </c>
      <c r="E688" s="4" t="s">
        <v>248</v>
      </c>
      <c r="F688" s="4" t="s">
        <v>201</v>
      </c>
      <c r="G688" s="4" t="s">
        <v>93</v>
      </c>
      <c r="H688" s="4" t="s">
        <v>249</v>
      </c>
      <c r="I688" s="7">
        <v>0.80300000000000005</v>
      </c>
      <c r="J688" s="7">
        <v>1.484</v>
      </c>
      <c r="K688" s="7">
        <v>1.958</v>
      </c>
      <c r="L688" s="7">
        <v>2.3380000000000001</v>
      </c>
      <c r="M688" s="7">
        <v>2.0310000000000001</v>
      </c>
      <c r="N688" s="7">
        <v>2.0590000000000002</v>
      </c>
      <c r="O688" s="7">
        <v>1.81</v>
      </c>
      <c r="P688" s="7">
        <v>1.0660000000000001</v>
      </c>
      <c r="Q688" s="7">
        <v>0.39600000000000002</v>
      </c>
      <c r="R688" s="7">
        <v>0.20699999999999999</v>
      </c>
      <c r="S688" s="7">
        <v>0.16</v>
      </c>
      <c r="T688" s="7">
        <v>0.13600000000000001</v>
      </c>
      <c r="U688" s="7">
        <v>0.33600000000000002</v>
      </c>
      <c r="V688" s="7">
        <v>0.66200000000000003</v>
      </c>
      <c r="W688" s="7">
        <v>1.143</v>
      </c>
      <c r="X688" s="7">
        <v>1.7509999999999999</v>
      </c>
      <c r="Y688" s="7">
        <v>1.7170000000000001</v>
      </c>
      <c r="Z688" s="7">
        <v>1.8149999999999999</v>
      </c>
      <c r="AA688" s="7">
        <v>1.788</v>
      </c>
      <c r="AB688" s="7">
        <v>1.49</v>
      </c>
      <c r="AC688" s="7">
        <v>1.4790000000000001</v>
      </c>
      <c r="AD688" s="7">
        <v>0.52700000000000002</v>
      </c>
      <c r="AE688" s="7">
        <v>0.97099999999999997</v>
      </c>
      <c r="AF688" s="7">
        <v>0.90700000000000003</v>
      </c>
      <c r="AG688" s="7">
        <v>0.88500000000000001</v>
      </c>
      <c r="AH688" s="7">
        <v>1.06</v>
      </c>
      <c r="AI688" s="7">
        <v>1.827</v>
      </c>
      <c r="AJ688" s="7">
        <v>1.81</v>
      </c>
      <c r="AK688" s="7">
        <v>1.4410000000000001</v>
      </c>
      <c r="AL688" s="7">
        <v>1.6659999999999999</v>
      </c>
      <c r="AM688" s="7">
        <v>1.9370000000000001</v>
      </c>
      <c r="AN688" s="7">
        <v>2.1190000000000002</v>
      </c>
      <c r="AO688" s="7">
        <v>2.7440000000000002</v>
      </c>
      <c r="AP688" s="7">
        <v>2.6230000000000002</v>
      </c>
      <c r="AQ688" s="7">
        <v>1.671</v>
      </c>
      <c r="AR688" s="7">
        <v>2.4359999999999999</v>
      </c>
      <c r="AS688" s="7">
        <v>2.56</v>
      </c>
      <c r="AT688" s="7">
        <v>0.77200000000000002</v>
      </c>
    </row>
    <row r="689" spans="1:46" x14ac:dyDescent="0.25">
      <c r="A689" s="4" t="s">
        <v>196</v>
      </c>
      <c r="B689" s="4" t="s">
        <v>207</v>
      </c>
      <c r="C689" s="4" t="s">
        <v>246</v>
      </c>
      <c r="D689" s="4" t="s">
        <v>247</v>
      </c>
      <c r="E689" s="4" t="s">
        <v>248</v>
      </c>
      <c r="F689" s="4" t="s">
        <v>201</v>
      </c>
      <c r="G689" s="4" t="s">
        <v>93</v>
      </c>
      <c r="H689" s="4" t="s">
        <v>250</v>
      </c>
      <c r="I689" s="7">
        <v>19.440999999999999</v>
      </c>
      <c r="J689" s="7">
        <v>36.622999999999998</v>
      </c>
      <c r="K689" s="7">
        <v>52.835999999999999</v>
      </c>
      <c r="L689" s="7">
        <v>56.084000000000003</v>
      </c>
      <c r="M689" s="7">
        <v>56.837000000000003</v>
      </c>
      <c r="N689" s="7">
        <v>49.386000000000003</v>
      </c>
      <c r="O689" s="7">
        <v>41.158000000000001</v>
      </c>
      <c r="P689" s="7">
        <v>36.457000000000001</v>
      </c>
      <c r="Q689" s="7">
        <v>23.757999999999999</v>
      </c>
      <c r="R689" s="7">
        <v>16.251999999999999</v>
      </c>
      <c r="S689" s="7">
        <v>13.968</v>
      </c>
      <c r="T689" s="7">
        <v>13.256</v>
      </c>
      <c r="U689" s="7">
        <v>17.469000000000001</v>
      </c>
      <c r="V689" s="7">
        <v>31.805</v>
      </c>
      <c r="W689" s="7">
        <v>52.512</v>
      </c>
      <c r="X689" s="7">
        <v>58.725999999999999</v>
      </c>
      <c r="Y689" s="7">
        <v>53.954000000000001</v>
      </c>
      <c r="Z689" s="7">
        <v>50.375</v>
      </c>
      <c r="AA689" s="7">
        <v>51.847000000000001</v>
      </c>
      <c r="AB689" s="7">
        <v>45.182000000000002</v>
      </c>
      <c r="AC689" s="7">
        <v>40.232999999999997</v>
      </c>
      <c r="AD689" s="7">
        <v>30.422000000000001</v>
      </c>
      <c r="AE689" s="7">
        <v>33.619999999999997</v>
      </c>
      <c r="AF689" s="7">
        <v>28.780999999999999</v>
      </c>
      <c r="AG689" s="7">
        <v>23.646000000000001</v>
      </c>
      <c r="AH689" s="7">
        <v>29.427</v>
      </c>
      <c r="AI689" s="7">
        <v>43.79</v>
      </c>
      <c r="AJ689" s="7">
        <v>58.401000000000003</v>
      </c>
      <c r="AK689" s="7">
        <v>42.783000000000001</v>
      </c>
      <c r="AL689" s="7">
        <v>30.352</v>
      </c>
      <c r="AM689" s="7">
        <v>33.130000000000003</v>
      </c>
      <c r="AN689" s="7">
        <v>34.9</v>
      </c>
      <c r="AO689" s="7">
        <v>42.432000000000002</v>
      </c>
      <c r="AP689" s="7">
        <v>47.716999999999999</v>
      </c>
      <c r="AQ689" s="7">
        <v>47.070999999999998</v>
      </c>
      <c r="AR689" s="7">
        <v>48.125</v>
      </c>
      <c r="AS689" s="7">
        <v>36.462000000000003</v>
      </c>
      <c r="AT689" s="5">
        <v>962.34299999999996</v>
      </c>
    </row>
    <row r="690" spans="1:46" x14ac:dyDescent="0.25">
      <c r="A690" s="4" t="s">
        <v>196</v>
      </c>
      <c r="B690" s="4" t="s">
        <v>207</v>
      </c>
      <c r="C690" s="4" t="s">
        <v>246</v>
      </c>
      <c r="D690" s="4" t="s">
        <v>247</v>
      </c>
      <c r="E690" s="4" t="s">
        <v>248</v>
      </c>
      <c r="F690" s="4" t="s">
        <v>201</v>
      </c>
      <c r="G690" s="4" t="s">
        <v>93</v>
      </c>
      <c r="H690" s="4" t="s">
        <v>251</v>
      </c>
      <c r="I690" s="7">
        <v>14.569201700000001</v>
      </c>
      <c r="J690" s="7">
        <v>17.6250234</v>
      </c>
      <c r="K690" s="7">
        <v>20.626416899999999</v>
      </c>
      <c r="L690" s="7">
        <v>22.949243599999999</v>
      </c>
      <c r="M690" s="7">
        <v>23.0743902</v>
      </c>
      <c r="N690" s="7">
        <v>23.141263299999999</v>
      </c>
      <c r="O690" s="7">
        <v>22.279513300000001</v>
      </c>
      <c r="P690" s="7">
        <v>19.485565300000001</v>
      </c>
      <c r="Q690" s="7">
        <v>13.395819299999999</v>
      </c>
      <c r="R690" s="7">
        <v>9.2017504999999993</v>
      </c>
      <c r="S690" s="7">
        <v>8.7015940999999994</v>
      </c>
      <c r="T690" s="7">
        <v>8.3604210000000005</v>
      </c>
      <c r="U690" s="7">
        <v>9.9902455999999997</v>
      </c>
      <c r="V690" s="7">
        <v>13.1696914</v>
      </c>
      <c r="W690" s="7">
        <v>18.589596499999999</v>
      </c>
      <c r="X690" s="7">
        <v>22.193984700000001</v>
      </c>
      <c r="Y690" s="7">
        <v>24.941186600000002</v>
      </c>
      <c r="Z690" s="7">
        <v>25.052403399999999</v>
      </c>
      <c r="AA690" s="7">
        <v>26.5593784</v>
      </c>
      <c r="AB690" s="7">
        <v>26.124617400000002</v>
      </c>
      <c r="AC690" s="7">
        <v>21.525069800000001</v>
      </c>
      <c r="AD690" s="7">
        <v>15.5427845</v>
      </c>
      <c r="AE690" s="7">
        <v>16.345300699999999</v>
      </c>
      <c r="AF690" s="7">
        <v>14.7895463</v>
      </c>
      <c r="AG690" s="7">
        <v>15.0251746</v>
      </c>
      <c r="AH690" s="7">
        <v>19.331053099999998</v>
      </c>
      <c r="AI690" s="7">
        <v>23.8697123</v>
      </c>
      <c r="AJ690" s="7">
        <v>28.207140599999999</v>
      </c>
      <c r="AK690" s="7">
        <v>28.5695643</v>
      </c>
      <c r="AL690" s="7">
        <v>27.089578400000001</v>
      </c>
      <c r="AM690" s="7">
        <v>32.365048999999999</v>
      </c>
      <c r="AN690" s="7">
        <v>32.370739700000001</v>
      </c>
      <c r="AO690" s="7">
        <v>27.3914233</v>
      </c>
      <c r="AP690" s="7">
        <v>25.730201600000001</v>
      </c>
      <c r="AQ690" s="7">
        <v>23.604770899999998</v>
      </c>
      <c r="AR690" s="7">
        <v>22.485741000000001</v>
      </c>
      <c r="AS690" s="7">
        <v>21.398585600000001</v>
      </c>
      <c r="AT690" s="7">
        <v>36.462000000000003</v>
      </c>
    </row>
    <row r="691" spans="1:46" x14ac:dyDescent="0.25">
      <c r="A691" s="4" t="s">
        <v>196</v>
      </c>
      <c r="B691" s="4" t="s">
        <v>207</v>
      </c>
      <c r="C691" s="4" t="s">
        <v>246</v>
      </c>
      <c r="D691" s="4" t="s">
        <v>247</v>
      </c>
      <c r="E691" s="4" t="s">
        <v>248</v>
      </c>
      <c r="F691" s="4" t="s">
        <v>201</v>
      </c>
      <c r="G691" s="4" t="s">
        <v>93</v>
      </c>
      <c r="H691" s="4" t="s">
        <v>252</v>
      </c>
      <c r="I691" s="16">
        <v>1.5209999999999999</v>
      </c>
      <c r="J691" s="16">
        <v>1.1919999999999999</v>
      </c>
      <c r="K691" s="16">
        <v>1.012</v>
      </c>
      <c r="L691" s="16">
        <v>0.90300000000000002</v>
      </c>
      <c r="M691" s="16">
        <v>0.77800000000000002</v>
      </c>
      <c r="N691" s="16">
        <v>0.93899999999999995</v>
      </c>
      <c r="O691" s="16">
        <v>1.036</v>
      </c>
      <c r="P691" s="16">
        <v>1.1100000000000001</v>
      </c>
      <c r="Q691" s="16">
        <v>0.97599999999999998</v>
      </c>
      <c r="R691" s="16">
        <v>0.98599999999999999</v>
      </c>
      <c r="S691" s="16">
        <v>0.879</v>
      </c>
      <c r="T691" s="16">
        <v>0.85899999999999999</v>
      </c>
      <c r="U691" s="16">
        <v>0.86099999999999999</v>
      </c>
      <c r="V691" s="16">
        <v>0.94199999999999995</v>
      </c>
      <c r="W691" s="16">
        <v>0.79800000000000004</v>
      </c>
      <c r="X691" s="16">
        <v>0.86199999999999999</v>
      </c>
      <c r="Y691" s="16">
        <v>0.81699999999999995</v>
      </c>
      <c r="Z691" s="16">
        <v>0.9</v>
      </c>
      <c r="AA691" s="16">
        <v>1.1399999999999999</v>
      </c>
      <c r="AB691" s="16">
        <v>1.32</v>
      </c>
      <c r="AC691" s="16">
        <v>1.3049999999999999</v>
      </c>
      <c r="AD691" s="16">
        <v>1.3480000000000001</v>
      </c>
      <c r="AE691" s="16">
        <v>1.1100000000000001</v>
      </c>
      <c r="AF691" s="16">
        <v>1.0860000000000001</v>
      </c>
      <c r="AG691" s="16">
        <v>1.089</v>
      </c>
      <c r="AH691" s="16">
        <v>1.097</v>
      </c>
      <c r="AI691" s="16">
        <v>0.97199999999999998</v>
      </c>
      <c r="AJ691" s="16">
        <v>1.0940000000000001</v>
      </c>
      <c r="AK691" s="16">
        <v>1.2849999999999999</v>
      </c>
      <c r="AL691" s="16">
        <v>1.621</v>
      </c>
      <c r="AM691" s="16">
        <v>2.0510000000000002</v>
      </c>
      <c r="AN691" s="16">
        <v>1.8069999999999999</v>
      </c>
      <c r="AO691" s="16">
        <v>1.8049999999999999</v>
      </c>
      <c r="AP691" s="16">
        <v>2.3839999999999999</v>
      </c>
      <c r="AQ691" s="16">
        <v>2.21</v>
      </c>
      <c r="AR691" s="16">
        <v>2.0579999999999998</v>
      </c>
      <c r="AS691" s="16">
        <v>1.929</v>
      </c>
      <c r="AT691" s="7">
        <v>21.398585600000001</v>
      </c>
    </row>
    <row r="692" spans="1:46" x14ac:dyDescent="0.25">
      <c r="A692" s="4" t="s">
        <v>196</v>
      </c>
      <c r="B692" s="4" t="s">
        <v>207</v>
      </c>
      <c r="C692" s="4" t="s">
        <v>246</v>
      </c>
      <c r="D692" s="4" t="s">
        <v>247</v>
      </c>
      <c r="E692" s="4" t="s">
        <v>248</v>
      </c>
      <c r="F692" s="4" t="s">
        <v>201</v>
      </c>
      <c r="G692" s="4" t="s">
        <v>253</v>
      </c>
      <c r="H692" s="4" t="s">
        <v>151</v>
      </c>
      <c r="I692" s="5">
        <v>0</v>
      </c>
      <c r="J692" s="5">
        <v>14.138</v>
      </c>
      <c r="K692" s="5">
        <v>32.033999999999999</v>
      </c>
      <c r="L692" s="5">
        <v>47.927</v>
      </c>
      <c r="M692" s="5">
        <v>16.88</v>
      </c>
      <c r="N692" s="5">
        <v>33.866999999999997</v>
      </c>
      <c r="O692" s="5">
        <v>0</v>
      </c>
      <c r="P692" s="5">
        <v>0</v>
      </c>
      <c r="Q692" s="5">
        <v>4.5330000000000004</v>
      </c>
      <c r="R692" s="5">
        <v>0</v>
      </c>
      <c r="S692" s="5">
        <v>0</v>
      </c>
      <c r="T692" s="5">
        <v>0</v>
      </c>
      <c r="U692" s="5">
        <v>1.7829999999999999</v>
      </c>
      <c r="V692" s="5">
        <v>2.3380000000000001</v>
      </c>
      <c r="W692" s="5">
        <v>0</v>
      </c>
      <c r="X692" s="5">
        <v>21.687999999999999</v>
      </c>
      <c r="Y692" s="5">
        <v>18.498000000000001</v>
      </c>
      <c r="Z692" s="5">
        <v>20.29</v>
      </c>
      <c r="AA692" s="5">
        <v>10.483000000000001</v>
      </c>
      <c r="AB692" s="8">
        <v>0</v>
      </c>
      <c r="AC692" s="8">
        <v>0</v>
      </c>
      <c r="AD692" s="9">
        <v>0</v>
      </c>
      <c r="AE692" s="9">
        <v>0</v>
      </c>
      <c r="AF692" s="9">
        <v>0</v>
      </c>
      <c r="AG692" s="9">
        <v>0</v>
      </c>
      <c r="AH692" s="9">
        <v>0</v>
      </c>
      <c r="AI692" s="9">
        <v>0</v>
      </c>
      <c r="AJ692" s="9">
        <v>0</v>
      </c>
      <c r="AK692" s="9">
        <v>0</v>
      </c>
      <c r="AL692" s="9">
        <v>0</v>
      </c>
      <c r="AM692" s="9">
        <v>0</v>
      </c>
      <c r="AN692" s="9">
        <v>0</v>
      </c>
      <c r="AO692" s="9">
        <v>0</v>
      </c>
      <c r="AP692" s="9">
        <v>0</v>
      </c>
      <c r="AQ692" s="9">
        <v>0</v>
      </c>
      <c r="AR692" s="9">
        <v>0</v>
      </c>
      <c r="AS692" s="9">
        <v>0</v>
      </c>
      <c r="AT692" s="9">
        <v>0</v>
      </c>
    </row>
    <row r="693" spans="1:46" x14ac:dyDescent="0.25">
      <c r="A693" s="4" t="s">
        <v>196</v>
      </c>
      <c r="B693" s="4" t="s">
        <v>207</v>
      </c>
      <c r="C693" s="4" t="s">
        <v>246</v>
      </c>
      <c r="D693" s="4" t="s">
        <v>247</v>
      </c>
      <c r="E693" s="4" t="s">
        <v>248</v>
      </c>
      <c r="F693" s="4" t="s">
        <v>201</v>
      </c>
      <c r="G693" s="4" t="s">
        <v>253</v>
      </c>
      <c r="H693" s="4" t="s">
        <v>205</v>
      </c>
      <c r="I693" s="6">
        <v>0</v>
      </c>
      <c r="J693" s="6">
        <v>1365.1089999999999</v>
      </c>
      <c r="K693" s="6">
        <v>3043.1909999999998</v>
      </c>
      <c r="L693" s="6">
        <v>4598.7510000000002</v>
      </c>
      <c r="M693" s="6">
        <v>1538.1669999999999</v>
      </c>
      <c r="N693" s="6">
        <v>2960.9259999999999</v>
      </c>
      <c r="O693" s="6">
        <v>0</v>
      </c>
      <c r="P693" s="6">
        <v>0</v>
      </c>
      <c r="Q693" s="6">
        <v>430.673</v>
      </c>
      <c r="R693" s="6">
        <v>0</v>
      </c>
      <c r="S693" s="6">
        <v>0</v>
      </c>
      <c r="T693" s="6">
        <v>0</v>
      </c>
      <c r="U693" s="6">
        <v>155.15100000000001</v>
      </c>
      <c r="V693" s="6">
        <v>203.376</v>
      </c>
      <c r="W693" s="6">
        <v>0</v>
      </c>
      <c r="X693" s="6">
        <v>2060.3440000000001</v>
      </c>
      <c r="Y693" s="6">
        <v>1757.335</v>
      </c>
      <c r="Z693" s="6">
        <v>1927.5360000000001</v>
      </c>
      <c r="AA693" s="6">
        <v>995.86199999999997</v>
      </c>
      <c r="AB693" s="10">
        <v>0</v>
      </c>
      <c r="AC693" s="10">
        <v>0</v>
      </c>
      <c r="AD693" s="9">
        <v>0</v>
      </c>
      <c r="AE693" s="9">
        <v>0</v>
      </c>
      <c r="AF693" s="9">
        <v>0</v>
      </c>
      <c r="AG693" s="9">
        <v>0</v>
      </c>
      <c r="AH693" s="9">
        <v>0</v>
      </c>
      <c r="AI693" s="9">
        <v>0</v>
      </c>
      <c r="AJ693" s="9">
        <v>0</v>
      </c>
      <c r="AK693" s="9">
        <v>0</v>
      </c>
      <c r="AL693" s="9">
        <v>0</v>
      </c>
      <c r="AM693" s="9">
        <v>0</v>
      </c>
      <c r="AN693" s="9">
        <v>0</v>
      </c>
      <c r="AO693" s="9">
        <v>0</v>
      </c>
      <c r="AP693" s="9">
        <v>0</v>
      </c>
      <c r="AQ693" s="9">
        <v>0</v>
      </c>
      <c r="AR693" s="9">
        <v>0</v>
      </c>
      <c r="AS693" s="9">
        <v>0</v>
      </c>
      <c r="AT693" s="9">
        <v>0</v>
      </c>
    </row>
    <row r="694" spans="1:46" x14ac:dyDescent="0.25">
      <c r="A694" s="4" t="s">
        <v>196</v>
      </c>
      <c r="B694" s="4" t="s">
        <v>207</v>
      </c>
      <c r="C694" s="4" t="s">
        <v>246</v>
      </c>
      <c r="D694" s="4" t="s">
        <v>247</v>
      </c>
      <c r="E694" s="4" t="s">
        <v>248</v>
      </c>
      <c r="F694" s="4" t="s">
        <v>201</v>
      </c>
      <c r="G694" s="4" t="s">
        <v>253</v>
      </c>
      <c r="H694" s="4" t="s">
        <v>249</v>
      </c>
      <c r="I694" s="7">
        <v>0</v>
      </c>
      <c r="J694" s="7">
        <v>0.02</v>
      </c>
      <c r="K694" s="7">
        <v>0.03</v>
      </c>
      <c r="L694" s="7">
        <v>3.5999999999999997E-2</v>
      </c>
      <c r="M694" s="7">
        <v>8.0000000000000002E-3</v>
      </c>
      <c r="N694" s="7">
        <v>1.9E-2</v>
      </c>
      <c r="O694" s="7">
        <v>0</v>
      </c>
      <c r="P694" s="7">
        <v>0</v>
      </c>
      <c r="Q694" s="7">
        <v>7.0000000000000001E-3</v>
      </c>
      <c r="R694" s="7">
        <v>0</v>
      </c>
      <c r="S694" s="7">
        <v>0</v>
      </c>
      <c r="T694" s="7">
        <v>0</v>
      </c>
      <c r="U694" s="7">
        <v>4.0000000000000001E-3</v>
      </c>
      <c r="V694" s="7">
        <v>4.0000000000000001E-3</v>
      </c>
      <c r="W694" s="7">
        <v>0</v>
      </c>
      <c r="X694" s="7">
        <v>1.4E-2</v>
      </c>
      <c r="Y694" s="7">
        <v>1.0999999999999999E-2</v>
      </c>
      <c r="Z694" s="7">
        <v>1.2E-2</v>
      </c>
      <c r="AA694" s="7">
        <v>6.0000000000000001E-3</v>
      </c>
      <c r="AB694" s="11">
        <v>0</v>
      </c>
      <c r="AC694" s="11">
        <v>0</v>
      </c>
      <c r="AD694" s="9">
        <v>0</v>
      </c>
      <c r="AE694" s="9">
        <v>0</v>
      </c>
      <c r="AF694" s="9">
        <v>0</v>
      </c>
      <c r="AG694" s="9">
        <v>0</v>
      </c>
      <c r="AH694" s="9">
        <v>0</v>
      </c>
      <c r="AI694" s="9">
        <v>0</v>
      </c>
      <c r="AJ694" s="9">
        <v>0</v>
      </c>
      <c r="AK694" s="9">
        <v>0</v>
      </c>
      <c r="AL694" s="9">
        <v>0</v>
      </c>
      <c r="AM694" s="9">
        <v>0</v>
      </c>
      <c r="AN694" s="9">
        <v>0</v>
      </c>
      <c r="AO694" s="9">
        <v>0</v>
      </c>
      <c r="AP694" s="9">
        <v>0</v>
      </c>
      <c r="AQ694" s="9">
        <v>0</v>
      </c>
      <c r="AR694" s="9">
        <v>0</v>
      </c>
      <c r="AS694" s="9">
        <v>0</v>
      </c>
      <c r="AT694" s="9">
        <v>0</v>
      </c>
    </row>
    <row r="695" spans="1:46" x14ac:dyDescent="0.25">
      <c r="A695" s="4" t="s">
        <v>196</v>
      </c>
      <c r="B695" s="4" t="s">
        <v>207</v>
      </c>
      <c r="C695" s="4" t="s">
        <v>246</v>
      </c>
      <c r="D695" s="4" t="s">
        <v>247</v>
      </c>
      <c r="E695" s="4" t="s">
        <v>248</v>
      </c>
      <c r="F695" s="4" t="s">
        <v>201</v>
      </c>
      <c r="G695" s="4" t="s">
        <v>253</v>
      </c>
      <c r="H695" s="4" t="s">
        <v>250</v>
      </c>
      <c r="I695" s="7">
        <v>3.2010000000000001</v>
      </c>
      <c r="J695" s="7">
        <v>1.1100000000000001</v>
      </c>
      <c r="K695" s="7">
        <v>1.331</v>
      </c>
      <c r="L695" s="7">
        <v>1.516</v>
      </c>
      <c r="M695" s="7">
        <v>1.827</v>
      </c>
      <c r="N695" s="7">
        <v>2.72</v>
      </c>
      <c r="O695" s="7">
        <v>1.2030000000000001</v>
      </c>
      <c r="P695" s="7">
        <v>1.5680000000000001</v>
      </c>
      <c r="Q695" s="7">
        <v>1.7310000000000001</v>
      </c>
      <c r="R695" s="7">
        <v>0.314</v>
      </c>
      <c r="S695" s="7">
        <v>7.0999999999999994E-2</v>
      </c>
      <c r="T695" s="7">
        <v>0.52500000000000002</v>
      </c>
      <c r="U695" s="7">
        <v>0.34499999999999997</v>
      </c>
      <c r="V695" s="7">
        <v>0.70099999999999996</v>
      </c>
      <c r="W695" s="7">
        <v>0.28299999999999997</v>
      </c>
      <c r="X695" s="7">
        <v>0.34699999999999998</v>
      </c>
      <c r="Y695" s="7">
        <v>0.49099999999999999</v>
      </c>
      <c r="Z695" s="7">
        <v>0.55700000000000005</v>
      </c>
      <c r="AA695" s="7">
        <v>0.42</v>
      </c>
      <c r="AB695" s="11">
        <v>0</v>
      </c>
      <c r="AC695" s="11">
        <v>0</v>
      </c>
      <c r="AD695" s="9">
        <v>0</v>
      </c>
      <c r="AE695" s="9">
        <v>0</v>
      </c>
      <c r="AF695" s="9">
        <v>0</v>
      </c>
      <c r="AG695" s="9">
        <v>0</v>
      </c>
      <c r="AH695" s="9">
        <v>0</v>
      </c>
      <c r="AI695" s="9">
        <v>0</v>
      </c>
      <c r="AJ695" s="9">
        <v>0</v>
      </c>
      <c r="AK695" s="9">
        <v>0</v>
      </c>
      <c r="AL695" s="9">
        <v>0</v>
      </c>
      <c r="AM695" s="9">
        <v>0</v>
      </c>
      <c r="AN695" s="9">
        <v>0</v>
      </c>
      <c r="AO695" s="9">
        <v>0</v>
      </c>
      <c r="AP695" s="9">
        <v>0</v>
      </c>
      <c r="AQ695" s="9">
        <v>0</v>
      </c>
      <c r="AR695" s="9">
        <v>0</v>
      </c>
      <c r="AS695" s="9">
        <v>0</v>
      </c>
      <c r="AT695" s="9">
        <v>0</v>
      </c>
    </row>
    <row r="696" spans="1:46" x14ac:dyDescent="0.25">
      <c r="A696" s="4" t="s">
        <v>196</v>
      </c>
      <c r="B696" s="4" t="s">
        <v>207</v>
      </c>
      <c r="C696" s="4" t="s">
        <v>246</v>
      </c>
      <c r="D696" s="4" t="s">
        <v>247</v>
      </c>
      <c r="E696" s="4" t="s">
        <v>248</v>
      </c>
      <c r="F696" s="4" t="s">
        <v>201</v>
      </c>
      <c r="G696" s="4" t="s">
        <v>253</v>
      </c>
      <c r="H696" s="4" t="s">
        <v>251</v>
      </c>
      <c r="I696" s="7">
        <v>3.1826137000000001</v>
      </c>
      <c r="J696" s="7">
        <v>3.2352915000000002</v>
      </c>
      <c r="K696" s="7">
        <v>3.0610922999999999</v>
      </c>
      <c r="L696" s="7">
        <v>2.9710087000000001</v>
      </c>
      <c r="M696" s="7">
        <v>3.0926683000000001</v>
      </c>
      <c r="N696" s="7">
        <v>3.2107934</v>
      </c>
      <c r="O696" s="7">
        <v>1.6397203</v>
      </c>
      <c r="P696" s="7">
        <v>1.6397162999999999</v>
      </c>
      <c r="Q696" s="7">
        <v>1.5289809000000001</v>
      </c>
      <c r="R696" s="7">
        <v>0.60962760000000005</v>
      </c>
      <c r="S696" s="7">
        <v>0.60871260000000005</v>
      </c>
      <c r="T696" s="7">
        <v>0.60841860000000003</v>
      </c>
      <c r="U696" s="7">
        <v>0.73376410000000003</v>
      </c>
      <c r="V696" s="7">
        <v>0.79525619999999997</v>
      </c>
      <c r="W696" s="7">
        <v>0.60794329999999996</v>
      </c>
      <c r="X696" s="7">
        <v>0.60539359999999998</v>
      </c>
      <c r="Y696" s="7">
        <v>0.60207670000000002</v>
      </c>
      <c r="Z696" s="7">
        <v>0.60142839999999997</v>
      </c>
      <c r="AA696" s="7">
        <v>0.60061200000000003</v>
      </c>
      <c r="AB696" s="7">
        <v>0</v>
      </c>
      <c r="AC696" s="7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9">
        <v>0</v>
      </c>
      <c r="AJ696" s="9">
        <v>0</v>
      </c>
      <c r="AK696" s="9">
        <v>0</v>
      </c>
      <c r="AL696" s="9">
        <v>0</v>
      </c>
      <c r="AM696" s="9">
        <v>0</v>
      </c>
      <c r="AN696" s="9">
        <v>0</v>
      </c>
      <c r="AO696" s="9">
        <v>0</v>
      </c>
      <c r="AP696" s="9">
        <v>0</v>
      </c>
      <c r="AQ696" s="9">
        <v>0</v>
      </c>
      <c r="AR696" s="9">
        <v>0</v>
      </c>
      <c r="AS696" s="9">
        <v>0</v>
      </c>
      <c r="AT696" s="9">
        <v>0</v>
      </c>
    </row>
    <row r="697" spans="1:46" x14ac:dyDescent="0.25">
      <c r="A697" s="4" t="s">
        <v>196</v>
      </c>
      <c r="B697" s="4" t="s">
        <v>207</v>
      </c>
      <c r="C697" s="4" t="s">
        <v>246</v>
      </c>
      <c r="D697" s="4" t="s">
        <v>247</v>
      </c>
      <c r="E697" s="4" t="s">
        <v>248</v>
      </c>
      <c r="F697" s="4" t="s">
        <v>201</v>
      </c>
      <c r="G697" s="4" t="s">
        <v>253</v>
      </c>
      <c r="H697" s="4" t="s">
        <v>252</v>
      </c>
      <c r="I697" s="16">
        <v>0.14199999999999999</v>
      </c>
      <c r="J697" s="16">
        <v>0.11600000000000001</v>
      </c>
      <c r="K697" s="16">
        <v>8.1000000000000003E-2</v>
      </c>
      <c r="L697" s="16">
        <v>0.05</v>
      </c>
      <c r="M697" s="16">
        <v>4.3999999999999997E-2</v>
      </c>
      <c r="N697" s="16">
        <v>2.5999999999999999E-2</v>
      </c>
      <c r="O697" s="16">
        <v>2.5999999999999999E-2</v>
      </c>
      <c r="P697" s="16">
        <v>2.8000000000000001E-2</v>
      </c>
      <c r="Q697" s="16">
        <v>1.7999999999999999E-2</v>
      </c>
      <c r="R697" s="16">
        <v>1.9E-2</v>
      </c>
      <c r="S697" s="16">
        <v>1.9E-2</v>
      </c>
      <c r="T697" s="16">
        <v>1.7999999999999999E-2</v>
      </c>
      <c r="U697" s="16">
        <v>1.9E-2</v>
      </c>
      <c r="V697" s="16">
        <v>1.7999999999999999E-2</v>
      </c>
      <c r="W697" s="16">
        <v>1.6E-2</v>
      </c>
      <c r="X697" s="16">
        <v>1.6E-2</v>
      </c>
      <c r="Y697" s="16">
        <v>1.4999999999999999E-2</v>
      </c>
      <c r="Z697" s="16">
        <v>1.6E-2</v>
      </c>
      <c r="AA697" s="17">
        <v>0</v>
      </c>
      <c r="AB697" s="17">
        <v>0</v>
      </c>
      <c r="AC697" s="17">
        <v>0</v>
      </c>
      <c r="AD697" s="9">
        <v>0</v>
      </c>
      <c r="AE697" s="9">
        <v>0</v>
      </c>
      <c r="AF697" s="9">
        <v>0</v>
      </c>
      <c r="AG697" s="9">
        <v>0</v>
      </c>
      <c r="AH697" s="9">
        <v>0</v>
      </c>
      <c r="AI697" s="9">
        <v>0</v>
      </c>
      <c r="AJ697" s="9">
        <v>0</v>
      </c>
      <c r="AK697" s="9">
        <v>0</v>
      </c>
      <c r="AL697" s="9">
        <v>0</v>
      </c>
      <c r="AM697" s="9">
        <v>0</v>
      </c>
      <c r="AN697" s="9">
        <v>0</v>
      </c>
      <c r="AO697" s="9">
        <v>0</v>
      </c>
      <c r="AP697" s="9">
        <v>0</v>
      </c>
      <c r="AQ697" s="9">
        <v>0</v>
      </c>
      <c r="AR697" s="9">
        <v>0</v>
      </c>
      <c r="AS697" s="9">
        <v>0</v>
      </c>
      <c r="AT697" s="9">
        <v>0</v>
      </c>
    </row>
    <row r="698" spans="1:46" x14ac:dyDescent="0.25">
      <c r="A698" s="4" t="s">
        <v>196</v>
      </c>
      <c r="B698" s="4" t="s">
        <v>207</v>
      </c>
      <c r="C698" s="4" t="s">
        <v>246</v>
      </c>
      <c r="D698" s="4" t="s">
        <v>247</v>
      </c>
      <c r="E698" s="4" t="s">
        <v>248</v>
      </c>
      <c r="F698" s="4" t="s">
        <v>202</v>
      </c>
      <c r="G698" s="4" t="s">
        <v>93</v>
      </c>
      <c r="H698" s="4" t="s">
        <v>151</v>
      </c>
      <c r="I698" s="5">
        <v>1122.0409999999999</v>
      </c>
      <c r="J698" s="5">
        <v>3318.377</v>
      </c>
      <c r="K698" s="5">
        <v>5469.5919999999996</v>
      </c>
      <c r="L698" s="5">
        <v>6334.6610000000001</v>
      </c>
      <c r="M698" s="5">
        <v>12532.257</v>
      </c>
      <c r="N698" s="5">
        <v>11891.65</v>
      </c>
      <c r="O698" s="5">
        <v>7849.6679999999997</v>
      </c>
      <c r="P698" s="5">
        <v>3940.9450000000002</v>
      </c>
      <c r="Q698" s="5">
        <v>2005.921</v>
      </c>
      <c r="R698" s="5">
        <v>1104.579</v>
      </c>
      <c r="S698" s="5">
        <v>885.07799999999997</v>
      </c>
      <c r="T698" s="5">
        <v>956.33699999999999</v>
      </c>
      <c r="U698" s="5">
        <v>1346.7260000000001</v>
      </c>
      <c r="V698" s="5">
        <v>1881.954</v>
      </c>
      <c r="W698" s="5">
        <v>4114.8760000000002</v>
      </c>
      <c r="X698" s="5">
        <v>8615.4660000000003</v>
      </c>
      <c r="Y698" s="5">
        <v>11064.031000000001</v>
      </c>
      <c r="Z698" s="5">
        <v>8962.2880000000005</v>
      </c>
      <c r="AA698" s="5">
        <v>7840.8370000000004</v>
      </c>
      <c r="AB698" s="5">
        <v>4973.4399999999996</v>
      </c>
      <c r="AC698" s="5">
        <v>3977.39</v>
      </c>
      <c r="AD698" s="5">
        <v>2058.5920000000001</v>
      </c>
      <c r="AE698" s="5">
        <v>1501.9090000000001</v>
      </c>
      <c r="AF698" s="5">
        <v>1002.475</v>
      </c>
      <c r="AG698" s="5">
        <v>1513.4290000000001</v>
      </c>
      <c r="AH698" s="5">
        <v>2475.8049999999998</v>
      </c>
      <c r="AI698" s="5">
        <v>4151.3909999999996</v>
      </c>
      <c r="AJ698" s="5">
        <v>12337.17</v>
      </c>
      <c r="AK698" s="5">
        <v>24378.69</v>
      </c>
      <c r="AL698" s="5">
        <v>19147.62</v>
      </c>
      <c r="AM698" s="5">
        <v>32717.919999999998</v>
      </c>
      <c r="AN698" s="5">
        <v>38513.226000000002</v>
      </c>
      <c r="AO698" s="5">
        <v>18496.862000000001</v>
      </c>
      <c r="AP698" s="5">
        <v>6648.1350000000002</v>
      </c>
      <c r="AQ698" s="5">
        <v>3403.48</v>
      </c>
      <c r="AR698" s="5">
        <v>1807.037</v>
      </c>
      <c r="AS698" s="5">
        <v>2140.7240000000002</v>
      </c>
      <c r="AT698" s="5">
        <v>2140.7240000000002</v>
      </c>
    </row>
    <row r="699" spans="1:46" x14ac:dyDescent="0.25">
      <c r="A699" s="4" t="s">
        <v>196</v>
      </c>
      <c r="B699" s="4" t="s">
        <v>207</v>
      </c>
      <c r="C699" s="4" t="s">
        <v>246</v>
      </c>
      <c r="D699" s="4" t="s">
        <v>247</v>
      </c>
      <c r="E699" s="4" t="s">
        <v>248</v>
      </c>
      <c r="F699" s="4" t="s">
        <v>202</v>
      </c>
      <c r="G699" s="4" t="s">
        <v>93</v>
      </c>
      <c r="H699" s="4" t="s">
        <v>205</v>
      </c>
      <c r="I699" s="6">
        <v>332378.554</v>
      </c>
      <c r="J699" s="6">
        <v>933759.30299999996</v>
      </c>
      <c r="K699" s="6">
        <v>1602507.023</v>
      </c>
      <c r="L699" s="6">
        <v>1961537.5109999999</v>
      </c>
      <c r="M699" s="6">
        <v>3928962.6869999999</v>
      </c>
      <c r="N699" s="6">
        <v>3665729.5329999998</v>
      </c>
      <c r="O699" s="6">
        <v>2478292.8050000002</v>
      </c>
      <c r="P699" s="6">
        <v>1263014.351</v>
      </c>
      <c r="Q699" s="6">
        <v>646968.43999999994</v>
      </c>
      <c r="R699" s="6">
        <v>349187.17599999998</v>
      </c>
      <c r="S699" s="6">
        <v>297619.90000000002</v>
      </c>
      <c r="T699" s="6">
        <v>297516.41200000001</v>
      </c>
      <c r="U699" s="6">
        <v>416819.217</v>
      </c>
      <c r="V699" s="6">
        <v>577564.554</v>
      </c>
      <c r="W699" s="6">
        <v>1367809.2479999999</v>
      </c>
      <c r="X699" s="6">
        <v>2797115.7489999998</v>
      </c>
      <c r="Y699" s="6">
        <v>3758138.4309999999</v>
      </c>
      <c r="Z699" s="6">
        <v>3194513.96</v>
      </c>
      <c r="AA699" s="6">
        <v>2949675.8429999999</v>
      </c>
      <c r="AB699" s="6">
        <v>1861712.8219999999</v>
      </c>
      <c r="AC699" s="6">
        <v>1430218.835</v>
      </c>
      <c r="AD699" s="6">
        <v>715493.397</v>
      </c>
      <c r="AE699" s="6">
        <v>523094.60100000002</v>
      </c>
      <c r="AF699" s="6">
        <v>354710.02299999999</v>
      </c>
      <c r="AG699" s="6">
        <v>537942.09400000004</v>
      </c>
      <c r="AH699" s="6">
        <v>917944.451</v>
      </c>
      <c r="AI699" s="6">
        <v>1639130.0870000001</v>
      </c>
      <c r="AJ699" s="6">
        <v>5072556.3619999997</v>
      </c>
      <c r="AK699" s="6">
        <v>10470557.495999999</v>
      </c>
      <c r="AL699" s="6">
        <v>8046042.1670000004</v>
      </c>
      <c r="AM699" s="6">
        <v>13979884.674000001</v>
      </c>
      <c r="AN699" s="6">
        <v>16789779.796999998</v>
      </c>
      <c r="AO699" s="6">
        <v>7070299.2570000002</v>
      </c>
      <c r="AP699" s="6">
        <v>2506244.821</v>
      </c>
      <c r="AQ699" s="6">
        <v>1210921.5220000001</v>
      </c>
      <c r="AR699" s="6">
        <v>646117.47600000002</v>
      </c>
      <c r="AS699" s="6">
        <v>834853.7</v>
      </c>
      <c r="AT699" s="6">
        <v>834853.7</v>
      </c>
    </row>
    <row r="700" spans="1:46" x14ac:dyDescent="0.25">
      <c r="A700" s="4" t="s">
        <v>196</v>
      </c>
      <c r="B700" s="4" t="s">
        <v>207</v>
      </c>
      <c r="C700" s="4" t="s">
        <v>246</v>
      </c>
      <c r="D700" s="4" t="s">
        <v>247</v>
      </c>
      <c r="E700" s="4" t="s">
        <v>248</v>
      </c>
      <c r="F700" s="4" t="s">
        <v>202</v>
      </c>
      <c r="G700" s="4" t="s">
        <v>93</v>
      </c>
      <c r="H700" s="4" t="s">
        <v>249</v>
      </c>
      <c r="I700" s="7">
        <v>7.2649999999999997</v>
      </c>
      <c r="J700" s="7">
        <v>13.35</v>
      </c>
      <c r="K700" s="7">
        <v>14.42</v>
      </c>
      <c r="L700" s="7">
        <v>13.503</v>
      </c>
      <c r="M700" s="7">
        <v>18.440999999999999</v>
      </c>
      <c r="N700" s="7">
        <v>18.893999999999998</v>
      </c>
      <c r="O700" s="7">
        <v>15.189</v>
      </c>
      <c r="P700" s="7">
        <v>11.128</v>
      </c>
      <c r="Q700" s="7">
        <v>7.8540000000000001</v>
      </c>
      <c r="R700" s="7">
        <v>6.452</v>
      </c>
      <c r="S700" s="7">
        <v>6.1379999999999999</v>
      </c>
      <c r="T700" s="7">
        <v>7.3579999999999997</v>
      </c>
      <c r="U700" s="7">
        <v>8.58</v>
      </c>
      <c r="V700" s="7">
        <v>9.2479999999999993</v>
      </c>
      <c r="W700" s="7">
        <v>12.391</v>
      </c>
      <c r="X700" s="7">
        <v>16.913</v>
      </c>
      <c r="Y700" s="7">
        <v>19.077999999999999</v>
      </c>
      <c r="Z700" s="7">
        <v>16.341999999999999</v>
      </c>
      <c r="AA700" s="7">
        <v>14.683</v>
      </c>
      <c r="AB700" s="7">
        <v>12.994999999999999</v>
      </c>
      <c r="AC700" s="7">
        <v>12.577999999999999</v>
      </c>
      <c r="AD700" s="7">
        <v>9.2520000000000007</v>
      </c>
      <c r="AE700" s="7">
        <v>8.0129999999999999</v>
      </c>
      <c r="AF700" s="7">
        <v>6.2709999999999999</v>
      </c>
      <c r="AG700" s="7">
        <v>9.4749999999999996</v>
      </c>
      <c r="AH700" s="7">
        <v>11.685</v>
      </c>
      <c r="AI700" s="7">
        <v>13.885</v>
      </c>
      <c r="AJ700" s="7">
        <v>23.155000000000001</v>
      </c>
      <c r="AK700" s="7">
        <v>28.163</v>
      </c>
      <c r="AL700" s="7">
        <v>25.771999999999998</v>
      </c>
      <c r="AM700" s="7">
        <v>31.672000000000001</v>
      </c>
      <c r="AN700" s="7">
        <v>32.531999999999996</v>
      </c>
      <c r="AO700" s="7">
        <v>23.103999999999999</v>
      </c>
      <c r="AP700" s="7">
        <v>16.937000000000001</v>
      </c>
      <c r="AQ700" s="7">
        <v>14.353</v>
      </c>
      <c r="AR700" s="7">
        <v>11.728</v>
      </c>
      <c r="AS700" s="7">
        <v>15.114000000000001</v>
      </c>
      <c r="AT700" s="7">
        <v>4.2249999999999996</v>
      </c>
    </row>
    <row r="701" spans="1:46" x14ac:dyDescent="0.25">
      <c r="A701" s="4" t="s">
        <v>196</v>
      </c>
      <c r="B701" s="4" t="s">
        <v>207</v>
      </c>
      <c r="C701" s="4" t="s">
        <v>246</v>
      </c>
      <c r="D701" s="4" t="s">
        <v>247</v>
      </c>
      <c r="E701" s="4" t="s">
        <v>248</v>
      </c>
      <c r="F701" s="4" t="s">
        <v>202</v>
      </c>
      <c r="G701" s="4" t="s">
        <v>93</v>
      </c>
      <c r="H701" s="4" t="s">
        <v>250</v>
      </c>
      <c r="I701" s="7">
        <v>85.421000000000006</v>
      </c>
      <c r="J701" s="7">
        <v>90.501000000000005</v>
      </c>
      <c r="K701" s="7">
        <v>93.468999999999994</v>
      </c>
      <c r="L701" s="7">
        <v>96.578999999999994</v>
      </c>
      <c r="M701" s="7">
        <v>97.221000000000004</v>
      </c>
      <c r="N701" s="7">
        <v>95.337000000000003</v>
      </c>
      <c r="O701" s="7">
        <v>96.198999999999998</v>
      </c>
      <c r="P701" s="7">
        <v>94.212000000000003</v>
      </c>
      <c r="Q701" s="7">
        <v>90.272000000000006</v>
      </c>
      <c r="R701" s="7">
        <v>89.585999999999999</v>
      </c>
      <c r="S701" s="7">
        <v>87.585999999999999</v>
      </c>
      <c r="T701" s="7">
        <v>85.957999999999998</v>
      </c>
      <c r="U701" s="7">
        <v>84.653999999999996</v>
      </c>
      <c r="V701" s="7">
        <v>88.757999999999996</v>
      </c>
      <c r="W701" s="7">
        <v>93.614000000000004</v>
      </c>
      <c r="X701" s="7">
        <v>96.382000000000005</v>
      </c>
      <c r="Y701" s="7">
        <v>97.034999999999997</v>
      </c>
      <c r="Z701" s="7">
        <v>97.045000000000002</v>
      </c>
      <c r="AA701" s="7">
        <v>96.625</v>
      </c>
      <c r="AB701" s="7">
        <v>95.123999999999995</v>
      </c>
      <c r="AC701" s="7">
        <v>95.488</v>
      </c>
      <c r="AD701" s="7">
        <v>87.89</v>
      </c>
      <c r="AE701" s="7">
        <v>89.605000000000004</v>
      </c>
      <c r="AF701" s="7">
        <v>86.837000000000003</v>
      </c>
      <c r="AG701" s="7">
        <v>90.463999999999999</v>
      </c>
      <c r="AH701" s="7">
        <v>94.495000000000005</v>
      </c>
      <c r="AI701" s="7">
        <v>97.63</v>
      </c>
      <c r="AJ701" s="7">
        <v>98.221999999999994</v>
      </c>
      <c r="AK701" s="7">
        <v>98.861000000000004</v>
      </c>
      <c r="AL701" s="7">
        <v>98.468000000000004</v>
      </c>
      <c r="AM701" s="7">
        <v>98.397999999999996</v>
      </c>
      <c r="AN701" s="7">
        <v>98.608000000000004</v>
      </c>
      <c r="AO701" s="7">
        <v>96.790999999999997</v>
      </c>
      <c r="AP701" s="7">
        <v>96.715999999999994</v>
      </c>
      <c r="AQ701" s="7">
        <v>90.775999999999996</v>
      </c>
      <c r="AR701" s="7">
        <v>88.36</v>
      </c>
      <c r="AS701" s="7">
        <v>91.942999999999998</v>
      </c>
      <c r="AT701" s="5">
        <v>7473.1530000000002</v>
      </c>
    </row>
    <row r="702" spans="1:46" x14ac:dyDescent="0.25">
      <c r="A702" s="4" t="s">
        <v>196</v>
      </c>
      <c r="B702" s="4" t="s">
        <v>207</v>
      </c>
      <c r="C702" s="4" t="s">
        <v>246</v>
      </c>
      <c r="D702" s="4" t="s">
        <v>247</v>
      </c>
      <c r="E702" s="4" t="s">
        <v>248</v>
      </c>
      <c r="F702" s="4" t="s">
        <v>202</v>
      </c>
      <c r="G702" s="4" t="s">
        <v>93</v>
      </c>
      <c r="H702" s="4" t="s">
        <v>251</v>
      </c>
      <c r="I702" s="7">
        <v>62.198965100000002</v>
      </c>
      <c r="J702" s="7">
        <v>65.149682799999994</v>
      </c>
      <c r="K702" s="7">
        <v>74.064450100000002</v>
      </c>
      <c r="L702" s="7">
        <v>79.380822300000005</v>
      </c>
      <c r="M702" s="7">
        <v>82.820220199999994</v>
      </c>
      <c r="N702" s="7">
        <v>83.440481800000001</v>
      </c>
      <c r="O702" s="7">
        <v>84.4486177</v>
      </c>
      <c r="P702" s="7">
        <v>79.348054899999994</v>
      </c>
      <c r="Q702" s="7">
        <v>75.268731700000004</v>
      </c>
      <c r="R702" s="7">
        <v>67.243364</v>
      </c>
      <c r="S702" s="7">
        <v>67.272361799999999</v>
      </c>
      <c r="T702" s="7">
        <v>68.406785600000006</v>
      </c>
      <c r="U702" s="7">
        <v>70.886237199999997</v>
      </c>
      <c r="V702" s="7">
        <v>73.280765299999999</v>
      </c>
      <c r="W702" s="7">
        <v>78.665866899999997</v>
      </c>
      <c r="X702" s="7">
        <v>84.143211899999997</v>
      </c>
      <c r="Y702" s="7">
        <v>86.645558100000002</v>
      </c>
      <c r="Z702" s="7">
        <v>84.244855999999999</v>
      </c>
      <c r="AA702" s="7">
        <v>83.782211799999999</v>
      </c>
      <c r="AB702" s="7">
        <v>84.508956100000006</v>
      </c>
      <c r="AC702" s="7">
        <v>81.904881599999996</v>
      </c>
      <c r="AD702" s="7">
        <v>74.027814500000005</v>
      </c>
      <c r="AE702" s="7">
        <v>72.299437699999999</v>
      </c>
      <c r="AF702" s="7">
        <v>71.623176400000006</v>
      </c>
      <c r="AG702" s="7">
        <v>75.658530299999995</v>
      </c>
      <c r="AH702" s="7">
        <v>81.7085668</v>
      </c>
      <c r="AI702" s="7">
        <v>84.168484599999999</v>
      </c>
      <c r="AJ702" s="7">
        <v>87.781194299999996</v>
      </c>
      <c r="AK702" s="7">
        <v>89.562941699999996</v>
      </c>
      <c r="AL702" s="7">
        <v>88.881520399999999</v>
      </c>
      <c r="AM702" s="7">
        <v>86.350346200000004</v>
      </c>
      <c r="AN702" s="7">
        <v>89.935380699999996</v>
      </c>
      <c r="AO702" s="7">
        <v>87.375762100000003</v>
      </c>
      <c r="AP702" s="7">
        <v>82.522852900000004</v>
      </c>
      <c r="AQ702" s="7">
        <v>73.406140100000002</v>
      </c>
      <c r="AR702" s="7">
        <v>67.598832700000003</v>
      </c>
      <c r="AS702" s="7">
        <v>73.626237000000003</v>
      </c>
      <c r="AT702" s="7">
        <v>91.942999999999998</v>
      </c>
    </row>
    <row r="703" spans="1:46" x14ac:dyDescent="0.25">
      <c r="A703" s="4" t="s">
        <v>196</v>
      </c>
      <c r="B703" s="4" t="s">
        <v>207</v>
      </c>
      <c r="C703" s="4" t="s">
        <v>246</v>
      </c>
      <c r="D703" s="4" t="s">
        <v>247</v>
      </c>
      <c r="E703" s="4" t="s">
        <v>248</v>
      </c>
      <c r="F703" s="4" t="s">
        <v>202</v>
      </c>
      <c r="G703" s="4" t="s">
        <v>93</v>
      </c>
      <c r="H703" s="4" t="s">
        <v>252</v>
      </c>
      <c r="I703" s="16">
        <v>9.2029999999999994</v>
      </c>
      <c r="J703" s="16">
        <v>9.1140000000000008</v>
      </c>
      <c r="K703" s="16">
        <v>9.3670000000000009</v>
      </c>
      <c r="L703" s="16">
        <v>10.467000000000001</v>
      </c>
      <c r="M703" s="16">
        <v>12.028</v>
      </c>
      <c r="N703" s="16">
        <v>13.163</v>
      </c>
      <c r="O703" s="16">
        <v>12.693</v>
      </c>
      <c r="P703" s="16">
        <v>11.441000000000001</v>
      </c>
      <c r="Q703" s="16">
        <v>11.407999999999999</v>
      </c>
      <c r="R703" s="16">
        <v>11.173999999999999</v>
      </c>
      <c r="S703" s="16">
        <v>10.917</v>
      </c>
      <c r="T703" s="16">
        <v>11.286</v>
      </c>
      <c r="U703" s="16">
        <v>10.657999999999999</v>
      </c>
      <c r="V703" s="16">
        <v>11.185</v>
      </c>
      <c r="W703" s="16">
        <v>11.334</v>
      </c>
      <c r="X703" s="16">
        <v>12.064</v>
      </c>
      <c r="Y703" s="16">
        <v>11.787000000000001</v>
      </c>
      <c r="Z703" s="16">
        <v>11.566000000000001</v>
      </c>
      <c r="AA703" s="16">
        <v>11.045</v>
      </c>
      <c r="AB703" s="16">
        <v>11.256</v>
      </c>
      <c r="AC703" s="16">
        <v>10.603</v>
      </c>
      <c r="AD703" s="16">
        <v>10.632</v>
      </c>
      <c r="AE703" s="16">
        <v>10.797000000000001</v>
      </c>
      <c r="AF703" s="16">
        <v>10.369</v>
      </c>
      <c r="AG703" s="16">
        <v>10.266999999999999</v>
      </c>
      <c r="AH703" s="16">
        <v>11.680999999999999</v>
      </c>
      <c r="AI703" s="16">
        <v>12.420999999999999</v>
      </c>
      <c r="AJ703" s="16">
        <v>11.837999999999999</v>
      </c>
      <c r="AK703" s="16">
        <v>11.44</v>
      </c>
      <c r="AL703" s="16">
        <v>12.381</v>
      </c>
      <c r="AM703" s="16">
        <v>11.86</v>
      </c>
      <c r="AN703" s="16">
        <v>11.435</v>
      </c>
      <c r="AO703" s="16">
        <v>12.215</v>
      </c>
      <c r="AP703" s="16">
        <v>12.115</v>
      </c>
      <c r="AQ703" s="16">
        <v>12.063000000000001</v>
      </c>
      <c r="AR703" s="16">
        <v>13.467000000000001</v>
      </c>
      <c r="AS703" s="16">
        <v>14.41</v>
      </c>
      <c r="AT703" s="7">
        <v>73.626237000000003</v>
      </c>
    </row>
    <row r="704" spans="1:46" x14ac:dyDescent="0.25">
      <c r="A704" s="4" t="s">
        <v>196</v>
      </c>
      <c r="B704" s="4" t="s">
        <v>207</v>
      </c>
      <c r="C704" s="4" t="s">
        <v>246</v>
      </c>
      <c r="D704" s="4" t="s">
        <v>247</v>
      </c>
      <c r="E704" s="4" t="s">
        <v>248</v>
      </c>
      <c r="F704" s="4" t="s">
        <v>202</v>
      </c>
      <c r="G704" s="4" t="s">
        <v>113</v>
      </c>
      <c r="H704" s="4" t="s">
        <v>151</v>
      </c>
      <c r="I704" s="5">
        <v>180.964</v>
      </c>
      <c r="J704" s="5">
        <v>264.108</v>
      </c>
      <c r="K704" s="5">
        <v>449.34699999999998</v>
      </c>
      <c r="L704" s="5">
        <v>810.65899999999999</v>
      </c>
      <c r="M704" s="5">
        <v>1132.7850000000001</v>
      </c>
      <c r="N704" s="5">
        <v>1067.5709999999999</v>
      </c>
      <c r="O704" s="5">
        <v>884.38400000000001</v>
      </c>
      <c r="P704" s="5">
        <v>376.91800000000001</v>
      </c>
      <c r="Q704" s="5">
        <v>208.26</v>
      </c>
      <c r="R704" s="5">
        <v>156.21199999999999</v>
      </c>
      <c r="S704" s="5">
        <v>93.308000000000007</v>
      </c>
      <c r="T704" s="5">
        <v>103.33</v>
      </c>
      <c r="U704" s="5">
        <v>82.289000000000001</v>
      </c>
      <c r="V704" s="5">
        <v>222.69800000000001</v>
      </c>
      <c r="W704" s="5">
        <v>640.048</v>
      </c>
      <c r="X704" s="5">
        <v>1109.4000000000001</v>
      </c>
      <c r="Y704" s="5">
        <v>1249.385</v>
      </c>
      <c r="Z704" s="5">
        <v>1096.83</v>
      </c>
      <c r="AA704" s="5">
        <v>918.23900000000003</v>
      </c>
      <c r="AB704" s="5">
        <v>356.327</v>
      </c>
      <c r="AC704" s="5">
        <v>403.32</v>
      </c>
      <c r="AD704" s="5">
        <v>197.87299999999999</v>
      </c>
      <c r="AE704" s="5">
        <v>264.755</v>
      </c>
      <c r="AF704" s="5">
        <v>108.663</v>
      </c>
      <c r="AG704" s="5">
        <v>194.27799999999999</v>
      </c>
      <c r="AH704" s="5">
        <v>260.75900000000001</v>
      </c>
      <c r="AI704" s="5">
        <v>750.39599999999996</v>
      </c>
      <c r="AJ704" s="5">
        <v>1626.942</v>
      </c>
      <c r="AK704" s="5">
        <v>2828.9279999999999</v>
      </c>
      <c r="AL704" s="5">
        <v>2256.7550000000001</v>
      </c>
      <c r="AM704" s="5">
        <v>3340.7240000000002</v>
      </c>
      <c r="AN704" s="5">
        <v>4284.9250000000002</v>
      </c>
      <c r="AO704" s="5">
        <v>2042.902</v>
      </c>
      <c r="AP704" s="5">
        <v>497.18099999999998</v>
      </c>
      <c r="AQ704" s="5">
        <v>397.74700000000001</v>
      </c>
      <c r="AR704" s="5">
        <v>235.35499999999999</v>
      </c>
      <c r="AS704" s="5">
        <v>349.315</v>
      </c>
      <c r="AT704" s="5">
        <v>349.315</v>
      </c>
    </row>
    <row r="705" spans="1:46" x14ac:dyDescent="0.25">
      <c r="A705" s="4" t="s">
        <v>196</v>
      </c>
      <c r="B705" s="4" t="s">
        <v>207</v>
      </c>
      <c r="C705" s="4" t="s">
        <v>246</v>
      </c>
      <c r="D705" s="4" t="s">
        <v>247</v>
      </c>
      <c r="E705" s="4" t="s">
        <v>248</v>
      </c>
      <c r="F705" s="4" t="s">
        <v>202</v>
      </c>
      <c r="G705" s="4" t="s">
        <v>113</v>
      </c>
      <c r="H705" s="4" t="s">
        <v>205</v>
      </c>
      <c r="I705" s="6">
        <v>51655.805</v>
      </c>
      <c r="J705" s="6">
        <v>76430.395000000004</v>
      </c>
      <c r="K705" s="6">
        <v>135218.011</v>
      </c>
      <c r="L705" s="6">
        <v>264670.59600000002</v>
      </c>
      <c r="M705" s="6">
        <v>373297.78600000002</v>
      </c>
      <c r="N705" s="6">
        <v>329632.55599999998</v>
      </c>
      <c r="O705" s="6">
        <v>287722.978</v>
      </c>
      <c r="P705" s="6">
        <v>133451.66200000001</v>
      </c>
      <c r="Q705" s="6">
        <v>78563.620999999999</v>
      </c>
      <c r="R705" s="6">
        <v>55906.421000000002</v>
      </c>
      <c r="S705" s="6">
        <v>29639.161</v>
      </c>
      <c r="T705" s="6">
        <v>38359.900999999998</v>
      </c>
      <c r="U705" s="6">
        <v>30619.746999999999</v>
      </c>
      <c r="V705" s="6">
        <v>72085.17</v>
      </c>
      <c r="W705" s="6">
        <v>228776.08</v>
      </c>
      <c r="X705" s="6">
        <v>382135.12199999997</v>
      </c>
      <c r="Y705" s="6">
        <v>431221.022</v>
      </c>
      <c r="Z705" s="6">
        <v>390219.11300000001</v>
      </c>
      <c r="AA705" s="6">
        <v>329312.23100000003</v>
      </c>
      <c r="AB705" s="6">
        <v>132666.08499999999</v>
      </c>
      <c r="AC705" s="6">
        <v>142261.42600000001</v>
      </c>
      <c r="AD705" s="6">
        <v>65699.596000000005</v>
      </c>
      <c r="AE705" s="6">
        <v>86639.153000000006</v>
      </c>
      <c r="AF705" s="6">
        <v>30529.226999999999</v>
      </c>
      <c r="AG705" s="6">
        <v>57562.027000000002</v>
      </c>
      <c r="AH705" s="6">
        <v>107313.35799999999</v>
      </c>
      <c r="AI705" s="6">
        <v>316379.74099999998</v>
      </c>
      <c r="AJ705" s="6">
        <v>674365.51199999999</v>
      </c>
      <c r="AK705" s="6">
        <v>1176169.3829999999</v>
      </c>
      <c r="AL705" s="6">
        <v>941948.69099999999</v>
      </c>
      <c r="AM705" s="6">
        <v>1355063.8829999999</v>
      </c>
      <c r="AN705" s="6">
        <v>1792187.1189999999</v>
      </c>
      <c r="AO705" s="6">
        <v>750279.73400000005</v>
      </c>
      <c r="AP705" s="6">
        <v>199259.927</v>
      </c>
      <c r="AQ705" s="6">
        <v>167279.82399999999</v>
      </c>
      <c r="AR705" s="6">
        <v>103379.106</v>
      </c>
      <c r="AS705" s="6">
        <v>141685.897</v>
      </c>
      <c r="AT705" s="6">
        <v>141685.897</v>
      </c>
    </row>
    <row r="706" spans="1:46" x14ac:dyDescent="0.25">
      <c r="A706" s="4" t="s">
        <v>196</v>
      </c>
      <c r="B706" s="4" t="s">
        <v>207</v>
      </c>
      <c r="C706" s="4" t="s">
        <v>246</v>
      </c>
      <c r="D706" s="4" t="s">
        <v>247</v>
      </c>
      <c r="E706" s="4" t="s">
        <v>248</v>
      </c>
      <c r="F706" s="4" t="s">
        <v>202</v>
      </c>
      <c r="G706" s="4" t="s">
        <v>113</v>
      </c>
      <c r="H706" s="4" t="s">
        <v>249</v>
      </c>
      <c r="I706" s="7">
        <v>0.69499999999999995</v>
      </c>
      <c r="J706" s="7">
        <v>0.629</v>
      </c>
      <c r="K706" s="7">
        <v>0.70199999999999996</v>
      </c>
      <c r="L706" s="7">
        <v>1.0249999999999999</v>
      </c>
      <c r="M706" s="7">
        <v>0.95</v>
      </c>
      <c r="N706" s="7">
        <v>0.97299999999999998</v>
      </c>
      <c r="O706" s="7">
        <v>1.0089999999999999</v>
      </c>
      <c r="P706" s="7">
        <v>0.64200000000000002</v>
      </c>
      <c r="Q706" s="7">
        <v>0.51800000000000002</v>
      </c>
      <c r="R706" s="7">
        <v>0.57699999999999996</v>
      </c>
      <c r="S706" s="7">
        <v>0.4</v>
      </c>
      <c r="T706" s="7">
        <v>0.48299999999999998</v>
      </c>
      <c r="U706" s="7">
        <v>0.312</v>
      </c>
      <c r="V706" s="7">
        <v>0.68500000000000005</v>
      </c>
      <c r="W706" s="7">
        <v>1.141</v>
      </c>
      <c r="X706" s="7">
        <v>1.2250000000000001</v>
      </c>
      <c r="Y706" s="7">
        <v>1.212</v>
      </c>
      <c r="Z706" s="7">
        <v>1.1120000000000001</v>
      </c>
      <c r="AA706" s="7">
        <v>0.92600000000000005</v>
      </c>
      <c r="AB706" s="7">
        <v>0.502</v>
      </c>
      <c r="AC706" s="7">
        <v>0.73899999999999999</v>
      </c>
      <c r="AD706" s="7">
        <v>0.51</v>
      </c>
      <c r="AE706" s="7">
        <v>0.81299999999999994</v>
      </c>
      <c r="AF706" s="7">
        <v>0.40899999999999997</v>
      </c>
      <c r="AG706" s="7">
        <v>0.71399999999999997</v>
      </c>
      <c r="AH706" s="7">
        <v>0.74199999999999999</v>
      </c>
      <c r="AI706" s="7">
        <v>1.508</v>
      </c>
      <c r="AJ706" s="7">
        <v>1.665</v>
      </c>
      <c r="AK706" s="7">
        <v>1.752</v>
      </c>
      <c r="AL706" s="7">
        <v>1.6319999999999999</v>
      </c>
      <c r="AM706" s="7">
        <v>1.6950000000000001</v>
      </c>
      <c r="AN706" s="7">
        <v>1.913</v>
      </c>
      <c r="AO706" s="7">
        <v>1.4670000000000001</v>
      </c>
      <c r="AP706" s="7">
        <v>0.71799999999999997</v>
      </c>
      <c r="AQ706" s="7">
        <v>0.95199999999999996</v>
      </c>
      <c r="AR706" s="7">
        <v>0.85399999999999998</v>
      </c>
      <c r="AS706" s="7">
        <v>1.3480000000000001</v>
      </c>
      <c r="AT706" s="7">
        <v>0.68899999999999995</v>
      </c>
    </row>
    <row r="707" spans="1:46" x14ac:dyDescent="0.25">
      <c r="A707" s="4" t="s">
        <v>196</v>
      </c>
      <c r="B707" s="4" t="s">
        <v>207</v>
      </c>
      <c r="C707" s="4" t="s">
        <v>246</v>
      </c>
      <c r="D707" s="4" t="s">
        <v>247</v>
      </c>
      <c r="E707" s="4" t="s">
        <v>248</v>
      </c>
      <c r="F707" s="4" t="s">
        <v>202</v>
      </c>
      <c r="G707" s="4" t="s">
        <v>113</v>
      </c>
      <c r="H707" s="4" t="s">
        <v>250</v>
      </c>
      <c r="I707" s="7">
        <v>35.353000000000002</v>
      </c>
      <c r="J707" s="7">
        <v>32.628999999999998</v>
      </c>
      <c r="K707" s="7">
        <v>39.890999999999998</v>
      </c>
      <c r="L707" s="7">
        <v>65.135000000000005</v>
      </c>
      <c r="M707" s="7">
        <v>68.472999999999999</v>
      </c>
      <c r="N707" s="7">
        <v>61.572000000000003</v>
      </c>
      <c r="O707" s="7">
        <v>59.801000000000002</v>
      </c>
      <c r="P707" s="7">
        <v>47.555</v>
      </c>
      <c r="Q707" s="7">
        <v>49.246000000000002</v>
      </c>
      <c r="R707" s="7">
        <v>42.850999999999999</v>
      </c>
      <c r="S707" s="7">
        <v>38.548999999999999</v>
      </c>
      <c r="T707" s="7">
        <v>38.677</v>
      </c>
      <c r="U707" s="7">
        <v>42.116</v>
      </c>
      <c r="V707" s="7">
        <v>46.15</v>
      </c>
      <c r="W707" s="7">
        <v>72.367000000000004</v>
      </c>
      <c r="X707" s="7">
        <v>74.373999999999995</v>
      </c>
      <c r="Y707" s="7">
        <v>76.506</v>
      </c>
      <c r="Z707" s="7">
        <v>74.921999999999997</v>
      </c>
      <c r="AA707" s="7">
        <v>67.25</v>
      </c>
      <c r="AB707" s="7">
        <v>48.588999999999999</v>
      </c>
      <c r="AC707" s="7">
        <v>43.790999999999997</v>
      </c>
      <c r="AD707" s="7">
        <v>46.262</v>
      </c>
      <c r="AE707" s="7">
        <v>51.292000000000002</v>
      </c>
      <c r="AF707" s="7">
        <v>42.284999999999997</v>
      </c>
      <c r="AG707" s="7">
        <v>45.432000000000002</v>
      </c>
      <c r="AH707" s="7">
        <v>52.865000000000002</v>
      </c>
      <c r="AI707" s="7">
        <v>67.81</v>
      </c>
      <c r="AJ707" s="7">
        <v>82.474999999999994</v>
      </c>
      <c r="AK707" s="7">
        <v>89.094999999999999</v>
      </c>
      <c r="AL707" s="7">
        <v>86.331000000000003</v>
      </c>
      <c r="AM707" s="7">
        <v>88.534000000000006</v>
      </c>
      <c r="AN707" s="7">
        <v>87.995000000000005</v>
      </c>
      <c r="AO707" s="7">
        <v>71.513000000000005</v>
      </c>
      <c r="AP707" s="7">
        <v>56.465000000000003</v>
      </c>
      <c r="AQ707" s="7">
        <v>56.762999999999998</v>
      </c>
      <c r="AR707" s="7">
        <v>34.253999999999998</v>
      </c>
      <c r="AS707" s="7">
        <v>48.293999999999997</v>
      </c>
      <c r="AT707" s="5">
        <v>1035.905</v>
      </c>
    </row>
    <row r="708" spans="1:46" x14ac:dyDescent="0.25">
      <c r="A708" s="4" t="s">
        <v>196</v>
      </c>
      <c r="B708" s="4" t="s">
        <v>207</v>
      </c>
      <c r="C708" s="4" t="s">
        <v>246</v>
      </c>
      <c r="D708" s="4" t="s">
        <v>247</v>
      </c>
      <c r="E708" s="4" t="s">
        <v>248</v>
      </c>
      <c r="F708" s="4" t="s">
        <v>202</v>
      </c>
      <c r="G708" s="4" t="s">
        <v>113</v>
      </c>
      <c r="H708" s="4" t="s">
        <v>251</v>
      </c>
      <c r="I708" s="7">
        <v>24.109881999999999</v>
      </c>
      <c r="J708" s="7">
        <v>25.158495500000001</v>
      </c>
      <c r="K708" s="7">
        <v>27.459947400000001</v>
      </c>
      <c r="L708" s="7">
        <v>31.943337199999998</v>
      </c>
      <c r="M708" s="7">
        <v>32.707570699999998</v>
      </c>
      <c r="N708" s="7">
        <v>31.818001599999999</v>
      </c>
      <c r="O708" s="7">
        <v>34.066646800000001</v>
      </c>
      <c r="P708" s="7">
        <v>29.374198799999998</v>
      </c>
      <c r="Q708" s="7">
        <v>27.6591068</v>
      </c>
      <c r="R708" s="7">
        <v>23.8615751</v>
      </c>
      <c r="S708" s="7">
        <v>22.453817399999998</v>
      </c>
      <c r="T708" s="7">
        <v>22.536263300000002</v>
      </c>
      <c r="U708" s="7">
        <v>24.457576599999999</v>
      </c>
      <c r="V708" s="7">
        <v>25.887427899999999</v>
      </c>
      <c r="W708" s="7">
        <v>35.905629699999999</v>
      </c>
      <c r="X708" s="7">
        <v>38.771955900000002</v>
      </c>
      <c r="Y708" s="7">
        <v>44.251561600000002</v>
      </c>
      <c r="Z708" s="7">
        <v>43.674904499999997</v>
      </c>
      <c r="AA708" s="7">
        <v>43.170472699999998</v>
      </c>
      <c r="AB708" s="7">
        <v>35.079927099999999</v>
      </c>
      <c r="AC708" s="7">
        <v>31.324182</v>
      </c>
      <c r="AD708" s="7">
        <v>29.673696199999998</v>
      </c>
      <c r="AE708" s="7">
        <v>31.295741400000001</v>
      </c>
      <c r="AF708" s="7">
        <v>29.1874605</v>
      </c>
      <c r="AG708" s="7">
        <v>30.7629731</v>
      </c>
      <c r="AH708" s="7">
        <v>36.586869900000003</v>
      </c>
      <c r="AI708" s="7">
        <v>42.4683414</v>
      </c>
      <c r="AJ708" s="7">
        <v>51.700160799999999</v>
      </c>
      <c r="AK708" s="7">
        <v>58.633424699999999</v>
      </c>
      <c r="AL708" s="7">
        <v>58.271205999999999</v>
      </c>
      <c r="AM708" s="7">
        <v>59.489046500000001</v>
      </c>
      <c r="AN708" s="7">
        <v>60.0423264</v>
      </c>
      <c r="AO708" s="7">
        <v>48.101365700000002</v>
      </c>
      <c r="AP708" s="7">
        <v>34.074694399999998</v>
      </c>
      <c r="AQ708" s="7">
        <v>33.327917999999997</v>
      </c>
      <c r="AR708" s="7">
        <v>30.660242100000001</v>
      </c>
      <c r="AS708" s="7">
        <v>36.2733597</v>
      </c>
      <c r="AT708" s="7">
        <v>48.293999999999997</v>
      </c>
    </row>
    <row r="709" spans="1:46" x14ac:dyDescent="0.25">
      <c r="A709" s="4" t="s">
        <v>196</v>
      </c>
      <c r="B709" s="4" t="s">
        <v>207</v>
      </c>
      <c r="C709" s="4" t="s">
        <v>246</v>
      </c>
      <c r="D709" s="4" t="s">
        <v>247</v>
      </c>
      <c r="E709" s="4" t="s">
        <v>248</v>
      </c>
      <c r="F709" s="4" t="s">
        <v>202</v>
      </c>
      <c r="G709" s="4" t="s">
        <v>113</v>
      </c>
      <c r="H709" s="4" t="s">
        <v>252</v>
      </c>
      <c r="I709" s="16">
        <v>1.3740000000000001</v>
      </c>
      <c r="J709" s="16">
        <v>1.2749999999999999</v>
      </c>
      <c r="K709" s="16">
        <v>1.1419999999999999</v>
      </c>
      <c r="L709" s="16">
        <v>1.2589999999999999</v>
      </c>
      <c r="M709" s="16">
        <v>1.304</v>
      </c>
      <c r="N709" s="16">
        <v>1.333</v>
      </c>
      <c r="O709" s="16">
        <v>1.776</v>
      </c>
      <c r="P709" s="16">
        <v>1.7330000000000001</v>
      </c>
      <c r="Q709" s="16">
        <v>1.7609999999999999</v>
      </c>
      <c r="R709" s="16">
        <v>1.5569999999999999</v>
      </c>
      <c r="S709" s="16">
        <v>1.593</v>
      </c>
      <c r="T709" s="16">
        <v>1.734</v>
      </c>
      <c r="U709" s="16">
        <v>1.44</v>
      </c>
      <c r="V709" s="16">
        <v>1.2809999999999999</v>
      </c>
      <c r="W709" s="16">
        <v>1.355</v>
      </c>
      <c r="X709" s="16">
        <v>1.827</v>
      </c>
      <c r="Y709" s="16">
        <v>2.0169999999999999</v>
      </c>
      <c r="Z709" s="16">
        <v>1.8320000000000001</v>
      </c>
      <c r="AA709" s="16">
        <v>1.758</v>
      </c>
      <c r="AB709" s="16">
        <v>1.5309999999999999</v>
      </c>
      <c r="AC709" s="16">
        <v>1.6060000000000001</v>
      </c>
      <c r="AD709" s="16">
        <v>1.6950000000000001</v>
      </c>
      <c r="AE709" s="16">
        <v>1.6040000000000001</v>
      </c>
      <c r="AF709" s="16">
        <v>1.6259999999999999</v>
      </c>
      <c r="AG709" s="16">
        <v>1.7170000000000001</v>
      </c>
      <c r="AH709" s="16">
        <v>1.8149999999999999</v>
      </c>
      <c r="AI709" s="16">
        <v>1.883</v>
      </c>
      <c r="AJ709" s="16">
        <v>2.169</v>
      </c>
      <c r="AK709" s="16">
        <v>2.6619999999999999</v>
      </c>
      <c r="AL709" s="16">
        <v>2.6539999999999999</v>
      </c>
      <c r="AM709" s="16">
        <v>2.5369999999999999</v>
      </c>
      <c r="AN709" s="16">
        <v>2.3540000000000001</v>
      </c>
      <c r="AO709" s="16">
        <v>1.984</v>
      </c>
      <c r="AP709" s="16">
        <v>1.879</v>
      </c>
      <c r="AQ709" s="16">
        <v>1.7330000000000001</v>
      </c>
      <c r="AR709" s="16">
        <v>2.0379999999999998</v>
      </c>
      <c r="AS709" s="16">
        <v>2.077</v>
      </c>
      <c r="AT709" s="7">
        <v>36.2733597</v>
      </c>
    </row>
    <row r="710" spans="1:46" x14ac:dyDescent="0.25">
      <c r="A710" s="4" t="s">
        <v>196</v>
      </c>
      <c r="B710" s="4" t="s">
        <v>207</v>
      </c>
      <c r="C710" s="4" t="s">
        <v>246</v>
      </c>
      <c r="D710" s="4" t="s">
        <v>247</v>
      </c>
      <c r="E710" s="4" t="s">
        <v>248</v>
      </c>
      <c r="F710" s="4" t="s">
        <v>202</v>
      </c>
      <c r="G710" s="4" t="s">
        <v>116</v>
      </c>
      <c r="H710" s="4" t="s">
        <v>151</v>
      </c>
      <c r="I710" s="5">
        <v>308.024</v>
      </c>
      <c r="J710" s="5">
        <v>351.71300000000002</v>
      </c>
      <c r="K710" s="5">
        <v>895.399</v>
      </c>
      <c r="L710" s="5">
        <v>1225.242</v>
      </c>
      <c r="M710" s="5">
        <v>1972.7370000000001</v>
      </c>
      <c r="N710" s="5">
        <v>1997.5409999999999</v>
      </c>
      <c r="O710" s="5">
        <v>1410.8389999999999</v>
      </c>
      <c r="P710" s="5">
        <v>795.90200000000004</v>
      </c>
      <c r="Q710" s="5">
        <v>248.934</v>
      </c>
      <c r="R710" s="5">
        <v>143.15799999999999</v>
      </c>
      <c r="S710" s="5">
        <v>165.34299999999999</v>
      </c>
      <c r="T710" s="5">
        <v>103.476</v>
      </c>
      <c r="U710" s="5">
        <v>242.77500000000001</v>
      </c>
      <c r="V710" s="5">
        <v>416.53199999999998</v>
      </c>
      <c r="W710" s="5">
        <v>957.56299999999999</v>
      </c>
      <c r="X710" s="5">
        <v>1615.6020000000001</v>
      </c>
      <c r="Y710" s="5">
        <v>1672.692</v>
      </c>
      <c r="Z710" s="5">
        <v>1525.4349999999999</v>
      </c>
      <c r="AA710" s="5">
        <v>1368.298</v>
      </c>
      <c r="AB710" s="5">
        <v>1020.543</v>
      </c>
      <c r="AC710" s="5">
        <v>657.50800000000004</v>
      </c>
      <c r="AD710" s="5">
        <v>352.37599999999998</v>
      </c>
      <c r="AE710" s="5">
        <v>317.79399999999998</v>
      </c>
      <c r="AF710" s="5">
        <v>79.647000000000006</v>
      </c>
      <c r="AG710" s="5">
        <v>183.625</v>
      </c>
      <c r="AH710" s="5">
        <v>377.98099999999999</v>
      </c>
      <c r="AI710" s="5">
        <v>631.40800000000002</v>
      </c>
      <c r="AJ710" s="5">
        <v>1507.63</v>
      </c>
      <c r="AK710" s="5">
        <v>3337.5529999999999</v>
      </c>
      <c r="AL710" s="5">
        <v>2665.7440000000001</v>
      </c>
      <c r="AM710" s="5">
        <v>4563.1220000000003</v>
      </c>
      <c r="AN710" s="5">
        <v>6050.2629999999999</v>
      </c>
      <c r="AO710" s="5">
        <v>2371.7179999999998</v>
      </c>
      <c r="AP710" s="5">
        <v>819.40499999999997</v>
      </c>
      <c r="AQ710" s="5">
        <v>321.39600000000002</v>
      </c>
      <c r="AR710" s="5">
        <v>295.863</v>
      </c>
      <c r="AS710" s="5">
        <v>352.09500000000003</v>
      </c>
      <c r="AT710" s="5">
        <v>352.09500000000003</v>
      </c>
    </row>
    <row r="711" spans="1:46" x14ac:dyDescent="0.25">
      <c r="A711" s="4" t="s">
        <v>196</v>
      </c>
      <c r="B711" s="4" t="s">
        <v>207</v>
      </c>
      <c r="C711" s="4" t="s">
        <v>246</v>
      </c>
      <c r="D711" s="4" t="s">
        <v>247</v>
      </c>
      <c r="E711" s="4" t="s">
        <v>248</v>
      </c>
      <c r="F711" s="4" t="s">
        <v>202</v>
      </c>
      <c r="G711" s="4" t="s">
        <v>116</v>
      </c>
      <c r="H711" s="4" t="s">
        <v>205</v>
      </c>
      <c r="I711" s="6">
        <v>89806.317999999999</v>
      </c>
      <c r="J711" s="6">
        <v>109420.44500000001</v>
      </c>
      <c r="K711" s="6">
        <v>308693.56400000001</v>
      </c>
      <c r="L711" s="6">
        <v>444458.20799999998</v>
      </c>
      <c r="M711" s="6">
        <v>716406.66599999997</v>
      </c>
      <c r="N711" s="6">
        <v>722616.34</v>
      </c>
      <c r="O711" s="6">
        <v>511464.46299999999</v>
      </c>
      <c r="P711" s="6">
        <v>284924.288</v>
      </c>
      <c r="Q711" s="6">
        <v>82490.322</v>
      </c>
      <c r="R711" s="6">
        <v>51931.241999999998</v>
      </c>
      <c r="S711" s="6">
        <v>58678.822</v>
      </c>
      <c r="T711" s="6">
        <v>34633.199000000001</v>
      </c>
      <c r="U711" s="6">
        <v>77851.881999999998</v>
      </c>
      <c r="V711" s="6">
        <v>156566.21400000001</v>
      </c>
      <c r="W711" s="6">
        <v>375770.11700000003</v>
      </c>
      <c r="X711" s="6">
        <v>587897.52099999995</v>
      </c>
      <c r="Y711" s="6">
        <v>624741.32799999998</v>
      </c>
      <c r="Z711" s="6">
        <v>606046.696</v>
      </c>
      <c r="AA711" s="6">
        <v>507380.83799999999</v>
      </c>
      <c r="AB711" s="6">
        <v>379612.96399999998</v>
      </c>
      <c r="AC711" s="6">
        <v>275158.94699999999</v>
      </c>
      <c r="AD711" s="6">
        <v>154181.39600000001</v>
      </c>
      <c r="AE711" s="6">
        <v>126391.217</v>
      </c>
      <c r="AF711" s="6">
        <v>29353.621999999999</v>
      </c>
      <c r="AG711" s="6">
        <v>70242.005999999994</v>
      </c>
      <c r="AH711" s="6">
        <v>158378.29399999999</v>
      </c>
      <c r="AI711" s="6">
        <v>286251.603</v>
      </c>
      <c r="AJ711" s="6">
        <v>690464.71100000001</v>
      </c>
      <c r="AK711" s="6">
        <v>1539086.9380000001</v>
      </c>
      <c r="AL711" s="6">
        <v>1149421.9040000001</v>
      </c>
      <c r="AM711" s="6">
        <v>2034933.3870000001</v>
      </c>
      <c r="AN711" s="6">
        <v>2929768.787</v>
      </c>
      <c r="AO711" s="6">
        <v>1056841.8929999999</v>
      </c>
      <c r="AP711" s="6">
        <v>350397.21500000003</v>
      </c>
      <c r="AQ711" s="6">
        <v>142595.74900000001</v>
      </c>
      <c r="AR711" s="6">
        <v>130080.14200000001</v>
      </c>
      <c r="AS711" s="6">
        <v>166581.288</v>
      </c>
      <c r="AT711" s="6">
        <v>166581.288</v>
      </c>
    </row>
    <row r="712" spans="1:46" x14ac:dyDescent="0.25">
      <c r="A712" s="4" t="s">
        <v>196</v>
      </c>
      <c r="B712" s="4" t="s">
        <v>207</v>
      </c>
      <c r="C712" s="4" t="s">
        <v>246</v>
      </c>
      <c r="D712" s="4" t="s">
        <v>247</v>
      </c>
      <c r="E712" s="4" t="s">
        <v>248</v>
      </c>
      <c r="F712" s="4" t="s">
        <v>202</v>
      </c>
      <c r="G712" s="4" t="s">
        <v>116</v>
      </c>
      <c r="H712" s="4" t="s">
        <v>249</v>
      </c>
      <c r="I712" s="7">
        <v>1.712</v>
      </c>
      <c r="J712" s="7">
        <v>1.083</v>
      </c>
      <c r="K712" s="7">
        <v>2.0350000000000001</v>
      </c>
      <c r="L712" s="7">
        <v>1.974</v>
      </c>
      <c r="M712" s="7">
        <v>2.2160000000000002</v>
      </c>
      <c r="N712" s="7">
        <v>2.6989999999999998</v>
      </c>
      <c r="O712" s="7">
        <v>2.4470000000000001</v>
      </c>
      <c r="P712" s="7">
        <v>2.0190000000000001</v>
      </c>
      <c r="Q712" s="7">
        <v>1.0289999999999999</v>
      </c>
      <c r="R712" s="7">
        <v>0.752</v>
      </c>
      <c r="S712" s="7">
        <v>0.98299999999999998</v>
      </c>
      <c r="T712" s="7">
        <v>0.81799999999999995</v>
      </c>
      <c r="U712" s="7">
        <v>1.2370000000000001</v>
      </c>
      <c r="V712" s="7">
        <v>1.8919999999999999</v>
      </c>
      <c r="W712" s="7">
        <v>2.2789999999999999</v>
      </c>
      <c r="X712" s="7">
        <v>2.371</v>
      </c>
      <c r="Y712" s="7">
        <v>2.1560000000000001</v>
      </c>
      <c r="Z712" s="7">
        <v>2.2879999999999998</v>
      </c>
      <c r="AA712" s="7">
        <v>2.0409999999999999</v>
      </c>
      <c r="AB712" s="7">
        <v>2.1320000000000001</v>
      </c>
      <c r="AC712" s="7">
        <v>1.7490000000000001</v>
      </c>
      <c r="AD712" s="7">
        <v>1.35</v>
      </c>
      <c r="AE712" s="7">
        <v>1.333</v>
      </c>
      <c r="AF712" s="7">
        <v>0.309</v>
      </c>
      <c r="AG712" s="7">
        <v>0.97599999999999998</v>
      </c>
      <c r="AH712" s="7">
        <v>1.413</v>
      </c>
      <c r="AI712" s="7">
        <v>1.651</v>
      </c>
      <c r="AJ712" s="7">
        <v>1.9079999999999999</v>
      </c>
      <c r="AK712" s="7">
        <v>2.8370000000000002</v>
      </c>
      <c r="AL712" s="7">
        <v>2.476</v>
      </c>
      <c r="AM712" s="7">
        <v>2.9689999999999999</v>
      </c>
      <c r="AN712" s="7">
        <v>3.512</v>
      </c>
      <c r="AO712" s="7">
        <v>2.1720000000000002</v>
      </c>
      <c r="AP712" s="7">
        <v>1.508</v>
      </c>
      <c r="AQ712" s="7">
        <v>1.117</v>
      </c>
      <c r="AR712" s="7">
        <v>1.5109999999999999</v>
      </c>
      <c r="AS712" s="7">
        <v>1.7390000000000001</v>
      </c>
      <c r="AT712" s="7">
        <v>0.69499999999999995</v>
      </c>
    </row>
    <row r="713" spans="1:46" x14ac:dyDescent="0.25">
      <c r="A713" s="4" t="s">
        <v>196</v>
      </c>
      <c r="B713" s="4" t="s">
        <v>207</v>
      </c>
      <c r="C713" s="4" t="s">
        <v>246</v>
      </c>
      <c r="D713" s="4" t="s">
        <v>247</v>
      </c>
      <c r="E713" s="4" t="s">
        <v>248</v>
      </c>
      <c r="F713" s="4" t="s">
        <v>202</v>
      </c>
      <c r="G713" s="4" t="s">
        <v>116</v>
      </c>
      <c r="H713" s="4" t="s">
        <v>250</v>
      </c>
      <c r="I713" s="7">
        <v>52.863999999999997</v>
      </c>
      <c r="J713" s="7">
        <v>44.78</v>
      </c>
      <c r="K713" s="7">
        <v>50.619</v>
      </c>
      <c r="L713" s="7">
        <v>73.192999999999998</v>
      </c>
      <c r="M713" s="7">
        <v>79.367000000000004</v>
      </c>
      <c r="N713" s="7">
        <v>76.83</v>
      </c>
      <c r="O713" s="7">
        <v>65.893000000000001</v>
      </c>
      <c r="P713" s="7">
        <v>58.003999999999998</v>
      </c>
      <c r="Q713" s="7">
        <v>50.793999999999997</v>
      </c>
      <c r="R713" s="7">
        <v>56.359000000000002</v>
      </c>
      <c r="S713" s="7">
        <v>54.616</v>
      </c>
      <c r="T713" s="7">
        <v>42.454000000000001</v>
      </c>
      <c r="U713" s="7">
        <v>44.484999999999999</v>
      </c>
      <c r="V713" s="7">
        <v>55.045999999999999</v>
      </c>
      <c r="W713" s="7">
        <v>74.980999999999995</v>
      </c>
      <c r="X713" s="7">
        <v>78.472999999999999</v>
      </c>
      <c r="Y713" s="7">
        <v>78.078000000000003</v>
      </c>
      <c r="Z713" s="7">
        <v>75.819000000000003</v>
      </c>
      <c r="AA713" s="7">
        <v>64.575999999999993</v>
      </c>
      <c r="AB713" s="7">
        <v>60.293999999999997</v>
      </c>
      <c r="AC713" s="7">
        <v>62.078000000000003</v>
      </c>
      <c r="AD713" s="7">
        <v>59.603000000000002</v>
      </c>
      <c r="AE713" s="7">
        <v>60.661999999999999</v>
      </c>
      <c r="AF713" s="7">
        <v>51.051000000000002</v>
      </c>
      <c r="AG713" s="7">
        <v>50.469000000000001</v>
      </c>
      <c r="AH713" s="7">
        <v>53.079000000000001</v>
      </c>
      <c r="AI713" s="7">
        <v>63.259</v>
      </c>
      <c r="AJ713" s="7">
        <v>77.340999999999994</v>
      </c>
      <c r="AK713" s="7">
        <v>90.314999999999998</v>
      </c>
      <c r="AL713" s="7">
        <v>84.397999999999996</v>
      </c>
      <c r="AM713" s="7">
        <v>85.344999999999999</v>
      </c>
      <c r="AN713" s="7">
        <v>83.561000000000007</v>
      </c>
      <c r="AO713" s="7">
        <v>68.399000000000001</v>
      </c>
      <c r="AP713" s="7">
        <v>54.31</v>
      </c>
      <c r="AQ713" s="7">
        <v>50.484999999999999</v>
      </c>
      <c r="AR713" s="7">
        <v>50.881999999999998</v>
      </c>
      <c r="AS713" s="7">
        <v>46.936</v>
      </c>
      <c r="AT713" s="5">
        <v>1133.9490000000001</v>
      </c>
    </row>
    <row r="714" spans="1:46" x14ac:dyDescent="0.25">
      <c r="A714" s="4" t="s">
        <v>196</v>
      </c>
      <c r="B714" s="4" t="s">
        <v>207</v>
      </c>
      <c r="C714" s="4" t="s">
        <v>246</v>
      </c>
      <c r="D714" s="4" t="s">
        <v>247</v>
      </c>
      <c r="E714" s="4" t="s">
        <v>248</v>
      </c>
      <c r="F714" s="4" t="s">
        <v>202</v>
      </c>
      <c r="G714" s="4" t="s">
        <v>116</v>
      </c>
      <c r="H714" s="4" t="s">
        <v>251</v>
      </c>
      <c r="I714" s="7">
        <v>42.015597700000001</v>
      </c>
      <c r="J714" s="7">
        <v>44.947763600000002</v>
      </c>
      <c r="K714" s="7">
        <v>47.232677899999999</v>
      </c>
      <c r="L714" s="7">
        <v>51.3495031</v>
      </c>
      <c r="M714" s="7">
        <v>57.280614499999999</v>
      </c>
      <c r="N714" s="7">
        <v>56.723874199999997</v>
      </c>
      <c r="O714" s="7">
        <v>47.934135400000002</v>
      </c>
      <c r="P714" s="7">
        <v>44.7720962</v>
      </c>
      <c r="Q714" s="7">
        <v>36.4460038</v>
      </c>
      <c r="R714" s="7">
        <v>35.051149299999999</v>
      </c>
      <c r="S714" s="7">
        <v>36.990187599999999</v>
      </c>
      <c r="T714" s="7">
        <v>34.567976000000002</v>
      </c>
      <c r="U714" s="7">
        <v>36.466953799999999</v>
      </c>
      <c r="V714" s="7">
        <v>41.136885700000001</v>
      </c>
      <c r="W714" s="7">
        <v>48.160145399999998</v>
      </c>
      <c r="X714" s="7">
        <v>52.627631299999997</v>
      </c>
      <c r="Y714" s="7">
        <v>54.080749300000001</v>
      </c>
      <c r="Z714" s="7">
        <v>50.836270300000002</v>
      </c>
      <c r="AA714" s="7">
        <v>46.484712799999997</v>
      </c>
      <c r="AB714" s="7">
        <v>44.857470399999997</v>
      </c>
      <c r="AC714" s="7">
        <v>45.348751300000004</v>
      </c>
      <c r="AD714" s="7">
        <v>39.809688199999997</v>
      </c>
      <c r="AE714" s="7">
        <v>39.382687199999999</v>
      </c>
      <c r="AF714" s="7">
        <v>37.722024099999999</v>
      </c>
      <c r="AG714" s="7">
        <v>38.775593299999997</v>
      </c>
      <c r="AH714" s="7">
        <v>44.501282699999997</v>
      </c>
      <c r="AI714" s="7">
        <v>46.740289400000002</v>
      </c>
      <c r="AJ714" s="7">
        <v>50.724033900000002</v>
      </c>
      <c r="AK714" s="7">
        <v>58.137661700000002</v>
      </c>
      <c r="AL714" s="7">
        <v>54.194733200000002</v>
      </c>
      <c r="AM714" s="7">
        <v>54.299545000000002</v>
      </c>
      <c r="AN714" s="7">
        <v>47.9668688</v>
      </c>
      <c r="AO714" s="7">
        <v>40.330957900000001</v>
      </c>
      <c r="AP714" s="7">
        <v>30.1003078</v>
      </c>
      <c r="AQ714" s="7">
        <v>27.421142700000001</v>
      </c>
      <c r="AR714" s="7">
        <v>25.6797641</v>
      </c>
      <c r="AS714" s="7">
        <v>27.623756100000001</v>
      </c>
      <c r="AT714" s="7">
        <v>46.936</v>
      </c>
    </row>
    <row r="715" spans="1:46" x14ac:dyDescent="0.25">
      <c r="A715" s="4" t="s">
        <v>196</v>
      </c>
      <c r="B715" s="4" t="s">
        <v>207</v>
      </c>
      <c r="C715" s="4" t="s">
        <v>246</v>
      </c>
      <c r="D715" s="4" t="s">
        <v>247</v>
      </c>
      <c r="E715" s="4" t="s">
        <v>248</v>
      </c>
      <c r="F715" s="4" t="s">
        <v>202</v>
      </c>
      <c r="G715" s="4" t="s">
        <v>116</v>
      </c>
      <c r="H715" s="4" t="s">
        <v>252</v>
      </c>
      <c r="I715" s="16">
        <v>4.1950000000000003</v>
      </c>
      <c r="J715" s="16">
        <v>3.976</v>
      </c>
      <c r="K715" s="16">
        <v>3.45</v>
      </c>
      <c r="L715" s="16">
        <v>3.3610000000000002</v>
      </c>
      <c r="M715" s="16">
        <v>3.496</v>
      </c>
      <c r="N715" s="16">
        <v>2.972</v>
      </c>
      <c r="O715" s="16">
        <v>2.9620000000000002</v>
      </c>
      <c r="P715" s="16">
        <v>2.8260000000000001</v>
      </c>
      <c r="Q715" s="16">
        <v>2.5750000000000002</v>
      </c>
      <c r="R715" s="16">
        <v>2.7320000000000002</v>
      </c>
      <c r="S715" s="16">
        <v>2.8359999999999999</v>
      </c>
      <c r="T715" s="16">
        <v>2.698</v>
      </c>
      <c r="U715" s="16">
        <v>2.8319999999999999</v>
      </c>
      <c r="V715" s="16">
        <v>2.8980000000000001</v>
      </c>
      <c r="W715" s="16">
        <v>2.5259999999999998</v>
      </c>
      <c r="X715" s="16">
        <v>2.6659999999999999</v>
      </c>
      <c r="Y715" s="16">
        <v>2.8759999999999999</v>
      </c>
      <c r="Z715" s="16">
        <v>3.165</v>
      </c>
      <c r="AA715" s="16">
        <v>3.2120000000000002</v>
      </c>
      <c r="AB715" s="16">
        <v>3.0150000000000001</v>
      </c>
      <c r="AC715" s="16">
        <v>3.097</v>
      </c>
      <c r="AD715" s="16">
        <v>3.13</v>
      </c>
      <c r="AE715" s="16">
        <v>3.0630000000000002</v>
      </c>
      <c r="AF715" s="16">
        <v>3.3279999999999998</v>
      </c>
      <c r="AG715" s="16">
        <v>3.29</v>
      </c>
      <c r="AH715" s="16">
        <v>3.5350000000000001</v>
      </c>
      <c r="AI715" s="16">
        <v>3.3149999999999999</v>
      </c>
      <c r="AJ715" s="16">
        <v>3.218</v>
      </c>
      <c r="AK715" s="16">
        <v>2.7189999999999999</v>
      </c>
      <c r="AL715" s="16">
        <v>2.4529999999999998</v>
      </c>
      <c r="AM715" s="16">
        <v>2.6469999999999998</v>
      </c>
      <c r="AN715" s="16">
        <v>2.4649999999999999</v>
      </c>
      <c r="AO715" s="16">
        <v>1.907</v>
      </c>
      <c r="AP715" s="16">
        <v>1.9119999999999999</v>
      </c>
      <c r="AQ715" s="16">
        <v>2.1850000000000001</v>
      </c>
      <c r="AR715" s="16">
        <v>2.028</v>
      </c>
      <c r="AS715" s="16">
        <v>2.2389999999999999</v>
      </c>
      <c r="AT715" s="7">
        <v>27.623756100000001</v>
      </c>
    </row>
    <row r="716" spans="1:46" x14ac:dyDescent="0.25">
      <c r="A716" s="4" t="s">
        <v>196</v>
      </c>
      <c r="B716" s="4" t="s">
        <v>207</v>
      </c>
      <c r="C716" s="4" t="s">
        <v>246</v>
      </c>
      <c r="D716" s="4" t="s">
        <v>247</v>
      </c>
      <c r="E716" s="4" t="s">
        <v>248</v>
      </c>
      <c r="F716" s="4" t="s">
        <v>202</v>
      </c>
      <c r="G716" s="4" t="s">
        <v>103</v>
      </c>
      <c r="H716" s="4" t="s">
        <v>151</v>
      </c>
      <c r="I716" s="5">
        <v>1504.8779999999999</v>
      </c>
      <c r="J716" s="5">
        <v>5245.4449999999997</v>
      </c>
      <c r="K716" s="5">
        <v>6949.2309999999998</v>
      </c>
      <c r="L716" s="5">
        <v>9414.4529999999995</v>
      </c>
      <c r="M716" s="5">
        <v>13261.573</v>
      </c>
      <c r="N716" s="5">
        <v>11166.102000000001</v>
      </c>
      <c r="O716" s="5">
        <v>8380.5609999999997</v>
      </c>
      <c r="P716" s="5">
        <v>5021.5709999999999</v>
      </c>
      <c r="Q716" s="5">
        <v>3026.125</v>
      </c>
      <c r="R716" s="5">
        <v>2153.5990000000002</v>
      </c>
      <c r="S716" s="5">
        <v>1929.8019999999999</v>
      </c>
      <c r="T716" s="5">
        <v>1489.645</v>
      </c>
      <c r="U716" s="5">
        <v>1916.2729999999999</v>
      </c>
      <c r="V716" s="5">
        <v>1993.4559999999999</v>
      </c>
      <c r="W716" s="5">
        <v>4123.9750000000004</v>
      </c>
      <c r="X716" s="5">
        <v>8978.7459999999992</v>
      </c>
      <c r="Y716" s="5">
        <v>11397.571</v>
      </c>
      <c r="Z716" s="5">
        <v>9261.1689999999999</v>
      </c>
      <c r="AA716" s="5">
        <v>11240.062</v>
      </c>
      <c r="AB716" s="5">
        <v>6896.5290000000005</v>
      </c>
      <c r="AC716" s="5">
        <v>5056.7250000000004</v>
      </c>
      <c r="AD716" s="5">
        <v>2997.6289999999999</v>
      </c>
      <c r="AE716" s="5">
        <v>2637.85</v>
      </c>
      <c r="AF716" s="5">
        <v>1781.655</v>
      </c>
      <c r="AG716" s="5">
        <v>1891.5730000000001</v>
      </c>
      <c r="AH716" s="5">
        <v>2951.0749999999998</v>
      </c>
      <c r="AI716" s="5">
        <v>5178.3119999999999</v>
      </c>
      <c r="AJ716" s="5">
        <v>9761.4249999999993</v>
      </c>
      <c r="AK716" s="5">
        <v>22815.295999999998</v>
      </c>
      <c r="AL716" s="5">
        <v>16593.39</v>
      </c>
      <c r="AM716" s="5">
        <v>21790.291000000001</v>
      </c>
      <c r="AN716" s="5">
        <v>26520.062999999998</v>
      </c>
      <c r="AO716" s="5">
        <v>13430.763000000001</v>
      </c>
      <c r="AP716" s="5">
        <v>5472.1490000000003</v>
      </c>
      <c r="AQ716" s="5">
        <v>3560.5529999999999</v>
      </c>
      <c r="AR716" s="5">
        <v>2426.8389999999999</v>
      </c>
      <c r="AS716" s="5">
        <v>1802.37</v>
      </c>
      <c r="AT716" s="5">
        <v>1802.37</v>
      </c>
    </row>
    <row r="717" spans="1:46" x14ac:dyDescent="0.25">
      <c r="A717" s="4" t="s">
        <v>196</v>
      </c>
      <c r="B717" s="4" t="s">
        <v>207</v>
      </c>
      <c r="C717" s="4" t="s">
        <v>246</v>
      </c>
      <c r="D717" s="4" t="s">
        <v>247</v>
      </c>
      <c r="E717" s="4" t="s">
        <v>248</v>
      </c>
      <c r="F717" s="4" t="s">
        <v>202</v>
      </c>
      <c r="G717" s="4" t="s">
        <v>103</v>
      </c>
      <c r="H717" s="4" t="s">
        <v>205</v>
      </c>
      <c r="I717" s="6">
        <v>308452.85100000002</v>
      </c>
      <c r="J717" s="6">
        <v>858503.29500000004</v>
      </c>
      <c r="K717" s="6">
        <v>1282383.0390000001</v>
      </c>
      <c r="L717" s="6">
        <v>1789831.53</v>
      </c>
      <c r="M717" s="6">
        <v>2686505.1830000002</v>
      </c>
      <c r="N717" s="6">
        <v>2244130.102</v>
      </c>
      <c r="O717" s="6">
        <v>1696345.9809999999</v>
      </c>
      <c r="P717" s="6">
        <v>993582.65899999999</v>
      </c>
      <c r="Q717" s="6">
        <v>579835.62</v>
      </c>
      <c r="R717" s="6">
        <v>413858.84499999997</v>
      </c>
      <c r="S717" s="6">
        <v>378673.85200000001</v>
      </c>
      <c r="T717" s="6">
        <v>295981.87</v>
      </c>
      <c r="U717" s="6">
        <v>369420.2</v>
      </c>
      <c r="V717" s="6">
        <v>370543.62599999999</v>
      </c>
      <c r="W717" s="6">
        <v>895165.58799999999</v>
      </c>
      <c r="X717" s="6">
        <v>1806460.817</v>
      </c>
      <c r="Y717" s="6">
        <v>2426934.1800000002</v>
      </c>
      <c r="Z717" s="6">
        <v>2136572.5419999999</v>
      </c>
      <c r="AA717" s="6">
        <v>2354083.0359999998</v>
      </c>
      <c r="AB717" s="6">
        <v>1412067.7860000001</v>
      </c>
      <c r="AC717" s="6">
        <v>1069875.2919999999</v>
      </c>
      <c r="AD717" s="6">
        <v>678222.59699999995</v>
      </c>
      <c r="AE717" s="6">
        <v>627493.67599999998</v>
      </c>
      <c r="AF717" s="6">
        <v>403866.24300000002</v>
      </c>
      <c r="AG717" s="6">
        <v>472394.359</v>
      </c>
      <c r="AH717" s="6">
        <v>722658.96200000006</v>
      </c>
      <c r="AI717" s="6">
        <v>1208059.909</v>
      </c>
      <c r="AJ717" s="6">
        <v>2384165.9070000001</v>
      </c>
      <c r="AK717" s="6">
        <v>5473520.6490000002</v>
      </c>
      <c r="AL717" s="6">
        <v>4185153.8450000002</v>
      </c>
      <c r="AM717" s="6">
        <v>5545566.8550000004</v>
      </c>
      <c r="AN717" s="6">
        <v>7409058.4210000001</v>
      </c>
      <c r="AO717" s="6">
        <v>3224606.4509999999</v>
      </c>
      <c r="AP717" s="6">
        <v>1310849.024</v>
      </c>
      <c r="AQ717" s="6">
        <v>891703.59100000001</v>
      </c>
      <c r="AR717" s="6">
        <v>645343.38500000001</v>
      </c>
      <c r="AS717" s="6">
        <v>542873.60100000002</v>
      </c>
      <c r="AT717" s="6">
        <v>542873.60100000002</v>
      </c>
    </row>
    <row r="718" spans="1:46" x14ac:dyDescent="0.25">
      <c r="A718" s="4" t="s">
        <v>196</v>
      </c>
      <c r="B718" s="4" t="s">
        <v>207</v>
      </c>
      <c r="C718" s="4" t="s">
        <v>246</v>
      </c>
      <c r="D718" s="4" t="s">
        <v>247</v>
      </c>
      <c r="E718" s="4" t="s">
        <v>248</v>
      </c>
      <c r="F718" s="4" t="s">
        <v>202</v>
      </c>
      <c r="G718" s="4" t="s">
        <v>103</v>
      </c>
      <c r="H718" s="4" t="s">
        <v>249</v>
      </c>
      <c r="I718" s="7">
        <v>5.8460000000000001</v>
      </c>
      <c r="J718" s="7">
        <v>10.346</v>
      </c>
      <c r="K718" s="7">
        <v>9.8070000000000004</v>
      </c>
      <c r="L718" s="7">
        <v>11.132999999999999</v>
      </c>
      <c r="M718" s="7">
        <v>11.19</v>
      </c>
      <c r="N718" s="7">
        <v>9.9160000000000004</v>
      </c>
      <c r="O718" s="7">
        <v>9.266</v>
      </c>
      <c r="P718" s="7">
        <v>7.7249999999999996</v>
      </c>
      <c r="Q718" s="7">
        <v>6.641</v>
      </c>
      <c r="R718" s="7">
        <v>6.899</v>
      </c>
      <c r="S718" s="7">
        <v>7.0590000000000002</v>
      </c>
      <c r="T718" s="7">
        <v>5.6619999999999999</v>
      </c>
      <c r="U718" s="7">
        <v>6.0190000000000001</v>
      </c>
      <c r="V718" s="7">
        <v>5.0259999999999998</v>
      </c>
      <c r="W718" s="7">
        <v>6.8970000000000002</v>
      </c>
      <c r="X718" s="7">
        <v>9.6020000000000003</v>
      </c>
      <c r="Y718" s="7">
        <v>11.401999999999999</v>
      </c>
      <c r="Z718" s="7">
        <v>9.4209999999999994</v>
      </c>
      <c r="AA718" s="7">
        <v>9.8059999999999992</v>
      </c>
      <c r="AB718" s="7">
        <v>8.4290000000000003</v>
      </c>
      <c r="AC718" s="7">
        <v>8.4480000000000004</v>
      </c>
      <c r="AD718" s="7">
        <v>7.3769999999999998</v>
      </c>
      <c r="AE718" s="7">
        <v>8.468</v>
      </c>
      <c r="AF718" s="7">
        <v>6.7720000000000002</v>
      </c>
      <c r="AG718" s="7">
        <v>7.14</v>
      </c>
      <c r="AH718" s="7">
        <v>8.0190000000000001</v>
      </c>
      <c r="AI718" s="7">
        <v>9.532</v>
      </c>
      <c r="AJ718" s="7">
        <v>9.4350000000000005</v>
      </c>
      <c r="AK718" s="7">
        <v>12.631</v>
      </c>
      <c r="AL718" s="7">
        <v>11.464</v>
      </c>
      <c r="AM718" s="7">
        <v>10.769</v>
      </c>
      <c r="AN718" s="7">
        <v>11.904</v>
      </c>
      <c r="AO718" s="7">
        <v>8.9480000000000004</v>
      </c>
      <c r="AP718" s="7">
        <v>7.6520000000000001</v>
      </c>
      <c r="AQ718" s="7">
        <v>8.1869999999999994</v>
      </c>
      <c r="AR718" s="7">
        <v>8.7469999999999999</v>
      </c>
      <c r="AS718" s="7">
        <v>7.141</v>
      </c>
      <c r="AT718" s="7">
        <v>3.5569999999999999</v>
      </c>
    </row>
    <row r="719" spans="1:46" x14ac:dyDescent="0.25">
      <c r="A719" s="4" t="s">
        <v>196</v>
      </c>
      <c r="B719" s="4" t="s">
        <v>207</v>
      </c>
      <c r="C719" s="4" t="s">
        <v>246</v>
      </c>
      <c r="D719" s="4" t="s">
        <v>247</v>
      </c>
      <c r="E719" s="4" t="s">
        <v>248</v>
      </c>
      <c r="F719" s="4" t="s">
        <v>202</v>
      </c>
      <c r="G719" s="4" t="s">
        <v>103</v>
      </c>
      <c r="H719" s="4" t="s">
        <v>250</v>
      </c>
      <c r="I719" s="7">
        <v>88.802999999999997</v>
      </c>
      <c r="J719" s="7">
        <v>97.177999999999997</v>
      </c>
      <c r="K719" s="7">
        <v>98.531000000000006</v>
      </c>
      <c r="L719" s="7">
        <v>98.588999999999999</v>
      </c>
      <c r="M719" s="7">
        <v>99.509</v>
      </c>
      <c r="N719" s="7">
        <v>98.364000000000004</v>
      </c>
      <c r="O719" s="7">
        <v>98.382999999999996</v>
      </c>
      <c r="P719" s="7">
        <v>97.631</v>
      </c>
      <c r="Q719" s="7">
        <v>94.165000000000006</v>
      </c>
      <c r="R719" s="7">
        <v>92.834000000000003</v>
      </c>
      <c r="S719" s="7">
        <v>93.667000000000002</v>
      </c>
      <c r="T719" s="7">
        <v>94.322999999999993</v>
      </c>
      <c r="U719" s="7">
        <v>92.911000000000001</v>
      </c>
      <c r="V719" s="7">
        <v>94.718000000000004</v>
      </c>
      <c r="W719" s="7">
        <v>97.876999999999995</v>
      </c>
      <c r="X719" s="7">
        <v>98.856999999999999</v>
      </c>
      <c r="Y719" s="7">
        <v>99.162999999999997</v>
      </c>
      <c r="Z719" s="7">
        <v>98.814999999999998</v>
      </c>
      <c r="AA719" s="7">
        <v>99.471999999999994</v>
      </c>
      <c r="AB719" s="7">
        <v>98.215000000000003</v>
      </c>
      <c r="AC719" s="7">
        <v>97.144000000000005</v>
      </c>
      <c r="AD719" s="7">
        <v>93.087000000000003</v>
      </c>
      <c r="AE719" s="7">
        <v>92.569000000000003</v>
      </c>
      <c r="AF719" s="7">
        <v>88.83</v>
      </c>
      <c r="AG719" s="7">
        <v>92.632000000000005</v>
      </c>
      <c r="AH719" s="7">
        <v>97.076999999999998</v>
      </c>
      <c r="AI719" s="7">
        <v>98.64</v>
      </c>
      <c r="AJ719" s="7">
        <v>98.966999999999999</v>
      </c>
      <c r="AK719" s="7">
        <v>99.738</v>
      </c>
      <c r="AL719" s="7">
        <v>99.552999999999997</v>
      </c>
      <c r="AM719" s="7">
        <v>99.599000000000004</v>
      </c>
      <c r="AN719" s="7">
        <v>99.257999999999996</v>
      </c>
      <c r="AO719" s="7">
        <v>98.322999999999993</v>
      </c>
      <c r="AP719" s="7">
        <v>95.930999999999997</v>
      </c>
      <c r="AQ719" s="7">
        <v>88.463999999999999</v>
      </c>
      <c r="AR719" s="7">
        <v>88.426000000000002</v>
      </c>
      <c r="AS719" s="7">
        <v>88.614000000000004</v>
      </c>
      <c r="AT719" s="5">
        <v>6690.2709999999997</v>
      </c>
    </row>
    <row r="720" spans="1:46" x14ac:dyDescent="0.25">
      <c r="A720" s="4" t="s">
        <v>196</v>
      </c>
      <c r="B720" s="4" t="s">
        <v>207</v>
      </c>
      <c r="C720" s="4" t="s">
        <v>246</v>
      </c>
      <c r="D720" s="4" t="s">
        <v>247</v>
      </c>
      <c r="E720" s="4" t="s">
        <v>248</v>
      </c>
      <c r="F720" s="4" t="s">
        <v>202</v>
      </c>
      <c r="G720" s="4" t="s">
        <v>103</v>
      </c>
      <c r="H720" s="4" t="s">
        <v>251</v>
      </c>
      <c r="I720" s="7">
        <v>80.899185500000002</v>
      </c>
      <c r="J720" s="7">
        <v>85.100379000000004</v>
      </c>
      <c r="K720" s="7">
        <v>88.703002699999999</v>
      </c>
      <c r="L720" s="7">
        <v>89.419052199999996</v>
      </c>
      <c r="M720" s="7">
        <v>92.730931400000003</v>
      </c>
      <c r="N720" s="7">
        <v>90.524300400000001</v>
      </c>
      <c r="O720" s="7">
        <v>91.166376600000007</v>
      </c>
      <c r="P720" s="7">
        <v>90.055966999999995</v>
      </c>
      <c r="Q720" s="7">
        <v>84.170034599999994</v>
      </c>
      <c r="R720" s="7">
        <v>79.481122499999998</v>
      </c>
      <c r="S720" s="7">
        <v>80.335397499999999</v>
      </c>
      <c r="T720" s="7">
        <v>79.906771500000005</v>
      </c>
      <c r="U720" s="7">
        <v>81.432332599999995</v>
      </c>
      <c r="V720" s="7">
        <v>84.895122900000004</v>
      </c>
      <c r="W720" s="7">
        <v>86.694334799999993</v>
      </c>
      <c r="X720" s="7">
        <v>90.643482399999996</v>
      </c>
      <c r="Y720" s="7">
        <v>91.760294900000005</v>
      </c>
      <c r="Z720" s="7">
        <v>91.285239700000005</v>
      </c>
      <c r="AA720" s="7">
        <v>92.510242000000005</v>
      </c>
      <c r="AB720" s="7">
        <v>93.187134599999993</v>
      </c>
      <c r="AC720" s="7">
        <v>90.690366600000004</v>
      </c>
      <c r="AD720" s="7">
        <v>83.529454799999996</v>
      </c>
      <c r="AE720" s="7">
        <v>81.538444999999996</v>
      </c>
      <c r="AF720" s="7">
        <v>81.209490799999998</v>
      </c>
      <c r="AG720" s="7">
        <v>83.359523199999998</v>
      </c>
      <c r="AH720" s="7">
        <v>89.343509100000006</v>
      </c>
      <c r="AI720" s="7">
        <v>90.588444100000004</v>
      </c>
      <c r="AJ720" s="7">
        <v>92.501892799999993</v>
      </c>
      <c r="AK720" s="7">
        <v>94.329646400000001</v>
      </c>
      <c r="AL720" s="7">
        <v>93.933223299999995</v>
      </c>
      <c r="AM720" s="7">
        <v>94.534094199999998</v>
      </c>
      <c r="AN720" s="7">
        <v>92.854244600000001</v>
      </c>
      <c r="AO720" s="7">
        <v>90.293543499999998</v>
      </c>
      <c r="AP720" s="7">
        <v>84.625397500000005</v>
      </c>
      <c r="AQ720" s="7">
        <v>76.707716599999998</v>
      </c>
      <c r="AR720" s="7">
        <v>74.339905799999997</v>
      </c>
      <c r="AS720" s="7">
        <v>75.7120544</v>
      </c>
      <c r="AT720" s="7">
        <v>88.614000000000004</v>
      </c>
    </row>
    <row r="721" spans="1:46" x14ac:dyDescent="0.25">
      <c r="A721" s="4" t="s">
        <v>196</v>
      </c>
      <c r="B721" s="4" t="s">
        <v>207</v>
      </c>
      <c r="C721" s="4" t="s">
        <v>246</v>
      </c>
      <c r="D721" s="4" t="s">
        <v>247</v>
      </c>
      <c r="E721" s="4" t="s">
        <v>248</v>
      </c>
      <c r="F721" s="4" t="s">
        <v>202</v>
      </c>
      <c r="G721" s="4" t="s">
        <v>103</v>
      </c>
      <c r="H721" s="4" t="s">
        <v>252</v>
      </c>
      <c r="I721" s="16">
        <v>17.18</v>
      </c>
      <c r="J721" s="16">
        <v>16.501000000000001</v>
      </c>
      <c r="K721" s="16">
        <v>16.616</v>
      </c>
      <c r="L721" s="16">
        <v>16.143000000000001</v>
      </c>
      <c r="M721" s="16">
        <v>15.766</v>
      </c>
      <c r="N721" s="16">
        <v>17.364000000000001</v>
      </c>
      <c r="O721" s="16">
        <v>16.052</v>
      </c>
      <c r="P721" s="16">
        <v>17.029</v>
      </c>
      <c r="Q721" s="16">
        <v>16.460999999999999</v>
      </c>
      <c r="R721" s="16">
        <v>15.173999999999999</v>
      </c>
      <c r="S721" s="16">
        <v>15.894</v>
      </c>
      <c r="T721" s="16">
        <v>16.829000000000001</v>
      </c>
      <c r="U721" s="16">
        <v>16.189</v>
      </c>
      <c r="V721" s="16">
        <v>16.027000000000001</v>
      </c>
      <c r="W721" s="16">
        <v>15.137</v>
      </c>
      <c r="X721" s="16">
        <v>15.945</v>
      </c>
      <c r="Y721" s="16">
        <v>15.406000000000001</v>
      </c>
      <c r="Z721" s="16">
        <v>17.256</v>
      </c>
      <c r="AA721" s="16">
        <v>17.422999999999998</v>
      </c>
      <c r="AB721" s="16">
        <v>15.683999999999999</v>
      </c>
      <c r="AC721" s="16">
        <v>15.938000000000001</v>
      </c>
      <c r="AD721" s="16">
        <v>16.582999999999998</v>
      </c>
      <c r="AE721" s="16">
        <v>17.379000000000001</v>
      </c>
      <c r="AF721" s="16">
        <v>17.690000000000001</v>
      </c>
      <c r="AG721" s="16">
        <v>17.006</v>
      </c>
      <c r="AH721" s="16">
        <v>17.68</v>
      </c>
      <c r="AI721" s="16">
        <v>16.803999999999998</v>
      </c>
      <c r="AJ721" s="16">
        <v>18.309999999999999</v>
      </c>
      <c r="AK721" s="16">
        <v>17.015000000000001</v>
      </c>
      <c r="AL721" s="16">
        <v>15.255000000000001</v>
      </c>
      <c r="AM721" s="16">
        <v>14.333</v>
      </c>
      <c r="AN721" s="16">
        <v>15.473000000000001</v>
      </c>
      <c r="AO721" s="16">
        <v>14.846</v>
      </c>
      <c r="AP721" s="16">
        <v>13.541</v>
      </c>
      <c r="AQ721" s="16">
        <v>13.510999999999999</v>
      </c>
      <c r="AR721" s="16">
        <v>12.817</v>
      </c>
      <c r="AS721" s="16">
        <v>13.138999999999999</v>
      </c>
      <c r="AT721" s="7">
        <v>75.7120544</v>
      </c>
    </row>
    <row r="722" spans="1:46" x14ac:dyDescent="0.25">
      <c r="A722" s="4" t="s">
        <v>196</v>
      </c>
      <c r="B722" s="4" t="s">
        <v>207</v>
      </c>
      <c r="C722" s="4" t="s">
        <v>246</v>
      </c>
      <c r="D722" s="4" t="s">
        <v>254</v>
      </c>
      <c r="E722" s="4" t="s">
        <v>255</v>
      </c>
      <c r="F722" s="4" t="s">
        <v>203</v>
      </c>
      <c r="G722" s="4" t="s">
        <v>138</v>
      </c>
      <c r="H722" s="4" t="s">
        <v>151</v>
      </c>
      <c r="I722" s="5">
        <v>0</v>
      </c>
      <c r="J722" s="5">
        <v>0</v>
      </c>
      <c r="K722" s="5">
        <v>23.678000000000001</v>
      </c>
      <c r="L722" s="5">
        <v>24.855</v>
      </c>
      <c r="M722" s="5">
        <v>40.862000000000002</v>
      </c>
      <c r="N722" s="5">
        <v>24.855</v>
      </c>
      <c r="O722" s="5">
        <v>0</v>
      </c>
      <c r="P722" s="5">
        <v>0</v>
      </c>
      <c r="Q722" s="5">
        <v>0</v>
      </c>
      <c r="R722" s="5">
        <v>19.216000000000001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15.927</v>
      </c>
      <c r="AA722" s="5">
        <v>19.097999999999999</v>
      </c>
      <c r="AB722" s="5">
        <v>0</v>
      </c>
      <c r="AC722" s="5">
        <v>0</v>
      </c>
      <c r="AD722" s="5">
        <v>0</v>
      </c>
      <c r="AE722" s="5">
        <v>17.870999999999999</v>
      </c>
      <c r="AF722" s="5">
        <v>18.309999999999999</v>
      </c>
      <c r="AG722" s="5">
        <v>0</v>
      </c>
      <c r="AH722" s="5">
        <v>0</v>
      </c>
      <c r="AI722" s="5">
        <v>0</v>
      </c>
      <c r="AJ722" s="5">
        <v>6.1589999999999998</v>
      </c>
      <c r="AK722" s="5">
        <v>31.382000000000001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</row>
    <row r="723" spans="1:46" x14ac:dyDescent="0.25">
      <c r="A723" s="4" t="s">
        <v>196</v>
      </c>
      <c r="B723" s="4" t="s">
        <v>207</v>
      </c>
      <c r="C723" s="4" t="s">
        <v>246</v>
      </c>
      <c r="D723" s="4" t="s">
        <v>254</v>
      </c>
      <c r="E723" s="4" t="s">
        <v>255</v>
      </c>
      <c r="F723" s="4" t="s">
        <v>203</v>
      </c>
      <c r="G723" s="4" t="s">
        <v>138</v>
      </c>
      <c r="H723" s="4" t="s">
        <v>205</v>
      </c>
      <c r="I723" s="6">
        <v>0</v>
      </c>
      <c r="J723" s="6">
        <v>0</v>
      </c>
      <c r="K723" s="6">
        <v>5327.5150000000003</v>
      </c>
      <c r="L723" s="6">
        <v>5592.308</v>
      </c>
      <c r="M723" s="6">
        <v>8777.857</v>
      </c>
      <c r="N723" s="6">
        <v>5592.308</v>
      </c>
      <c r="O723" s="6">
        <v>0</v>
      </c>
      <c r="P723" s="6">
        <v>0</v>
      </c>
      <c r="Q723" s="6">
        <v>0</v>
      </c>
      <c r="R723" s="6">
        <v>4611.9070000000002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3822.4630000000002</v>
      </c>
      <c r="AA723" s="6">
        <v>4583.5159999999996</v>
      </c>
      <c r="AB723" s="6">
        <v>0</v>
      </c>
      <c r="AC723" s="6">
        <v>0</v>
      </c>
      <c r="AD723" s="6">
        <v>0</v>
      </c>
      <c r="AE723" s="6">
        <v>4289.0129999999999</v>
      </c>
      <c r="AF723" s="6">
        <v>4394.4859999999999</v>
      </c>
      <c r="AG723" s="6">
        <v>0</v>
      </c>
      <c r="AH723" s="6">
        <v>0</v>
      </c>
      <c r="AI723" s="6">
        <v>0</v>
      </c>
      <c r="AJ723" s="6">
        <v>2155.5909999999999</v>
      </c>
      <c r="AK723" s="6">
        <v>6535.7759999999998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</row>
    <row r="724" spans="1:46" x14ac:dyDescent="0.25">
      <c r="A724" s="4" t="s">
        <v>196</v>
      </c>
      <c r="B724" s="4" t="s">
        <v>207</v>
      </c>
      <c r="C724" s="4" t="s">
        <v>246</v>
      </c>
      <c r="D724" s="4" t="s">
        <v>254</v>
      </c>
      <c r="E724" s="4" t="s">
        <v>255</v>
      </c>
      <c r="F724" s="4" t="s">
        <v>203</v>
      </c>
      <c r="G724" s="4" t="s">
        <v>138</v>
      </c>
      <c r="H724" s="4" t="s">
        <v>249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1E-3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1E-3</v>
      </c>
      <c r="AF724" s="7">
        <v>1E-3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</row>
    <row r="725" spans="1:46" x14ac:dyDescent="0.25">
      <c r="A725" s="4" t="s">
        <v>196</v>
      </c>
      <c r="B725" s="4" t="s">
        <v>207</v>
      </c>
      <c r="C725" s="4" t="s">
        <v>246</v>
      </c>
      <c r="D725" s="4" t="s">
        <v>254</v>
      </c>
      <c r="E725" s="4" t="s">
        <v>255</v>
      </c>
      <c r="F725" s="4" t="s">
        <v>203</v>
      </c>
      <c r="G725" s="4" t="s">
        <v>138</v>
      </c>
      <c r="H725" s="4" t="s">
        <v>250</v>
      </c>
      <c r="I725" s="7">
        <v>7.2279999999999998</v>
      </c>
      <c r="J725" s="7">
        <v>3.4670000000000001</v>
      </c>
      <c r="K725" s="7">
        <v>2.6880000000000002</v>
      </c>
      <c r="L725" s="7">
        <v>3.1709999999999998</v>
      </c>
      <c r="M725" s="7">
        <v>3.7109999999999999</v>
      </c>
      <c r="N725" s="7">
        <v>1.9430000000000001</v>
      </c>
      <c r="O725" s="7">
        <v>1.3089999999999999</v>
      </c>
      <c r="P725" s="7">
        <v>3.8</v>
      </c>
      <c r="Q725" s="7">
        <v>5.0469999999999997</v>
      </c>
      <c r="R725" s="7">
        <v>5.8769999999999998</v>
      </c>
      <c r="S725" s="7">
        <v>5.0739999999999998</v>
      </c>
      <c r="T725" s="7">
        <v>5.2880000000000003</v>
      </c>
      <c r="U725" s="7">
        <v>3.7029999999999998</v>
      </c>
      <c r="V725" s="7">
        <v>3.5459999999999998</v>
      </c>
      <c r="W725" s="7">
        <v>2.6669999999999998</v>
      </c>
      <c r="X725" s="7">
        <v>2.96</v>
      </c>
      <c r="Y725" s="7">
        <v>2.9079999999999999</v>
      </c>
      <c r="Z725" s="7">
        <v>4.7350000000000003</v>
      </c>
      <c r="AA725" s="7">
        <v>7.6319999999999997</v>
      </c>
      <c r="AB725" s="7">
        <v>7.8550000000000004</v>
      </c>
      <c r="AC725" s="7">
        <v>9.2609999999999992</v>
      </c>
      <c r="AD725" s="7">
        <v>12.41</v>
      </c>
      <c r="AE725" s="7">
        <v>11.074999999999999</v>
      </c>
      <c r="AF725" s="7">
        <v>9.4160000000000004</v>
      </c>
      <c r="AG725" s="7">
        <v>4.18</v>
      </c>
      <c r="AH725" s="7">
        <v>3.379</v>
      </c>
      <c r="AI725" s="7">
        <v>1.534</v>
      </c>
      <c r="AJ725" s="7">
        <v>1.111</v>
      </c>
      <c r="AK725" s="7">
        <v>0.97199999999999998</v>
      </c>
      <c r="AL725" s="7">
        <v>0.47299999999999998</v>
      </c>
      <c r="AM725" s="7">
        <v>0.373</v>
      </c>
      <c r="AN725" s="7">
        <v>0.38300000000000001</v>
      </c>
      <c r="AO725" s="7">
        <v>0.58499999999999996</v>
      </c>
      <c r="AP725" s="7">
        <v>0.5</v>
      </c>
      <c r="AQ725" s="7">
        <v>6.9000000000000006E-2</v>
      </c>
      <c r="AR725" s="7">
        <v>0.23799999999999999</v>
      </c>
      <c r="AS725" s="7">
        <v>0.14000000000000001</v>
      </c>
      <c r="AT725" s="5">
        <v>5.0430000000000001</v>
      </c>
    </row>
    <row r="726" spans="1:46" x14ac:dyDescent="0.25">
      <c r="A726" s="4" t="s">
        <v>196</v>
      </c>
      <c r="B726" s="4" t="s">
        <v>207</v>
      </c>
      <c r="C726" s="4" t="s">
        <v>246</v>
      </c>
      <c r="D726" s="4" t="s">
        <v>254</v>
      </c>
      <c r="E726" s="4" t="s">
        <v>255</v>
      </c>
      <c r="F726" s="4" t="s">
        <v>203</v>
      </c>
      <c r="G726" s="4" t="s">
        <v>138</v>
      </c>
      <c r="H726" s="4" t="s">
        <v>251</v>
      </c>
      <c r="I726" s="7">
        <v>3.3844922</v>
      </c>
      <c r="J726" s="7">
        <v>3.3494404000000002</v>
      </c>
      <c r="K726" s="7">
        <v>3.9098478999999999</v>
      </c>
      <c r="L726" s="7">
        <v>5.1203116</v>
      </c>
      <c r="M726" s="7">
        <v>4.9601816999999997</v>
      </c>
      <c r="N726" s="7">
        <v>3.8847396999999999</v>
      </c>
      <c r="O726" s="7">
        <v>3.2746206999999998</v>
      </c>
      <c r="P726" s="7">
        <v>2.9329415999999999</v>
      </c>
      <c r="Q726" s="7">
        <v>3.2950393999999998</v>
      </c>
      <c r="R726" s="7">
        <v>3.2409680000000001</v>
      </c>
      <c r="S726" s="7">
        <v>3.9294118</v>
      </c>
      <c r="T726" s="7">
        <v>3.9275139000000001</v>
      </c>
      <c r="U726" s="7">
        <v>3.9304153999999998</v>
      </c>
      <c r="V726" s="7">
        <v>3.9256962999999998</v>
      </c>
      <c r="W726" s="7">
        <v>4.0415447000000002</v>
      </c>
      <c r="X726" s="7">
        <v>3.8044209000000002</v>
      </c>
      <c r="Y726" s="7">
        <v>3.6251356000000001</v>
      </c>
      <c r="Z726" s="7">
        <v>3.6768798</v>
      </c>
      <c r="AA726" s="7">
        <v>3.733657</v>
      </c>
      <c r="AB726" s="7">
        <v>3.4327749999999999</v>
      </c>
      <c r="AC726" s="7">
        <v>3.4316564000000001</v>
      </c>
      <c r="AD726" s="7">
        <v>3.6272115</v>
      </c>
      <c r="AE726" s="7">
        <v>4.0685409999999997</v>
      </c>
      <c r="AF726" s="7">
        <v>3.969125</v>
      </c>
      <c r="AG726" s="7">
        <v>2.4157429000000001</v>
      </c>
      <c r="AH726" s="7">
        <v>2.3282965</v>
      </c>
      <c r="AI726" s="7">
        <v>2.2301753999999998</v>
      </c>
      <c r="AJ726" s="7">
        <v>2.1615253000000001</v>
      </c>
      <c r="AK726" s="7">
        <v>2.1028142999999999</v>
      </c>
      <c r="AL726" s="7">
        <v>0.3877389</v>
      </c>
      <c r="AM726" s="7">
        <v>0.38779520000000001</v>
      </c>
      <c r="AN726" s="7">
        <v>0.3877023</v>
      </c>
      <c r="AO726" s="7">
        <v>0.38785170000000002</v>
      </c>
      <c r="AP726" s="7">
        <v>0.38796039999999998</v>
      </c>
      <c r="AQ726" s="7">
        <v>0.3877679</v>
      </c>
      <c r="AR726" s="7">
        <v>0.45392120000000002</v>
      </c>
      <c r="AS726" s="7">
        <v>0.45331909999999997</v>
      </c>
      <c r="AT726" s="7">
        <v>0.14000000000000001</v>
      </c>
    </row>
    <row r="727" spans="1:46" x14ac:dyDescent="0.25">
      <c r="A727" s="4" t="s">
        <v>196</v>
      </c>
      <c r="B727" s="4" t="s">
        <v>207</v>
      </c>
      <c r="C727" s="4" t="s">
        <v>246</v>
      </c>
      <c r="D727" s="4" t="s">
        <v>254</v>
      </c>
      <c r="E727" s="4" t="s">
        <v>255</v>
      </c>
      <c r="F727" s="4" t="s">
        <v>203</v>
      </c>
      <c r="G727" s="4" t="s">
        <v>138</v>
      </c>
      <c r="H727" s="4" t="s">
        <v>252</v>
      </c>
      <c r="I727" s="16">
        <v>0.128</v>
      </c>
      <c r="J727" s="16">
        <v>0.12</v>
      </c>
      <c r="K727" s="16">
        <v>0.14599999999999999</v>
      </c>
      <c r="L727" s="16">
        <v>0.13500000000000001</v>
      </c>
      <c r="M727" s="16">
        <v>0.10299999999999999</v>
      </c>
      <c r="N727" s="16">
        <v>0.104</v>
      </c>
      <c r="O727" s="16">
        <v>0.105</v>
      </c>
      <c r="P727" s="16">
        <v>8.8999999999999996E-2</v>
      </c>
      <c r="Q727" s="16">
        <v>9.2999999999999999E-2</v>
      </c>
      <c r="R727" s="16">
        <v>6.3E-2</v>
      </c>
      <c r="S727" s="16">
        <v>0.124</v>
      </c>
      <c r="T727" s="16">
        <v>0.122</v>
      </c>
      <c r="U727" s="16">
        <v>0.124</v>
      </c>
      <c r="V727" s="16">
        <v>0.12</v>
      </c>
      <c r="W727" s="16">
        <v>0.105</v>
      </c>
      <c r="X727" s="16">
        <v>9.9000000000000005E-2</v>
      </c>
      <c r="Y727" s="16">
        <v>9.4E-2</v>
      </c>
      <c r="Z727" s="16">
        <v>0.15</v>
      </c>
      <c r="AA727" s="16">
        <v>0.11</v>
      </c>
      <c r="AB727" s="16">
        <v>0.108</v>
      </c>
      <c r="AC727" s="16">
        <v>0.109</v>
      </c>
      <c r="AD727" s="16">
        <v>0.114</v>
      </c>
      <c r="AE727" s="16">
        <v>9.4E-2</v>
      </c>
      <c r="AF727" s="16">
        <v>8.7999999999999995E-2</v>
      </c>
      <c r="AG727" s="16">
        <v>8.6999999999999994E-2</v>
      </c>
      <c r="AH727" s="16">
        <v>8.2000000000000003E-2</v>
      </c>
      <c r="AI727" s="16">
        <v>7.6999999999999999E-2</v>
      </c>
      <c r="AJ727" s="16">
        <v>6.8000000000000005E-2</v>
      </c>
      <c r="AK727" s="16">
        <v>8.0000000000000002E-3</v>
      </c>
      <c r="AL727" s="16">
        <v>8.9999999999999993E-3</v>
      </c>
      <c r="AM727" s="16">
        <v>0.01</v>
      </c>
      <c r="AN727" s="16">
        <v>7.0000000000000001E-3</v>
      </c>
      <c r="AO727" s="16">
        <v>8.0000000000000002E-3</v>
      </c>
      <c r="AP727" s="16">
        <v>8.0000000000000002E-3</v>
      </c>
      <c r="AQ727" s="16">
        <v>8.9999999999999993E-3</v>
      </c>
      <c r="AR727" s="16">
        <v>0.01</v>
      </c>
      <c r="AS727" s="16">
        <v>0.01</v>
      </c>
      <c r="AT727" s="7">
        <v>0.45331909999999997</v>
      </c>
    </row>
    <row r="728" spans="1:46" x14ac:dyDescent="0.25">
      <c r="A728" s="4" t="s">
        <v>196</v>
      </c>
      <c r="B728" s="4" t="s">
        <v>207</v>
      </c>
      <c r="C728" s="4" t="s">
        <v>246</v>
      </c>
      <c r="D728" s="4" t="s">
        <v>254</v>
      </c>
      <c r="E728" s="4" t="s">
        <v>255</v>
      </c>
      <c r="F728" s="4" t="s">
        <v>203</v>
      </c>
      <c r="G728" s="4" t="s">
        <v>140</v>
      </c>
      <c r="H728" s="4" t="s">
        <v>151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16.059999999999999</v>
      </c>
      <c r="Y728" s="8">
        <v>0</v>
      </c>
      <c r="Z728" s="8">
        <v>0</v>
      </c>
      <c r="AA728" s="9">
        <v>0</v>
      </c>
      <c r="AB728" s="9">
        <v>0</v>
      </c>
      <c r="AC728" s="9">
        <v>0</v>
      </c>
      <c r="AD728" s="9">
        <v>0</v>
      </c>
      <c r="AE728" s="9">
        <v>0</v>
      </c>
      <c r="AF728" s="9">
        <v>0</v>
      </c>
      <c r="AG728" s="9">
        <v>0</v>
      </c>
      <c r="AH728" s="9">
        <v>0</v>
      </c>
      <c r="AI728" s="9">
        <v>0</v>
      </c>
      <c r="AJ728" s="9">
        <v>0</v>
      </c>
      <c r="AK728" s="9">
        <v>0</v>
      </c>
      <c r="AL728" s="9">
        <v>0</v>
      </c>
      <c r="AM728" s="9">
        <v>0</v>
      </c>
      <c r="AN728" s="9">
        <v>0</v>
      </c>
      <c r="AO728" s="9">
        <v>0</v>
      </c>
      <c r="AP728" s="9">
        <v>0</v>
      </c>
      <c r="AQ728" s="9">
        <v>0</v>
      </c>
      <c r="AR728" s="9">
        <v>0</v>
      </c>
      <c r="AS728" s="9">
        <v>0</v>
      </c>
      <c r="AT728" s="9">
        <v>0</v>
      </c>
    </row>
    <row r="729" spans="1:46" x14ac:dyDescent="0.25">
      <c r="A729" s="4" t="s">
        <v>196</v>
      </c>
      <c r="B729" s="4" t="s">
        <v>207</v>
      </c>
      <c r="C729" s="4" t="s">
        <v>246</v>
      </c>
      <c r="D729" s="4" t="s">
        <v>254</v>
      </c>
      <c r="E729" s="4" t="s">
        <v>255</v>
      </c>
      <c r="F729" s="4" t="s">
        <v>203</v>
      </c>
      <c r="G729" s="4" t="s">
        <v>140</v>
      </c>
      <c r="H729" s="4" t="s">
        <v>205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4014.9760000000001</v>
      </c>
      <c r="Y729" s="10">
        <v>0</v>
      </c>
      <c r="Z729" s="10">
        <v>0</v>
      </c>
      <c r="AA729" s="9">
        <v>0</v>
      </c>
      <c r="AB729" s="9">
        <v>0</v>
      </c>
      <c r="AC729" s="9">
        <v>0</v>
      </c>
      <c r="AD729" s="9">
        <v>0</v>
      </c>
      <c r="AE729" s="9">
        <v>0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9">
        <v>0</v>
      </c>
      <c r="AN729" s="9">
        <v>0</v>
      </c>
      <c r="AO729" s="9">
        <v>0</v>
      </c>
      <c r="AP729" s="9">
        <v>0</v>
      </c>
      <c r="AQ729" s="9">
        <v>0</v>
      </c>
      <c r="AR729" s="9">
        <v>0</v>
      </c>
      <c r="AS729" s="9">
        <v>0</v>
      </c>
      <c r="AT729" s="9">
        <v>0</v>
      </c>
    </row>
    <row r="730" spans="1:46" x14ac:dyDescent="0.25">
      <c r="A730" s="4" t="s">
        <v>196</v>
      </c>
      <c r="B730" s="4" t="s">
        <v>207</v>
      </c>
      <c r="C730" s="4" t="s">
        <v>246</v>
      </c>
      <c r="D730" s="4" t="s">
        <v>254</v>
      </c>
      <c r="E730" s="4" t="s">
        <v>255</v>
      </c>
      <c r="F730" s="4" t="s">
        <v>203</v>
      </c>
      <c r="G730" s="4" t="s">
        <v>140</v>
      </c>
      <c r="H730" s="4" t="s">
        <v>249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1E-3</v>
      </c>
      <c r="Y730" s="11">
        <v>0</v>
      </c>
      <c r="Z730" s="11">
        <v>0</v>
      </c>
      <c r="AA730" s="9">
        <v>0</v>
      </c>
      <c r="AB730" s="9">
        <v>0</v>
      </c>
      <c r="AC730" s="9">
        <v>0</v>
      </c>
      <c r="AD730" s="9">
        <v>0</v>
      </c>
      <c r="AE730" s="9">
        <v>0</v>
      </c>
      <c r="AF730" s="9">
        <v>0</v>
      </c>
      <c r="AG730" s="9">
        <v>0</v>
      </c>
      <c r="AH730" s="9">
        <v>0</v>
      </c>
      <c r="AI730" s="9">
        <v>0</v>
      </c>
      <c r="AJ730" s="9">
        <v>0</v>
      </c>
      <c r="AK730" s="9">
        <v>0</v>
      </c>
      <c r="AL730" s="9">
        <v>0</v>
      </c>
      <c r="AM730" s="9">
        <v>0</v>
      </c>
      <c r="AN730" s="9">
        <v>0</v>
      </c>
      <c r="AO730" s="9">
        <v>0</v>
      </c>
      <c r="AP730" s="9">
        <v>0</v>
      </c>
      <c r="AQ730" s="9">
        <v>0</v>
      </c>
      <c r="AR730" s="9">
        <v>0</v>
      </c>
      <c r="AS730" s="9">
        <v>0</v>
      </c>
      <c r="AT730" s="9">
        <v>0</v>
      </c>
    </row>
    <row r="731" spans="1:46" x14ac:dyDescent="0.25">
      <c r="A731" s="4" t="s">
        <v>196</v>
      </c>
      <c r="B731" s="4" t="s">
        <v>207</v>
      </c>
      <c r="C731" s="4" t="s">
        <v>246</v>
      </c>
      <c r="D731" s="4" t="s">
        <v>254</v>
      </c>
      <c r="E731" s="4" t="s">
        <v>255</v>
      </c>
      <c r="F731" s="4" t="s">
        <v>203</v>
      </c>
      <c r="G731" s="4" t="s">
        <v>140</v>
      </c>
      <c r="H731" s="4" t="s">
        <v>250</v>
      </c>
      <c r="I731" s="7">
        <v>1.117</v>
      </c>
      <c r="J731" s="7">
        <v>0.16900000000000001</v>
      </c>
      <c r="K731" s="7">
        <v>0.10199999999999999</v>
      </c>
      <c r="L731" s="7">
        <v>0.29499999999999998</v>
      </c>
      <c r="M731" s="7">
        <v>0.17299999999999999</v>
      </c>
      <c r="N731" s="7">
        <v>0.193</v>
      </c>
      <c r="O731" s="7">
        <v>0.253</v>
      </c>
      <c r="P731" s="7">
        <v>2.8420000000000001</v>
      </c>
      <c r="Q731" s="7">
        <v>4.4400000000000004</v>
      </c>
      <c r="R731" s="7">
        <v>4.6070000000000002</v>
      </c>
      <c r="S731" s="7">
        <v>2.9620000000000002</v>
      </c>
      <c r="T731" s="7">
        <v>2.9449999999999998</v>
      </c>
      <c r="U731" s="7">
        <v>1.7</v>
      </c>
      <c r="V731" s="7">
        <v>0.55200000000000005</v>
      </c>
      <c r="W731" s="7">
        <v>0.26</v>
      </c>
      <c r="X731" s="7">
        <v>0.60499999999999998</v>
      </c>
      <c r="Y731" s="11">
        <v>0</v>
      </c>
      <c r="Z731" s="11">
        <v>0</v>
      </c>
      <c r="AA731" s="9">
        <v>0</v>
      </c>
      <c r="AB731" s="9">
        <v>0</v>
      </c>
      <c r="AC731" s="9">
        <v>0</v>
      </c>
      <c r="AD731" s="9">
        <v>0</v>
      </c>
      <c r="AE731" s="9">
        <v>0</v>
      </c>
      <c r="AF731" s="9">
        <v>0</v>
      </c>
      <c r="AG731" s="9">
        <v>0</v>
      </c>
      <c r="AH731" s="9">
        <v>0</v>
      </c>
      <c r="AI731" s="9">
        <v>0</v>
      </c>
      <c r="AJ731" s="9">
        <v>0</v>
      </c>
      <c r="AK731" s="9">
        <v>0</v>
      </c>
      <c r="AL731" s="9">
        <v>0</v>
      </c>
      <c r="AM731" s="9">
        <v>0</v>
      </c>
      <c r="AN731" s="9">
        <v>0</v>
      </c>
      <c r="AO731" s="9">
        <v>0</v>
      </c>
      <c r="AP731" s="9">
        <v>0</v>
      </c>
      <c r="AQ731" s="9">
        <v>0</v>
      </c>
      <c r="AR731" s="9">
        <v>0</v>
      </c>
      <c r="AS731" s="9">
        <v>0</v>
      </c>
      <c r="AT731" s="9">
        <v>0</v>
      </c>
    </row>
    <row r="732" spans="1:46" x14ac:dyDescent="0.25">
      <c r="A732" s="4" t="s">
        <v>196</v>
      </c>
      <c r="B732" s="4" t="s">
        <v>207</v>
      </c>
      <c r="C732" s="4" t="s">
        <v>246</v>
      </c>
      <c r="D732" s="4" t="s">
        <v>254</v>
      </c>
      <c r="E732" s="4" t="s">
        <v>255</v>
      </c>
      <c r="F732" s="4" t="s">
        <v>203</v>
      </c>
      <c r="G732" s="4" t="s">
        <v>140</v>
      </c>
      <c r="H732" s="4" t="s">
        <v>251</v>
      </c>
      <c r="I732" s="7">
        <v>0.7061269</v>
      </c>
      <c r="J732" s="7">
        <v>0.84554759999999995</v>
      </c>
      <c r="K732" s="7">
        <v>0.84358710000000003</v>
      </c>
      <c r="L732" s="7">
        <v>0.87011349999999998</v>
      </c>
      <c r="M732" s="7">
        <v>0.72287489999999999</v>
      </c>
      <c r="N732" s="7">
        <v>0.72196329999999997</v>
      </c>
      <c r="O732" s="7">
        <v>0.72196510000000003</v>
      </c>
      <c r="P732" s="7">
        <v>0.72196329999999997</v>
      </c>
      <c r="Q732" s="7">
        <v>0.73058199999999995</v>
      </c>
      <c r="R732" s="7">
        <v>0.72948979999999997</v>
      </c>
      <c r="S732" s="7">
        <v>0.72839489999999996</v>
      </c>
      <c r="T732" s="7">
        <v>0.72804310000000005</v>
      </c>
      <c r="U732" s="7">
        <v>0.72858100000000003</v>
      </c>
      <c r="V732" s="7">
        <v>0.72770619999999997</v>
      </c>
      <c r="W732" s="7">
        <v>0.72747430000000002</v>
      </c>
      <c r="X732" s="7">
        <v>0.71162429999999999</v>
      </c>
      <c r="Y732" s="7">
        <v>0</v>
      </c>
      <c r="Z732" s="7">
        <v>0</v>
      </c>
      <c r="AA732" s="9">
        <v>0</v>
      </c>
      <c r="AB732" s="9">
        <v>0</v>
      </c>
      <c r="AC732" s="9">
        <v>0</v>
      </c>
      <c r="AD732" s="9">
        <v>0</v>
      </c>
      <c r="AE732" s="9">
        <v>0</v>
      </c>
      <c r="AF732" s="9">
        <v>0</v>
      </c>
      <c r="AG732" s="9">
        <v>0</v>
      </c>
      <c r="AH732" s="9">
        <v>0</v>
      </c>
      <c r="AI732" s="9">
        <v>0</v>
      </c>
      <c r="AJ732" s="9">
        <v>0</v>
      </c>
      <c r="AK732" s="9">
        <v>0</v>
      </c>
      <c r="AL732" s="9">
        <v>0</v>
      </c>
      <c r="AM732" s="9">
        <v>0</v>
      </c>
      <c r="AN732" s="9">
        <v>0</v>
      </c>
      <c r="AO732" s="9">
        <v>0</v>
      </c>
      <c r="AP732" s="9">
        <v>0</v>
      </c>
      <c r="AQ732" s="9">
        <v>0</v>
      </c>
      <c r="AR732" s="9">
        <v>0</v>
      </c>
      <c r="AS732" s="9">
        <v>0</v>
      </c>
      <c r="AT732" s="9">
        <v>0</v>
      </c>
    </row>
    <row r="733" spans="1:46" x14ac:dyDescent="0.25">
      <c r="A733" s="4" t="s">
        <v>196</v>
      </c>
      <c r="B733" s="4" t="s">
        <v>207</v>
      </c>
      <c r="C733" s="4" t="s">
        <v>246</v>
      </c>
      <c r="D733" s="4" t="s">
        <v>254</v>
      </c>
      <c r="E733" s="4" t="s">
        <v>255</v>
      </c>
      <c r="F733" s="4" t="s">
        <v>203</v>
      </c>
      <c r="G733" s="4" t="s">
        <v>140</v>
      </c>
      <c r="H733" s="4" t="s">
        <v>252</v>
      </c>
      <c r="I733" s="16">
        <v>3.6999999999999998E-2</v>
      </c>
      <c r="J733" s="16">
        <v>4.7E-2</v>
      </c>
      <c r="K733" s="16">
        <v>4.1000000000000002E-2</v>
      </c>
      <c r="L733" s="16">
        <v>4.1000000000000002E-2</v>
      </c>
      <c r="M733" s="16">
        <v>3.9E-2</v>
      </c>
      <c r="N733" s="16">
        <v>3.9E-2</v>
      </c>
      <c r="O733" s="16">
        <v>3.9E-2</v>
      </c>
      <c r="P733" s="16">
        <v>0.03</v>
      </c>
      <c r="Q733" s="16">
        <v>2.9000000000000001E-2</v>
      </c>
      <c r="R733" s="16">
        <v>0.03</v>
      </c>
      <c r="S733" s="16">
        <v>0.03</v>
      </c>
      <c r="T733" s="16">
        <v>2.9000000000000001E-2</v>
      </c>
      <c r="U733" s="16">
        <v>0.03</v>
      </c>
      <c r="V733" s="16">
        <v>2.9000000000000001E-2</v>
      </c>
      <c r="W733" s="16">
        <v>2.5999999999999999E-2</v>
      </c>
      <c r="X733" s="17">
        <v>0</v>
      </c>
      <c r="Y733" s="17">
        <v>0</v>
      </c>
      <c r="Z733" s="17">
        <v>0</v>
      </c>
      <c r="AA733" s="9">
        <v>0</v>
      </c>
      <c r="AB733" s="9">
        <v>0</v>
      </c>
      <c r="AC733" s="9">
        <v>0</v>
      </c>
      <c r="AD733" s="9">
        <v>0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0</v>
      </c>
      <c r="AL733" s="9">
        <v>0</v>
      </c>
      <c r="AM733" s="9">
        <v>0</v>
      </c>
      <c r="AN733" s="9">
        <v>0</v>
      </c>
      <c r="AO733" s="9">
        <v>0</v>
      </c>
      <c r="AP733" s="9">
        <v>0</v>
      </c>
      <c r="AQ733" s="9">
        <v>0</v>
      </c>
      <c r="AR733" s="9">
        <v>0</v>
      </c>
      <c r="AS733" s="9">
        <v>0</v>
      </c>
      <c r="AT733" s="9">
        <v>0</v>
      </c>
    </row>
    <row r="734" spans="1:46" x14ac:dyDescent="0.25">
      <c r="A734" s="4" t="s">
        <v>196</v>
      </c>
      <c r="B734" s="4" t="s">
        <v>207</v>
      </c>
      <c r="C734" s="4" t="s">
        <v>246</v>
      </c>
      <c r="D734" s="4" t="s">
        <v>254</v>
      </c>
      <c r="E734" s="4" t="s">
        <v>255</v>
      </c>
      <c r="F734" s="4" t="s">
        <v>195</v>
      </c>
      <c r="G734" s="4" t="s">
        <v>93</v>
      </c>
      <c r="H734" s="4" t="s">
        <v>151</v>
      </c>
      <c r="I734" s="5">
        <v>315.59699999999998</v>
      </c>
      <c r="J734" s="5">
        <v>390.84800000000001</v>
      </c>
      <c r="K734" s="5">
        <v>714.995</v>
      </c>
      <c r="L734" s="5">
        <v>839.26599999999996</v>
      </c>
      <c r="M734" s="5">
        <v>1081.932</v>
      </c>
      <c r="N734" s="5">
        <v>1121.5650000000001</v>
      </c>
      <c r="O734" s="5">
        <v>1050.105</v>
      </c>
      <c r="P734" s="5">
        <v>655.20699999999999</v>
      </c>
      <c r="Q734" s="5">
        <v>535.02599999999995</v>
      </c>
      <c r="R734" s="5">
        <v>219.03899999999999</v>
      </c>
      <c r="S734" s="5">
        <v>261.58199999999999</v>
      </c>
      <c r="T734" s="5">
        <v>284.16500000000002</v>
      </c>
      <c r="U734" s="5">
        <v>338.11799999999999</v>
      </c>
      <c r="V734" s="5">
        <v>385.49099999999999</v>
      </c>
      <c r="W734" s="5">
        <v>416.81599999999997</v>
      </c>
      <c r="X734" s="5">
        <v>823.37900000000002</v>
      </c>
      <c r="Y734" s="5">
        <v>658.87800000000004</v>
      </c>
      <c r="Z734" s="5">
        <v>671.10900000000004</v>
      </c>
      <c r="AA734" s="5">
        <v>855.13699999999994</v>
      </c>
      <c r="AB734" s="5">
        <v>554.00599999999997</v>
      </c>
      <c r="AC734" s="5">
        <v>475.65199999999999</v>
      </c>
      <c r="AD734" s="5">
        <v>393.52600000000001</v>
      </c>
      <c r="AE734" s="5">
        <v>424.74299999999999</v>
      </c>
      <c r="AF734" s="5">
        <v>456.673</v>
      </c>
      <c r="AG734" s="5">
        <v>427.39499999999998</v>
      </c>
      <c r="AH734" s="5">
        <v>208.37799999999999</v>
      </c>
      <c r="AI734" s="5">
        <v>371.31900000000002</v>
      </c>
      <c r="AJ734" s="5">
        <v>543.09699999999998</v>
      </c>
      <c r="AK734" s="5">
        <v>878.08500000000004</v>
      </c>
      <c r="AL734" s="5">
        <v>826.59900000000005</v>
      </c>
      <c r="AM734" s="5">
        <v>806.64800000000002</v>
      </c>
      <c r="AN734" s="5">
        <v>822.38499999999999</v>
      </c>
      <c r="AO734" s="5">
        <v>634.33000000000004</v>
      </c>
      <c r="AP734" s="5">
        <v>474.16300000000001</v>
      </c>
      <c r="AQ734" s="5">
        <v>348.73599999999999</v>
      </c>
      <c r="AR734" s="5">
        <v>469.83499999999998</v>
      </c>
      <c r="AS734" s="5">
        <v>419.03199999999998</v>
      </c>
      <c r="AT734" s="5">
        <v>419.03199999999998</v>
      </c>
    </row>
    <row r="735" spans="1:46" x14ac:dyDescent="0.25">
      <c r="A735" s="4" t="s">
        <v>196</v>
      </c>
      <c r="B735" s="4" t="s">
        <v>207</v>
      </c>
      <c r="C735" s="4" t="s">
        <v>246</v>
      </c>
      <c r="D735" s="4" t="s">
        <v>254</v>
      </c>
      <c r="E735" s="4" t="s">
        <v>255</v>
      </c>
      <c r="F735" s="4" t="s">
        <v>195</v>
      </c>
      <c r="G735" s="4" t="s">
        <v>93</v>
      </c>
      <c r="H735" s="4" t="s">
        <v>205</v>
      </c>
      <c r="I735" s="6">
        <v>60538.303999999996</v>
      </c>
      <c r="J735" s="6">
        <v>75916.695000000007</v>
      </c>
      <c r="K735" s="6">
        <v>145203.67600000001</v>
      </c>
      <c r="L735" s="6">
        <v>175479.902</v>
      </c>
      <c r="M735" s="6">
        <v>234535.75700000001</v>
      </c>
      <c r="N735" s="6">
        <v>240872.75599999999</v>
      </c>
      <c r="O735" s="6">
        <v>219315.71100000001</v>
      </c>
      <c r="P735" s="6">
        <v>142613.497</v>
      </c>
      <c r="Q735" s="6">
        <v>109438.249</v>
      </c>
      <c r="R735" s="6">
        <v>44458.902000000002</v>
      </c>
      <c r="S735" s="6">
        <v>56682.165000000001</v>
      </c>
      <c r="T735" s="6">
        <v>62895.087</v>
      </c>
      <c r="U735" s="6">
        <v>72662.990999999995</v>
      </c>
      <c r="V735" s="6">
        <v>86179.558000000005</v>
      </c>
      <c r="W735" s="6">
        <v>91225.130999999994</v>
      </c>
      <c r="X735" s="6">
        <v>175509.82800000001</v>
      </c>
      <c r="Y735" s="6">
        <v>142385.242</v>
      </c>
      <c r="Z735" s="6">
        <v>154050.016</v>
      </c>
      <c r="AA735" s="6">
        <v>199028.22899999999</v>
      </c>
      <c r="AB735" s="6">
        <v>121527.749</v>
      </c>
      <c r="AC735" s="6">
        <v>102063.353</v>
      </c>
      <c r="AD735" s="6">
        <v>92812.641000000003</v>
      </c>
      <c r="AE735" s="6">
        <v>104522.97100000001</v>
      </c>
      <c r="AF735" s="6">
        <v>115974.189</v>
      </c>
      <c r="AG735" s="6">
        <v>113624.978</v>
      </c>
      <c r="AH735" s="6">
        <v>75226.697</v>
      </c>
      <c r="AI735" s="6">
        <v>81067.710999999996</v>
      </c>
      <c r="AJ735" s="6">
        <v>118094.068</v>
      </c>
      <c r="AK735" s="6">
        <v>201396.51300000001</v>
      </c>
      <c r="AL735" s="6">
        <v>182432.24799999999</v>
      </c>
      <c r="AM735" s="6">
        <v>194002.14600000001</v>
      </c>
      <c r="AN735" s="6">
        <v>207970.93400000001</v>
      </c>
      <c r="AO735" s="6">
        <v>166724.663</v>
      </c>
      <c r="AP735" s="6">
        <v>124063.371</v>
      </c>
      <c r="AQ735" s="6">
        <v>90785.585999999996</v>
      </c>
      <c r="AR735" s="6">
        <v>124338.11199999999</v>
      </c>
      <c r="AS735" s="6">
        <v>105376.421</v>
      </c>
      <c r="AT735" s="6">
        <v>105376.421</v>
      </c>
    </row>
    <row r="736" spans="1:46" x14ac:dyDescent="0.25">
      <c r="A736" s="4" t="s">
        <v>196</v>
      </c>
      <c r="B736" s="4" t="s">
        <v>207</v>
      </c>
      <c r="C736" s="4" t="s">
        <v>246</v>
      </c>
      <c r="D736" s="4" t="s">
        <v>254</v>
      </c>
      <c r="E736" s="4" t="s">
        <v>255</v>
      </c>
      <c r="F736" s="4" t="s">
        <v>195</v>
      </c>
      <c r="G736" s="4" t="s">
        <v>93</v>
      </c>
      <c r="H736" s="4" t="s">
        <v>249</v>
      </c>
      <c r="I736" s="7">
        <v>4.3860000000000001</v>
      </c>
      <c r="J736" s="7">
        <v>3.3969999999999998</v>
      </c>
      <c r="K736" s="7">
        <v>4.0880000000000001</v>
      </c>
      <c r="L736" s="7">
        <v>3.863</v>
      </c>
      <c r="M736" s="7">
        <v>3.3090000000000002</v>
      </c>
      <c r="N736" s="7">
        <v>3.7170000000000001</v>
      </c>
      <c r="O736" s="7">
        <v>4.3559999999999999</v>
      </c>
      <c r="P736" s="7">
        <v>4.0759999999999996</v>
      </c>
      <c r="Q736" s="7">
        <v>4.8890000000000002</v>
      </c>
      <c r="R736" s="7">
        <v>2.9369999999999998</v>
      </c>
      <c r="S736" s="7">
        <v>4.0890000000000004</v>
      </c>
      <c r="T736" s="7">
        <v>4.8780000000000001</v>
      </c>
      <c r="U736" s="7">
        <v>4.6479999999999997</v>
      </c>
      <c r="V736" s="7">
        <v>4.3259999999999996</v>
      </c>
      <c r="W736" s="7">
        <v>2.7269999999999999</v>
      </c>
      <c r="X736" s="7">
        <v>3.343</v>
      </c>
      <c r="Y736" s="7">
        <v>2.3279999999999998</v>
      </c>
      <c r="Z736" s="7">
        <v>2.4790000000000001</v>
      </c>
      <c r="AA736" s="7">
        <v>3.1459999999999999</v>
      </c>
      <c r="AB736" s="7">
        <v>2.8540000000000001</v>
      </c>
      <c r="AC736" s="7">
        <v>3.2610000000000001</v>
      </c>
      <c r="AD736" s="7">
        <v>3.6920000000000002</v>
      </c>
      <c r="AE736" s="7">
        <v>4.7910000000000004</v>
      </c>
      <c r="AF736" s="7">
        <v>6.2670000000000003</v>
      </c>
      <c r="AG736" s="7">
        <v>5.7389999999999999</v>
      </c>
      <c r="AH736" s="7">
        <v>2.1520000000000001</v>
      </c>
      <c r="AI736" s="7">
        <v>2.7069999999999999</v>
      </c>
      <c r="AJ736" s="7">
        <v>2.032</v>
      </c>
      <c r="AK736" s="7">
        <v>2.0049999999999999</v>
      </c>
      <c r="AL736" s="7">
        <v>2.1880000000000002</v>
      </c>
      <c r="AM736" s="7">
        <v>1.512</v>
      </c>
      <c r="AN736" s="7">
        <v>1.367</v>
      </c>
      <c r="AO736" s="7">
        <v>1.6990000000000001</v>
      </c>
      <c r="AP736" s="7">
        <v>2.5590000000000002</v>
      </c>
      <c r="AQ736" s="7">
        <v>3.1850000000000001</v>
      </c>
      <c r="AR736" s="7">
        <v>6.5389999999999997</v>
      </c>
      <c r="AS736" s="7">
        <v>6.1079999999999997</v>
      </c>
      <c r="AT736" s="7">
        <v>0.82699999999999996</v>
      </c>
    </row>
    <row r="737" spans="1:46" x14ac:dyDescent="0.25">
      <c r="A737" s="4" t="s">
        <v>196</v>
      </c>
      <c r="B737" s="4" t="s">
        <v>207</v>
      </c>
      <c r="C737" s="4" t="s">
        <v>246</v>
      </c>
      <c r="D737" s="4" t="s">
        <v>254</v>
      </c>
      <c r="E737" s="4" t="s">
        <v>255</v>
      </c>
      <c r="F737" s="4" t="s">
        <v>195</v>
      </c>
      <c r="G737" s="4" t="s">
        <v>93</v>
      </c>
      <c r="H737" s="4" t="s">
        <v>250</v>
      </c>
      <c r="I737" s="7">
        <v>51.798999999999999</v>
      </c>
      <c r="J737" s="7">
        <v>44.987000000000002</v>
      </c>
      <c r="K737" s="7">
        <v>55.631</v>
      </c>
      <c r="L737" s="7">
        <v>56.043999999999997</v>
      </c>
      <c r="M737" s="7">
        <v>59.390999999999998</v>
      </c>
      <c r="N737" s="7">
        <v>57.581000000000003</v>
      </c>
      <c r="O737" s="7">
        <v>52.118000000000002</v>
      </c>
      <c r="P737" s="7">
        <v>52.277000000000001</v>
      </c>
      <c r="Q737" s="7">
        <v>57.546999999999997</v>
      </c>
      <c r="R737" s="7">
        <v>42.835000000000001</v>
      </c>
      <c r="S737" s="7">
        <v>40.006</v>
      </c>
      <c r="T737" s="7">
        <v>43.155000000000001</v>
      </c>
      <c r="U737" s="7">
        <v>40.707000000000001</v>
      </c>
      <c r="V737" s="7">
        <v>44.646000000000001</v>
      </c>
      <c r="W737" s="7">
        <v>49.784999999999997</v>
      </c>
      <c r="X737" s="7">
        <v>55.16</v>
      </c>
      <c r="Y737" s="7">
        <v>54.152999999999999</v>
      </c>
      <c r="Z737" s="7">
        <v>54.725000000000001</v>
      </c>
      <c r="AA737" s="7">
        <v>50.027999999999999</v>
      </c>
      <c r="AB737" s="7">
        <v>44.744999999999997</v>
      </c>
      <c r="AC737" s="7">
        <v>44.776000000000003</v>
      </c>
      <c r="AD737" s="7">
        <v>46.552</v>
      </c>
      <c r="AE737" s="7">
        <v>47.506999999999998</v>
      </c>
      <c r="AF737" s="7">
        <v>40.304000000000002</v>
      </c>
      <c r="AG737" s="7">
        <v>42.348999999999997</v>
      </c>
      <c r="AH737" s="7">
        <v>36.881999999999998</v>
      </c>
      <c r="AI737" s="7">
        <v>38.76</v>
      </c>
      <c r="AJ737" s="7">
        <v>40.508000000000003</v>
      </c>
      <c r="AK737" s="7">
        <v>46.384999999999998</v>
      </c>
      <c r="AL737" s="7">
        <v>46.758000000000003</v>
      </c>
      <c r="AM737" s="7">
        <v>43.828000000000003</v>
      </c>
      <c r="AN737" s="7">
        <v>41.41</v>
      </c>
      <c r="AO737" s="7">
        <v>42.015999999999998</v>
      </c>
      <c r="AP737" s="7">
        <v>43.982999999999997</v>
      </c>
      <c r="AQ737" s="7">
        <v>44.494999999999997</v>
      </c>
      <c r="AR737" s="7">
        <v>49.375999999999998</v>
      </c>
      <c r="AS737" s="7">
        <v>39.540999999999997</v>
      </c>
      <c r="AT737" s="5">
        <v>734.86300000000006</v>
      </c>
    </row>
    <row r="738" spans="1:46" x14ac:dyDescent="0.25">
      <c r="A738" s="4" t="s">
        <v>196</v>
      </c>
      <c r="B738" s="4" t="s">
        <v>207</v>
      </c>
      <c r="C738" s="4" t="s">
        <v>246</v>
      </c>
      <c r="D738" s="4" t="s">
        <v>254</v>
      </c>
      <c r="E738" s="4" t="s">
        <v>255</v>
      </c>
      <c r="F738" s="4" t="s">
        <v>195</v>
      </c>
      <c r="G738" s="4" t="s">
        <v>93</v>
      </c>
      <c r="H738" s="4" t="s">
        <v>251</v>
      </c>
      <c r="I738" s="7">
        <v>27.0662105</v>
      </c>
      <c r="J738" s="7">
        <v>26.243535600000001</v>
      </c>
      <c r="K738" s="7">
        <v>29.255777999999999</v>
      </c>
      <c r="L738" s="7">
        <v>29.452238999999999</v>
      </c>
      <c r="M738" s="7">
        <v>28.394940299999998</v>
      </c>
      <c r="N738" s="7">
        <v>30.754672200000002</v>
      </c>
      <c r="O738" s="7">
        <v>29.158162999999998</v>
      </c>
      <c r="P738" s="7">
        <v>29.207329099999999</v>
      </c>
      <c r="Q738" s="7">
        <v>31.526927000000001</v>
      </c>
      <c r="R738" s="7">
        <v>23.535940199999999</v>
      </c>
      <c r="S738" s="7">
        <v>22.010362499999999</v>
      </c>
      <c r="T738" s="7">
        <v>21.693962299999999</v>
      </c>
      <c r="U738" s="7">
        <v>21.016503799999999</v>
      </c>
      <c r="V738" s="7">
        <v>23.5967159</v>
      </c>
      <c r="W738" s="7">
        <v>28.1748981</v>
      </c>
      <c r="X738" s="7">
        <v>29.1227464</v>
      </c>
      <c r="Y738" s="7">
        <v>29.875617299999998</v>
      </c>
      <c r="Z738" s="7">
        <v>30.509067999999999</v>
      </c>
      <c r="AA738" s="7">
        <v>30.048048999999999</v>
      </c>
      <c r="AB738" s="7">
        <v>27.533330599999999</v>
      </c>
      <c r="AC738" s="7">
        <v>27.323729799999999</v>
      </c>
      <c r="AD738" s="7">
        <v>26.029566899999999</v>
      </c>
      <c r="AE738" s="7">
        <v>23.4140075</v>
      </c>
      <c r="AF738" s="7">
        <v>21.307256500000001</v>
      </c>
      <c r="AG738" s="7">
        <v>22.818834500000001</v>
      </c>
      <c r="AH738" s="7">
        <v>22.803770799999999</v>
      </c>
      <c r="AI738" s="7">
        <v>21.3408935</v>
      </c>
      <c r="AJ738" s="7">
        <v>22.4126768</v>
      </c>
      <c r="AK738" s="7">
        <v>24.121454199999999</v>
      </c>
      <c r="AL738" s="7">
        <v>24.861884700000001</v>
      </c>
      <c r="AM738" s="7">
        <v>23.9762375</v>
      </c>
      <c r="AN738" s="7">
        <v>22.740614399999998</v>
      </c>
      <c r="AO738" s="7">
        <v>21.369691499999998</v>
      </c>
      <c r="AP738" s="7">
        <v>20.59976</v>
      </c>
      <c r="AQ738" s="7">
        <v>20.870338400000001</v>
      </c>
      <c r="AR738" s="7">
        <v>22.377418899999999</v>
      </c>
      <c r="AS738" s="7">
        <v>20.635086399999999</v>
      </c>
      <c r="AT738" s="7">
        <v>39.540999999999997</v>
      </c>
    </row>
    <row r="739" spans="1:46" x14ac:dyDescent="0.25">
      <c r="A739" s="4" t="s">
        <v>196</v>
      </c>
      <c r="B739" s="4" t="s">
        <v>207</v>
      </c>
      <c r="C739" s="4" t="s">
        <v>246</v>
      </c>
      <c r="D739" s="4" t="s">
        <v>254</v>
      </c>
      <c r="E739" s="4" t="s">
        <v>255</v>
      </c>
      <c r="F739" s="4" t="s">
        <v>195</v>
      </c>
      <c r="G739" s="4" t="s">
        <v>93</v>
      </c>
      <c r="H739" s="4" t="s">
        <v>252</v>
      </c>
      <c r="I739" s="16">
        <v>1.9990000000000001</v>
      </c>
      <c r="J739" s="16">
        <v>1.653</v>
      </c>
      <c r="K739" s="16">
        <v>1.863</v>
      </c>
      <c r="L739" s="16">
        <v>1.536</v>
      </c>
      <c r="M739" s="16">
        <v>1.3069999999999999</v>
      </c>
      <c r="N739" s="16">
        <v>1.61</v>
      </c>
      <c r="O739" s="16">
        <v>1.583</v>
      </c>
      <c r="P739" s="16">
        <v>1.659</v>
      </c>
      <c r="Q739" s="16">
        <v>1.498</v>
      </c>
      <c r="R739" s="16">
        <v>1.5009999999999999</v>
      </c>
      <c r="S739" s="16">
        <v>1.585</v>
      </c>
      <c r="T739" s="16">
        <v>1.4610000000000001</v>
      </c>
      <c r="U739" s="16">
        <v>1.4870000000000001</v>
      </c>
      <c r="V739" s="16">
        <v>1.474</v>
      </c>
      <c r="W739" s="16">
        <v>1.3640000000000001</v>
      </c>
      <c r="X739" s="16">
        <v>1.2450000000000001</v>
      </c>
      <c r="Y739" s="16">
        <v>1.49</v>
      </c>
      <c r="Z739" s="16">
        <v>1.3740000000000001</v>
      </c>
      <c r="AA739" s="16">
        <v>1.532</v>
      </c>
      <c r="AB739" s="16">
        <v>1.4359999999999999</v>
      </c>
      <c r="AC739" s="16">
        <v>1.571</v>
      </c>
      <c r="AD739" s="16">
        <v>1.5349999999999999</v>
      </c>
      <c r="AE739" s="16">
        <v>1.8380000000000001</v>
      </c>
      <c r="AF739" s="16">
        <v>1.4890000000000001</v>
      </c>
      <c r="AG739" s="16">
        <v>1.8</v>
      </c>
      <c r="AH739" s="16">
        <v>1.8109999999999999</v>
      </c>
      <c r="AI739" s="16">
        <v>1.5489999999999999</v>
      </c>
      <c r="AJ739" s="16">
        <v>1.3819999999999999</v>
      </c>
      <c r="AK739" s="16">
        <v>1.367</v>
      </c>
      <c r="AL739" s="16">
        <v>1.3129999999999999</v>
      </c>
      <c r="AM739" s="16">
        <v>1.669</v>
      </c>
      <c r="AN739" s="16">
        <v>1.42</v>
      </c>
      <c r="AO739" s="16">
        <v>1.446</v>
      </c>
      <c r="AP739" s="16">
        <v>1.46</v>
      </c>
      <c r="AQ739" s="16">
        <v>1.768</v>
      </c>
      <c r="AR739" s="16">
        <v>1.6859999999999999</v>
      </c>
      <c r="AS739" s="16">
        <v>1.4730000000000001</v>
      </c>
      <c r="AT739" s="7">
        <v>20.635086399999999</v>
      </c>
    </row>
    <row r="740" spans="1:46" x14ac:dyDescent="0.25">
      <c r="A740" s="4" t="s">
        <v>196</v>
      </c>
      <c r="B740" s="4" t="s">
        <v>207</v>
      </c>
      <c r="C740" s="4" t="s">
        <v>246</v>
      </c>
      <c r="D740" s="4" t="s">
        <v>254</v>
      </c>
      <c r="E740" s="4" t="s">
        <v>255</v>
      </c>
      <c r="F740" s="4" t="s">
        <v>195</v>
      </c>
      <c r="G740" s="4" t="s">
        <v>138</v>
      </c>
      <c r="H740" s="4" t="s">
        <v>151</v>
      </c>
      <c r="I740" s="5">
        <v>16.667000000000002</v>
      </c>
      <c r="J740" s="5">
        <v>2.657</v>
      </c>
      <c r="K740" s="5">
        <v>49.542000000000002</v>
      </c>
      <c r="L740" s="5">
        <v>6.6429999999999998</v>
      </c>
      <c r="M740" s="5">
        <v>5.47</v>
      </c>
      <c r="N740" s="5">
        <v>38.863</v>
      </c>
      <c r="O740" s="5">
        <v>3.3210000000000002</v>
      </c>
      <c r="P740" s="5">
        <v>41.326000000000001</v>
      </c>
      <c r="Q740" s="5">
        <v>2</v>
      </c>
      <c r="R740" s="5">
        <v>0</v>
      </c>
      <c r="S740" s="5">
        <v>16.629000000000001</v>
      </c>
      <c r="T740" s="5">
        <v>25.277999999999999</v>
      </c>
      <c r="U740" s="5">
        <v>38.264000000000003</v>
      </c>
      <c r="V740" s="5">
        <v>36.682000000000002</v>
      </c>
      <c r="W740" s="5">
        <v>31.794</v>
      </c>
      <c r="X740" s="5">
        <v>6.6429999999999998</v>
      </c>
      <c r="Y740" s="5">
        <v>3.6469999999999998</v>
      </c>
      <c r="Z740" s="5">
        <v>9.3330000000000002</v>
      </c>
      <c r="AA740" s="5">
        <v>25.081</v>
      </c>
      <c r="AB740" s="5">
        <v>25.666</v>
      </c>
      <c r="AC740" s="5">
        <v>11.507</v>
      </c>
      <c r="AD740" s="5">
        <v>4.2759999999999998</v>
      </c>
      <c r="AE740" s="5">
        <v>5.1310000000000002</v>
      </c>
      <c r="AF740" s="5">
        <v>5.1310000000000002</v>
      </c>
      <c r="AG740" s="5">
        <v>58.363</v>
      </c>
      <c r="AH740" s="5">
        <v>79.602999999999994</v>
      </c>
      <c r="AI740" s="5">
        <v>41.457999999999998</v>
      </c>
      <c r="AJ740" s="5">
        <v>2.0670000000000002</v>
      </c>
      <c r="AK740" s="5">
        <v>96.19</v>
      </c>
      <c r="AL740" s="5">
        <v>119.91500000000001</v>
      </c>
      <c r="AM740" s="5">
        <v>178.93700000000001</v>
      </c>
      <c r="AN740" s="5">
        <v>190.63800000000001</v>
      </c>
      <c r="AO740" s="5">
        <v>128.23699999999999</v>
      </c>
      <c r="AP740" s="5">
        <v>39.786999999999999</v>
      </c>
      <c r="AQ740" s="5">
        <v>71.326999999999998</v>
      </c>
      <c r="AR740" s="5">
        <v>101.502</v>
      </c>
      <c r="AS740" s="5">
        <v>55.747999999999998</v>
      </c>
      <c r="AT740" s="5">
        <v>55.747999999999998</v>
      </c>
    </row>
    <row r="741" spans="1:46" x14ac:dyDescent="0.25">
      <c r="A741" s="4" t="s">
        <v>196</v>
      </c>
      <c r="B741" s="4" t="s">
        <v>207</v>
      </c>
      <c r="C741" s="4" t="s">
        <v>246</v>
      </c>
      <c r="D741" s="4" t="s">
        <v>254</v>
      </c>
      <c r="E741" s="4" t="s">
        <v>255</v>
      </c>
      <c r="F741" s="4" t="s">
        <v>195</v>
      </c>
      <c r="G741" s="4" t="s">
        <v>138</v>
      </c>
      <c r="H741" s="4" t="s">
        <v>205</v>
      </c>
      <c r="I741" s="6">
        <v>4749.9530000000004</v>
      </c>
      <c r="J741" s="6">
        <v>757.274</v>
      </c>
      <c r="K741" s="6">
        <v>13822.237999999999</v>
      </c>
      <c r="L741" s="6">
        <v>1893.1410000000001</v>
      </c>
      <c r="M741" s="6">
        <v>1695.7619999999999</v>
      </c>
      <c r="N741" s="6">
        <v>11214.741</v>
      </c>
      <c r="O741" s="6">
        <v>1029.6030000000001</v>
      </c>
      <c r="P741" s="6">
        <v>14005.061</v>
      </c>
      <c r="Q741" s="6">
        <v>620</v>
      </c>
      <c r="R741" s="6">
        <v>0</v>
      </c>
      <c r="S741" s="6">
        <v>4972.0349999999999</v>
      </c>
      <c r="T741" s="6">
        <v>8366.7890000000007</v>
      </c>
      <c r="U741" s="6">
        <v>12409.41</v>
      </c>
      <c r="V741" s="6">
        <v>11919.19</v>
      </c>
      <c r="W741" s="6">
        <v>9278.2099999999991</v>
      </c>
      <c r="X741" s="6">
        <v>2059.2060000000001</v>
      </c>
      <c r="Y741" s="6">
        <v>1130.508</v>
      </c>
      <c r="Z741" s="6">
        <v>2893.23</v>
      </c>
      <c r="AA741" s="6">
        <v>16905.88</v>
      </c>
      <c r="AB741" s="6">
        <v>8713.9959999999992</v>
      </c>
      <c r="AC741" s="6">
        <v>4034.0430000000001</v>
      </c>
      <c r="AD741" s="6">
        <v>1539.2159999999999</v>
      </c>
      <c r="AE741" s="6">
        <v>1847.059</v>
      </c>
      <c r="AF741" s="6">
        <v>1847.059</v>
      </c>
      <c r="AG741" s="6">
        <v>14823.843999999999</v>
      </c>
      <c r="AH741" s="6">
        <v>23295.948</v>
      </c>
      <c r="AI741" s="6">
        <v>17041.811000000002</v>
      </c>
      <c r="AJ741" s="6">
        <v>743.976</v>
      </c>
      <c r="AK741" s="6">
        <v>32174.482</v>
      </c>
      <c r="AL741" s="6">
        <v>41537.766000000003</v>
      </c>
      <c r="AM741" s="6">
        <v>63978.847000000002</v>
      </c>
      <c r="AN741" s="6">
        <v>71274.904999999999</v>
      </c>
      <c r="AO741" s="6">
        <v>45071.288999999997</v>
      </c>
      <c r="AP741" s="6">
        <v>16513.59</v>
      </c>
      <c r="AQ741" s="6">
        <v>27079.805</v>
      </c>
      <c r="AR741" s="6">
        <v>37048.606</v>
      </c>
      <c r="AS741" s="6">
        <v>19442.917000000001</v>
      </c>
      <c r="AT741" s="6">
        <v>19442.917000000001</v>
      </c>
    </row>
    <row r="742" spans="1:46" x14ac:dyDescent="0.25">
      <c r="A742" s="4" t="s">
        <v>196</v>
      </c>
      <c r="B742" s="4" t="s">
        <v>207</v>
      </c>
      <c r="C742" s="4" t="s">
        <v>246</v>
      </c>
      <c r="D742" s="4" t="s">
        <v>254</v>
      </c>
      <c r="E742" s="4" t="s">
        <v>255</v>
      </c>
      <c r="F742" s="4" t="s">
        <v>195</v>
      </c>
      <c r="G742" s="4" t="s">
        <v>138</v>
      </c>
      <c r="H742" s="4" t="s">
        <v>249</v>
      </c>
      <c r="I742" s="7">
        <v>1E-3</v>
      </c>
      <c r="J742" s="7">
        <v>0</v>
      </c>
      <c r="K742" s="7">
        <v>1E-3</v>
      </c>
      <c r="L742" s="7">
        <v>0</v>
      </c>
      <c r="M742" s="7">
        <v>0</v>
      </c>
      <c r="N742" s="7">
        <v>0</v>
      </c>
      <c r="O742" s="7">
        <v>0</v>
      </c>
      <c r="P742" s="7">
        <v>1E-3</v>
      </c>
      <c r="Q742" s="7">
        <v>0</v>
      </c>
      <c r="R742" s="7">
        <v>0</v>
      </c>
      <c r="S742" s="7">
        <v>1E-3</v>
      </c>
      <c r="T742" s="7">
        <v>1E-3</v>
      </c>
      <c r="U742" s="7">
        <v>1E-3</v>
      </c>
      <c r="V742" s="7">
        <v>1E-3</v>
      </c>
      <c r="W742" s="7">
        <v>1E-3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2E-3</v>
      </c>
      <c r="AH742" s="7">
        <v>2E-3</v>
      </c>
      <c r="AI742" s="7">
        <v>1E-3</v>
      </c>
      <c r="AJ742" s="7">
        <v>0</v>
      </c>
      <c r="AK742" s="7">
        <v>1E-3</v>
      </c>
      <c r="AL742" s="7">
        <v>1E-3</v>
      </c>
      <c r="AM742" s="7">
        <v>1E-3</v>
      </c>
      <c r="AN742" s="7">
        <v>1E-3</v>
      </c>
      <c r="AO742" s="7">
        <v>1E-3</v>
      </c>
      <c r="AP742" s="7">
        <v>1E-3</v>
      </c>
      <c r="AQ742" s="7">
        <v>2E-3</v>
      </c>
      <c r="AR742" s="7">
        <v>4.0000000000000001E-3</v>
      </c>
      <c r="AS742" s="7">
        <v>2E-3</v>
      </c>
      <c r="AT742" s="7">
        <v>0.11</v>
      </c>
    </row>
    <row r="743" spans="1:46" x14ac:dyDescent="0.25">
      <c r="A743" s="4" t="s">
        <v>196</v>
      </c>
      <c r="B743" s="4" t="s">
        <v>207</v>
      </c>
      <c r="C743" s="4" t="s">
        <v>246</v>
      </c>
      <c r="D743" s="4" t="s">
        <v>254</v>
      </c>
      <c r="E743" s="4" t="s">
        <v>255</v>
      </c>
      <c r="F743" s="4" t="s">
        <v>195</v>
      </c>
      <c r="G743" s="4" t="s">
        <v>138</v>
      </c>
      <c r="H743" s="4" t="s">
        <v>250</v>
      </c>
      <c r="I743" s="7">
        <v>7.8570000000000002</v>
      </c>
      <c r="J743" s="7">
        <v>5.3630000000000004</v>
      </c>
      <c r="K743" s="7">
        <v>6.8570000000000002</v>
      </c>
      <c r="L743" s="7">
        <v>5.5179999999999998</v>
      </c>
      <c r="M743" s="7">
        <v>6.109</v>
      </c>
      <c r="N743" s="7">
        <v>7.0659999999999998</v>
      </c>
      <c r="O743" s="7">
        <v>7.1539999999999999</v>
      </c>
      <c r="P743" s="7">
        <v>11.993</v>
      </c>
      <c r="Q743" s="7">
        <v>11.214</v>
      </c>
      <c r="R743" s="7">
        <v>15.324999999999999</v>
      </c>
      <c r="S743" s="7">
        <v>20.968</v>
      </c>
      <c r="T743" s="7">
        <v>20.568999999999999</v>
      </c>
      <c r="U743" s="7">
        <v>15.35</v>
      </c>
      <c r="V743" s="7">
        <v>10.542</v>
      </c>
      <c r="W743" s="7">
        <v>4.6580000000000004</v>
      </c>
      <c r="X743" s="7">
        <v>3.4049999999999998</v>
      </c>
      <c r="Y743" s="7">
        <v>4.7270000000000003</v>
      </c>
      <c r="Z743" s="7">
        <v>5.35</v>
      </c>
      <c r="AA743" s="7">
        <v>5.46</v>
      </c>
      <c r="AB743" s="7">
        <v>10.951000000000001</v>
      </c>
      <c r="AC743" s="7">
        <v>12.05</v>
      </c>
      <c r="AD743" s="7">
        <v>17.459</v>
      </c>
      <c r="AE743" s="7">
        <v>13.105</v>
      </c>
      <c r="AF743" s="7">
        <v>16.745000000000001</v>
      </c>
      <c r="AG743" s="7">
        <v>15.324999999999999</v>
      </c>
      <c r="AH743" s="7">
        <v>14.032999999999999</v>
      </c>
      <c r="AI743" s="7">
        <v>13.413</v>
      </c>
      <c r="AJ743" s="7">
        <v>6.7960000000000003</v>
      </c>
      <c r="AK743" s="7">
        <v>10.948</v>
      </c>
      <c r="AL743" s="7">
        <v>16.38</v>
      </c>
      <c r="AM743" s="7">
        <v>15.141999999999999</v>
      </c>
      <c r="AN743" s="7">
        <v>14.956</v>
      </c>
      <c r="AO743" s="7">
        <v>18.826000000000001</v>
      </c>
      <c r="AP743" s="7">
        <v>23.899000000000001</v>
      </c>
      <c r="AQ743" s="7">
        <v>24.852</v>
      </c>
      <c r="AR743" s="7">
        <v>29.536999999999999</v>
      </c>
      <c r="AS743" s="7">
        <v>15.118</v>
      </c>
      <c r="AT743" s="5">
        <v>82.572000000000003</v>
      </c>
    </row>
    <row r="744" spans="1:46" x14ac:dyDescent="0.25">
      <c r="A744" s="4" t="s">
        <v>196</v>
      </c>
      <c r="B744" s="4" t="s">
        <v>207</v>
      </c>
      <c r="C744" s="4" t="s">
        <v>246</v>
      </c>
      <c r="D744" s="4" t="s">
        <v>254</v>
      </c>
      <c r="E744" s="4" t="s">
        <v>255</v>
      </c>
      <c r="F744" s="4" t="s">
        <v>195</v>
      </c>
      <c r="G744" s="4" t="s">
        <v>138</v>
      </c>
      <c r="H744" s="4" t="s">
        <v>251</v>
      </c>
      <c r="I744" s="7">
        <v>2.3810077999999999</v>
      </c>
      <c r="J744" s="7">
        <v>3.3970769000000001</v>
      </c>
      <c r="K744" s="7">
        <v>4.1771817999999996</v>
      </c>
      <c r="L744" s="7">
        <v>4.1661891999999998</v>
      </c>
      <c r="M744" s="7">
        <v>4.9863891999999996</v>
      </c>
      <c r="N744" s="7">
        <v>5.2590507999999998</v>
      </c>
      <c r="O744" s="7">
        <v>4.3292887999999996</v>
      </c>
      <c r="P744" s="7">
        <v>5.9865662000000004</v>
      </c>
      <c r="Q744" s="7">
        <v>5.7238002999999997</v>
      </c>
      <c r="R744" s="7">
        <v>5.6169525</v>
      </c>
      <c r="S744" s="7">
        <v>5.9337932999999996</v>
      </c>
      <c r="T744" s="7">
        <v>5.9309272999999996</v>
      </c>
      <c r="U744" s="7">
        <v>5.9353088999999999</v>
      </c>
      <c r="V744" s="7">
        <v>5.9281823999999999</v>
      </c>
      <c r="W744" s="7">
        <v>4.6754892000000003</v>
      </c>
      <c r="X744" s="7">
        <v>3.7991316999999998</v>
      </c>
      <c r="Y744" s="7">
        <v>3.7783166000000001</v>
      </c>
      <c r="Z744" s="7">
        <v>4.5368589999999998</v>
      </c>
      <c r="AA744" s="7">
        <v>4.5924690000000004</v>
      </c>
      <c r="AB744" s="7">
        <v>6.2376934999999998</v>
      </c>
      <c r="AC744" s="7">
        <v>6.2356609000000001</v>
      </c>
      <c r="AD744" s="7">
        <v>7.6014889999999999</v>
      </c>
      <c r="AE744" s="7">
        <v>8.0759094000000005</v>
      </c>
      <c r="AF744" s="7">
        <v>8.2668534000000005</v>
      </c>
      <c r="AG744" s="7">
        <v>7.3488195999999997</v>
      </c>
      <c r="AH744" s="7">
        <v>7.8224612999999996</v>
      </c>
      <c r="AI744" s="7">
        <v>7.6247951</v>
      </c>
      <c r="AJ744" s="7">
        <v>7.1348326999999996</v>
      </c>
      <c r="AK744" s="7">
        <v>7.9891642000000003</v>
      </c>
      <c r="AL744" s="7">
        <v>9.3412985000000006</v>
      </c>
      <c r="AM744" s="7">
        <v>9.3426538000000008</v>
      </c>
      <c r="AN744" s="7">
        <v>8.6140776999999993</v>
      </c>
      <c r="AO744" s="7">
        <v>8.5461112000000004</v>
      </c>
      <c r="AP744" s="7">
        <v>8.4147269999999992</v>
      </c>
      <c r="AQ744" s="7">
        <v>9.3599154999999996</v>
      </c>
      <c r="AR744" s="7">
        <v>9.0073088000000006</v>
      </c>
      <c r="AS744" s="7">
        <v>4.5491947000000001</v>
      </c>
      <c r="AT744" s="7">
        <v>15.118</v>
      </c>
    </row>
    <row r="745" spans="1:46" x14ac:dyDescent="0.25">
      <c r="A745" s="4" t="s">
        <v>196</v>
      </c>
      <c r="B745" s="4" t="s">
        <v>207</v>
      </c>
      <c r="C745" s="4" t="s">
        <v>246</v>
      </c>
      <c r="D745" s="4" t="s">
        <v>254</v>
      </c>
      <c r="E745" s="4" t="s">
        <v>255</v>
      </c>
      <c r="F745" s="4" t="s">
        <v>195</v>
      </c>
      <c r="G745" s="4" t="s">
        <v>138</v>
      </c>
      <c r="H745" s="4" t="s">
        <v>252</v>
      </c>
      <c r="I745" s="16">
        <v>6.7000000000000004E-2</v>
      </c>
      <c r="J745" s="16">
        <v>0.127</v>
      </c>
      <c r="K745" s="16">
        <v>0.19400000000000001</v>
      </c>
      <c r="L745" s="16">
        <v>0.19500000000000001</v>
      </c>
      <c r="M745" s="16">
        <v>0.26100000000000001</v>
      </c>
      <c r="N745" s="16">
        <v>0.20599999999999999</v>
      </c>
      <c r="O745" s="16">
        <v>0.19700000000000001</v>
      </c>
      <c r="P745" s="16">
        <v>0.20699999999999999</v>
      </c>
      <c r="Q745" s="16">
        <v>0.21299999999999999</v>
      </c>
      <c r="R745" s="16">
        <v>0.223</v>
      </c>
      <c r="S745" s="16">
        <v>0.24199999999999999</v>
      </c>
      <c r="T745" s="16">
        <v>0.191</v>
      </c>
      <c r="U745" s="16">
        <v>0.218</v>
      </c>
      <c r="V745" s="16">
        <v>0.185</v>
      </c>
      <c r="W745" s="16">
        <v>0.13300000000000001</v>
      </c>
      <c r="X745" s="16">
        <v>0.13800000000000001</v>
      </c>
      <c r="Y745" s="16">
        <v>0.128</v>
      </c>
      <c r="Z745" s="16">
        <v>0.14099999999999999</v>
      </c>
      <c r="AA745" s="16">
        <v>0.13700000000000001</v>
      </c>
      <c r="AB745" s="16">
        <v>0.20699999999999999</v>
      </c>
      <c r="AC745" s="16">
        <v>0.222</v>
      </c>
      <c r="AD745" s="16">
        <v>0.31</v>
      </c>
      <c r="AE745" s="16">
        <v>0.32200000000000001</v>
      </c>
      <c r="AF745" s="16">
        <v>0.36399999999999999</v>
      </c>
      <c r="AG745" s="16">
        <v>0.26200000000000001</v>
      </c>
      <c r="AH745" s="16">
        <v>0.22900000000000001</v>
      </c>
      <c r="AI745" s="16">
        <v>0.31900000000000001</v>
      </c>
      <c r="AJ745" s="16">
        <v>0.34699999999999998</v>
      </c>
      <c r="AK745" s="16">
        <v>0.38</v>
      </c>
      <c r="AL745" s="16">
        <v>0.44600000000000001</v>
      </c>
      <c r="AM745" s="16">
        <v>0.39500000000000002</v>
      </c>
      <c r="AN745" s="16">
        <v>0.38600000000000001</v>
      </c>
      <c r="AO745" s="16">
        <v>0.43</v>
      </c>
      <c r="AP745" s="16">
        <v>0.41499999999999998</v>
      </c>
      <c r="AQ745" s="16">
        <v>0.436</v>
      </c>
      <c r="AR745" s="16">
        <v>0.27700000000000002</v>
      </c>
      <c r="AS745" s="16">
        <v>0.16600000000000001</v>
      </c>
      <c r="AT745" s="7">
        <v>4.5491947000000001</v>
      </c>
    </row>
    <row r="746" spans="1:46" x14ac:dyDescent="0.25">
      <c r="A746" s="4" t="s">
        <v>196</v>
      </c>
      <c r="B746" s="4" t="s">
        <v>207</v>
      </c>
      <c r="C746" s="4" t="s">
        <v>246</v>
      </c>
      <c r="D746" s="4" t="s">
        <v>254</v>
      </c>
      <c r="E746" s="4" t="s">
        <v>255</v>
      </c>
      <c r="F746" s="4" t="s">
        <v>195</v>
      </c>
      <c r="G746" s="4" t="s">
        <v>140</v>
      </c>
      <c r="H746" s="4" t="s">
        <v>151</v>
      </c>
      <c r="I746" s="5">
        <v>17.713999999999999</v>
      </c>
      <c r="J746" s="5">
        <v>11.919</v>
      </c>
      <c r="K746" s="5">
        <v>35.094999999999999</v>
      </c>
      <c r="L746" s="5">
        <v>7.6619999999999999</v>
      </c>
      <c r="M746" s="5">
        <v>16.704999999999998</v>
      </c>
      <c r="N746" s="5">
        <v>96.573999999999998</v>
      </c>
      <c r="O746" s="5">
        <v>16.675000000000001</v>
      </c>
      <c r="P746" s="5">
        <v>30.829000000000001</v>
      </c>
      <c r="Q746" s="5">
        <v>25.827999999999999</v>
      </c>
      <c r="R746" s="5">
        <v>24.318999999999999</v>
      </c>
      <c r="S746" s="5">
        <v>56.100999999999999</v>
      </c>
      <c r="T746" s="5">
        <v>50.557000000000002</v>
      </c>
      <c r="U746" s="5">
        <v>47.893000000000001</v>
      </c>
      <c r="V746" s="5">
        <v>34.000999999999998</v>
      </c>
      <c r="W746" s="5">
        <v>31.763999999999999</v>
      </c>
      <c r="X746" s="5">
        <v>45.091000000000001</v>
      </c>
      <c r="Y746" s="5">
        <v>55.896999999999998</v>
      </c>
      <c r="Z746" s="5">
        <v>127.129</v>
      </c>
      <c r="AA746" s="5">
        <v>106.41800000000001</v>
      </c>
      <c r="AB746" s="5">
        <v>65.95</v>
      </c>
      <c r="AC746" s="5">
        <v>62.707000000000001</v>
      </c>
      <c r="AD746" s="5">
        <v>62.85</v>
      </c>
      <c r="AE746" s="5">
        <v>39.154000000000003</v>
      </c>
      <c r="AF746" s="5">
        <v>42.786000000000001</v>
      </c>
      <c r="AG746" s="5">
        <v>12.718</v>
      </c>
      <c r="AH746" s="5">
        <v>29.324000000000002</v>
      </c>
      <c r="AI746" s="5">
        <v>26.696000000000002</v>
      </c>
      <c r="AJ746" s="5">
        <v>99.94</v>
      </c>
      <c r="AK746" s="5">
        <v>174.30699999999999</v>
      </c>
      <c r="AL746" s="5">
        <v>196.40199999999999</v>
      </c>
      <c r="AM746" s="5">
        <v>216.489</v>
      </c>
      <c r="AN746" s="5">
        <v>204.98500000000001</v>
      </c>
      <c r="AO746" s="5">
        <v>251.24299999999999</v>
      </c>
      <c r="AP746" s="5">
        <v>113.973</v>
      </c>
      <c r="AQ746" s="5">
        <v>120.471</v>
      </c>
      <c r="AR746" s="5">
        <v>172.08699999999999</v>
      </c>
      <c r="AS746" s="5">
        <v>157.648</v>
      </c>
      <c r="AT746" s="5">
        <v>945.88900000000001</v>
      </c>
    </row>
    <row r="747" spans="1:46" x14ac:dyDescent="0.25">
      <c r="A747" s="4" t="s">
        <v>196</v>
      </c>
      <c r="B747" s="4" t="s">
        <v>207</v>
      </c>
      <c r="C747" s="4" t="s">
        <v>246</v>
      </c>
      <c r="D747" s="4" t="s">
        <v>254</v>
      </c>
      <c r="E747" s="4" t="s">
        <v>255</v>
      </c>
      <c r="F747" s="4" t="s">
        <v>195</v>
      </c>
      <c r="G747" s="4" t="s">
        <v>140</v>
      </c>
      <c r="H747" s="4" t="s">
        <v>205</v>
      </c>
      <c r="I747" s="6">
        <v>4782.8069999999998</v>
      </c>
      <c r="J747" s="6">
        <v>3218.049</v>
      </c>
      <c r="K747" s="6">
        <v>9706.0159999999996</v>
      </c>
      <c r="L747" s="6">
        <v>2068.8209999999999</v>
      </c>
      <c r="M747" s="6">
        <v>4510.2420000000002</v>
      </c>
      <c r="N747" s="6">
        <v>26859.489000000001</v>
      </c>
      <c r="O747" s="6">
        <v>4502.1419999999998</v>
      </c>
      <c r="P747" s="6">
        <v>8809.8610000000008</v>
      </c>
      <c r="Q747" s="6">
        <v>7437.0879999999997</v>
      </c>
      <c r="R747" s="6">
        <v>7014.62</v>
      </c>
      <c r="S747" s="6">
        <v>17591.476999999999</v>
      </c>
      <c r="T747" s="6">
        <v>14849.69</v>
      </c>
      <c r="U747" s="6">
        <v>14130.464</v>
      </c>
      <c r="V747" s="6">
        <v>11699.85</v>
      </c>
      <c r="W747" s="6">
        <v>10901.657999999999</v>
      </c>
      <c r="X747" s="6">
        <v>14177.392</v>
      </c>
      <c r="Y747" s="6">
        <v>16778.802</v>
      </c>
      <c r="Z747" s="6">
        <v>42511.091999999997</v>
      </c>
      <c r="AA747" s="6">
        <v>36022.074000000001</v>
      </c>
      <c r="AB747" s="6">
        <v>24023.983</v>
      </c>
      <c r="AC747" s="6">
        <v>23413.335999999999</v>
      </c>
      <c r="AD747" s="6">
        <v>24116.131000000001</v>
      </c>
      <c r="AE747" s="6">
        <v>14178.082</v>
      </c>
      <c r="AF747" s="6">
        <v>15409.058999999999</v>
      </c>
      <c r="AG747" s="6">
        <v>3633.16</v>
      </c>
      <c r="AH747" s="6">
        <v>9869.2469999999994</v>
      </c>
      <c r="AI747" s="6">
        <v>10253.204</v>
      </c>
      <c r="AJ747" s="6">
        <v>38801.565999999999</v>
      </c>
      <c r="AK747" s="6">
        <v>61804.038999999997</v>
      </c>
      <c r="AL747" s="6">
        <v>75821.167000000001</v>
      </c>
      <c r="AM747" s="6">
        <v>82855.33</v>
      </c>
      <c r="AN747" s="6">
        <v>78691.805999999997</v>
      </c>
      <c r="AO747" s="6">
        <v>96605.288</v>
      </c>
      <c r="AP747" s="6">
        <v>49685.09</v>
      </c>
      <c r="AQ747" s="6">
        <v>51199.332999999999</v>
      </c>
      <c r="AR747" s="6">
        <v>61826.983999999997</v>
      </c>
      <c r="AS747" s="6">
        <v>54824.480000000003</v>
      </c>
      <c r="AT747" s="6">
        <v>54824.480000000003</v>
      </c>
    </row>
    <row r="748" spans="1:46" x14ac:dyDescent="0.25">
      <c r="A748" s="4" t="s">
        <v>196</v>
      </c>
      <c r="B748" s="4" t="s">
        <v>207</v>
      </c>
      <c r="C748" s="4" t="s">
        <v>246</v>
      </c>
      <c r="D748" s="4" t="s">
        <v>254</v>
      </c>
      <c r="E748" s="4" t="s">
        <v>255</v>
      </c>
      <c r="F748" s="4" t="s">
        <v>195</v>
      </c>
      <c r="G748" s="4" t="s">
        <v>140</v>
      </c>
      <c r="H748" s="4" t="s">
        <v>249</v>
      </c>
      <c r="I748" s="7">
        <v>4.0000000000000001E-3</v>
      </c>
      <c r="J748" s="7">
        <v>2E-3</v>
      </c>
      <c r="K748" s="7">
        <v>3.0000000000000001E-3</v>
      </c>
      <c r="L748" s="7">
        <v>1E-3</v>
      </c>
      <c r="M748" s="7">
        <v>1E-3</v>
      </c>
      <c r="N748" s="7">
        <v>5.0000000000000001E-3</v>
      </c>
      <c r="O748" s="7">
        <v>1E-3</v>
      </c>
      <c r="P748" s="7">
        <v>3.0000000000000001E-3</v>
      </c>
      <c r="Q748" s="7">
        <v>4.0000000000000001E-3</v>
      </c>
      <c r="R748" s="7">
        <v>5.0000000000000001E-3</v>
      </c>
      <c r="S748" s="7">
        <v>1.4E-2</v>
      </c>
      <c r="T748" s="7">
        <v>1.4E-2</v>
      </c>
      <c r="U748" s="7">
        <v>1.0999999999999999E-2</v>
      </c>
      <c r="V748" s="7">
        <v>6.0000000000000001E-3</v>
      </c>
      <c r="W748" s="7">
        <v>3.0000000000000001E-3</v>
      </c>
      <c r="X748" s="7">
        <v>3.0000000000000001E-3</v>
      </c>
      <c r="Y748" s="7">
        <v>3.0000000000000001E-3</v>
      </c>
      <c r="Z748" s="7">
        <v>8.0000000000000002E-3</v>
      </c>
      <c r="AA748" s="7">
        <v>6.0000000000000001E-3</v>
      </c>
      <c r="AB748" s="7">
        <v>6.0000000000000001E-3</v>
      </c>
      <c r="AC748" s="7">
        <v>7.0000000000000001E-3</v>
      </c>
      <c r="AD748" s="7">
        <v>0.01</v>
      </c>
      <c r="AE748" s="7">
        <v>7.0000000000000001E-3</v>
      </c>
      <c r="AF748" s="7">
        <v>0.01</v>
      </c>
      <c r="AG748" s="7">
        <v>3.0000000000000001E-3</v>
      </c>
      <c r="AH748" s="7">
        <v>5.0000000000000001E-3</v>
      </c>
      <c r="AI748" s="7">
        <v>3.0000000000000001E-3</v>
      </c>
      <c r="AJ748" s="7">
        <v>6.0000000000000001E-3</v>
      </c>
      <c r="AK748" s="7">
        <v>6.0000000000000001E-3</v>
      </c>
      <c r="AL748" s="7">
        <v>8.9999999999999993E-3</v>
      </c>
      <c r="AM748" s="7">
        <v>7.0000000000000001E-3</v>
      </c>
      <c r="AN748" s="7">
        <v>5.0000000000000001E-3</v>
      </c>
      <c r="AO748" s="7">
        <v>1.0999999999999999E-2</v>
      </c>
      <c r="AP748" s="7">
        <v>0.01</v>
      </c>
      <c r="AQ748" s="7">
        <v>1.7000000000000001E-2</v>
      </c>
      <c r="AR748" s="7">
        <v>3.6999999999999998E-2</v>
      </c>
      <c r="AS748" s="7">
        <v>3.5999999999999997E-2</v>
      </c>
      <c r="AT748" s="7">
        <v>1.867</v>
      </c>
    </row>
    <row r="749" spans="1:46" x14ac:dyDescent="0.25">
      <c r="A749" s="4" t="s">
        <v>196</v>
      </c>
      <c r="B749" s="4" t="s">
        <v>207</v>
      </c>
      <c r="C749" s="4" t="s">
        <v>246</v>
      </c>
      <c r="D749" s="4" t="s">
        <v>254</v>
      </c>
      <c r="E749" s="4" t="s">
        <v>255</v>
      </c>
      <c r="F749" s="4" t="s">
        <v>195</v>
      </c>
      <c r="G749" s="4" t="s">
        <v>140</v>
      </c>
      <c r="H749" s="4" t="s">
        <v>250</v>
      </c>
      <c r="I749" s="7">
        <v>4.7889999999999997</v>
      </c>
      <c r="J749" s="7">
        <v>2.6139999999999999</v>
      </c>
      <c r="K749" s="7">
        <v>5.4630000000000001</v>
      </c>
      <c r="L749" s="7">
        <v>4.266</v>
      </c>
      <c r="M749" s="7">
        <v>4.9530000000000003</v>
      </c>
      <c r="N749" s="7">
        <v>5.3940000000000001</v>
      </c>
      <c r="O749" s="7">
        <v>1.589</v>
      </c>
      <c r="P749" s="7">
        <v>5.1609999999999996</v>
      </c>
      <c r="Q749" s="7">
        <v>3.302</v>
      </c>
      <c r="R749" s="7">
        <v>5.774</v>
      </c>
      <c r="S749" s="7">
        <v>15.776999999999999</v>
      </c>
      <c r="T749" s="7">
        <v>15.435</v>
      </c>
      <c r="U749" s="7">
        <v>12.757</v>
      </c>
      <c r="V749" s="7">
        <v>12.257999999999999</v>
      </c>
      <c r="W749" s="7">
        <v>9.43</v>
      </c>
      <c r="X749" s="7">
        <v>9.0630000000000006</v>
      </c>
      <c r="Y749" s="7">
        <v>7.0110000000000001</v>
      </c>
      <c r="Z749" s="7">
        <v>11.215</v>
      </c>
      <c r="AA749" s="7">
        <v>8.3550000000000004</v>
      </c>
      <c r="AB749" s="7">
        <v>15.266999999999999</v>
      </c>
      <c r="AC749" s="7">
        <v>16.224</v>
      </c>
      <c r="AD749" s="7">
        <v>21.154</v>
      </c>
      <c r="AE749" s="7">
        <v>19.29</v>
      </c>
      <c r="AF749" s="7">
        <v>19.628</v>
      </c>
      <c r="AG749" s="7">
        <v>11.368</v>
      </c>
      <c r="AH749" s="7">
        <v>11.975</v>
      </c>
      <c r="AI749" s="7">
        <v>7.9169999999999998</v>
      </c>
      <c r="AJ749" s="7">
        <v>10.961</v>
      </c>
      <c r="AK749" s="7">
        <v>14.411</v>
      </c>
      <c r="AL749" s="7">
        <v>16.405999999999999</v>
      </c>
      <c r="AM749" s="7">
        <v>13.531000000000001</v>
      </c>
      <c r="AN749" s="7">
        <v>17.516999999999999</v>
      </c>
      <c r="AO749" s="7">
        <v>18.902999999999999</v>
      </c>
      <c r="AP749" s="7">
        <v>23.417999999999999</v>
      </c>
      <c r="AQ749" s="7">
        <v>24.202999999999999</v>
      </c>
      <c r="AR749" s="7">
        <v>27.829000000000001</v>
      </c>
      <c r="AS749" s="7">
        <v>17.411000000000001</v>
      </c>
      <c r="AT749" s="5">
        <v>1007.16</v>
      </c>
    </row>
    <row r="750" spans="1:46" x14ac:dyDescent="0.25">
      <c r="A750" s="4" t="s">
        <v>196</v>
      </c>
      <c r="B750" s="4" t="s">
        <v>207</v>
      </c>
      <c r="C750" s="4" t="s">
        <v>246</v>
      </c>
      <c r="D750" s="4" t="s">
        <v>254</v>
      </c>
      <c r="E750" s="4" t="s">
        <v>255</v>
      </c>
      <c r="F750" s="4" t="s">
        <v>195</v>
      </c>
      <c r="G750" s="4" t="s">
        <v>140</v>
      </c>
      <c r="H750" s="4" t="s">
        <v>251</v>
      </c>
      <c r="I750" s="7">
        <v>0.50126479999999995</v>
      </c>
      <c r="J750" s="7">
        <v>0.50018309999999999</v>
      </c>
      <c r="K750" s="7">
        <v>1.3426104000000001</v>
      </c>
      <c r="L750" s="7">
        <v>1.3970836</v>
      </c>
      <c r="M750" s="7">
        <v>2.2256825999999998</v>
      </c>
      <c r="N750" s="7">
        <v>2.3623508000000002</v>
      </c>
      <c r="O750" s="7">
        <v>0.52471049999999997</v>
      </c>
      <c r="P750" s="7">
        <v>2.3679028999999998</v>
      </c>
      <c r="Q750" s="7">
        <v>2.1939377000000002</v>
      </c>
      <c r="R750" s="7">
        <v>2.1415123999999999</v>
      </c>
      <c r="S750" s="7">
        <v>5.2171355999999998</v>
      </c>
      <c r="T750" s="7">
        <v>5.2146157999999998</v>
      </c>
      <c r="U750" s="7">
        <v>5.2184680999999999</v>
      </c>
      <c r="V750" s="7">
        <v>5.9399085999999999</v>
      </c>
      <c r="W750" s="7">
        <v>5.9360207000000003</v>
      </c>
      <c r="X750" s="7">
        <v>5.7602883</v>
      </c>
      <c r="Y750" s="7">
        <v>4.5118995999999996</v>
      </c>
      <c r="Z750" s="7">
        <v>6.6542034000000001</v>
      </c>
      <c r="AA750" s="7">
        <v>6.8922439000000004</v>
      </c>
      <c r="AB750" s="7">
        <v>6.8966301000000003</v>
      </c>
      <c r="AC750" s="7">
        <v>7.0838340999999998</v>
      </c>
      <c r="AD750" s="7">
        <v>7.3410948999999999</v>
      </c>
      <c r="AE750" s="7">
        <v>6.3244831000000001</v>
      </c>
      <c r="AF750" s="7">
        <v>6.4549402999999996</v>
      </c>
      <c r="AG750" s="7">
        <v>5.3557363999999996</v>
      </c>
      <c r="AH750" s="7">
        <v>5.2640279000000003</v>
      </c>
      <c r="AI750" s="7">
        <v>5.2936734000000003</v>
      </c>
      <c r="AJ750" s="7">
        <v>6.611364</v>
      </c>
      <c r="AK750" s="7">
        <v>7.4545089999999998</v>
      </c>
      <c r="AL750" s="7">
        <v>7.8093287</v>
      </c>
      <c r="AM750" s="7">
        <v>7.5095862000000002</v>
      </c>
      <c r="AN750" s="7">
        <v>9.1120747000000009</v>
      </c>
      <c r="AO750" s="7">
        <v>7.5062674999999999</v>
      </c>
      <c r="AP750" s="7">
        <v>6.4381357000000001</v>
      </c>
      <c r="AQ750" s="7">
        <v>6.1340874999999997</v>
      </c>
      <c r="AR750" s="7">
        <v>5.4665175000000001</v>
      </c>
      <c r="AS750" s="7">
        <v>4.8891840999999996</v>
      </c>
      <c r="AT750" s="7">
        <v>17.411000000000001</v>
      </c>
    </row>
    <row r="751" spans="1:46" x14ac:dyDescent="0.25">
      <c r="A751" s="4" t="s">
        <v>196</v>
      </c>
      <c r="B751" s="4" t="s">
        <v>207</v>
      </c>
      <c r="C751" s="4" t="s">
        <v>246</v>
      </c>
      <c r="D751" s="4" t="s">
        <v>254</v>
      </c>
      <c r="E751" s="4" t="s">
        <v>255</v>
      </c>
      <c r="F751" s="4" t="s">
        <v>195</v>
      </c>
      <c r="G751" s="4" t="s">
        <v>140</v>
      </c>
      <c r="H751" s="4" t="s">
        <v>252</v>
      </c>
      <c r="I751" s="16">
        <v>6.0999999999999999E-2</v>
      </c>
      <c r="J751" s="16">
        <v>5.3999999999999999E-2</v>
      </c>
      <c r="K751" s="16">
        <v>0.12</v>
      </c>
      <c r="L751" s="16">
        <v>0.126</v>
      </c>
      <c r="M751" s="16">
        <v>0.156</v>
      </c>
      <c r="N751" s="16">
        <v>4.3999999999999997E-2</v>
      </c>
      <c r="O751" s="16">
        <v>4.3999999999999997E-2</v>
      </c>
      <c r="P751" s="16">
        <v>7.4999999999999997E-2</v>
      </c>
      <c r="Q751" s="16">
        <v>0.112</v>
      </c>
      <c r="R751" s="16">
        <v>8.5000000000000006E-2</v>
      </c>
      <c r="S751" s="16">
        <v>0.19700000000000001</v>
      </c>
      <c r="T751" s="16">
        <v>0.186</v>
      </c>
      <c r="U751" s="16">
        <v>0.187</v>
      </c>
      <c r="V751" s="16">
        <v>0.19400000000000001</v>
      </c>
      <c r="W751" s="16">
        <v>0.20300000000000001</v>
      </c>
      <c r="X751" s="16">
        <v>0.14799999999999999</v>
      </c>
      <c r="Y751" s="16">
        <v>0.16600000000000001</v>
      </c>
      <c r="Z751" s="16">
        <v>0.17599999999999999</v>
      </c>
      <c r="AA751" s="16">
        <v>0.255</v>
      </c>
      <c r="AB751" s="16">
        <v>0.32500000000000001</v>
      </c>
      <c r="AC751" s="16">
        <v>0.29699999999999999</v>
      </c>
      <c r="AD751" s="16">
        <v>0.28199999999999997</v>
      </c>
      <c r="AE751" s="16">
        <v>0.27600000000000002</v>
      </c>
      <c r="AF751" s="16">
        <v>0.21299999999999999</v>
      </c>
      <c r="AG751" s="16">
        <v>0.20200000000000001</v>
      </c>
      <c r="AH751" s="16">
        <v>0.17299999999999999</v>
      </c>
      <c r="AI751" s="16">
        <v>0.19400000000000001</v>
      </c>
      <c r="AJ751" s="16">
        <v>8.5999999999999993E-2</v>
      </c>
      <c r="AK751" s="16">
        <v>0.21099999999999999</v>
      </c>
      <c r="AL751" s="16">
        <v>0.39800000000000002</v>
      </c>
      <c r="AM751" s="16">
        <v>0.34300000000000003</v>
      </c>
      <c r="AN751" s="16">
        <v>0.34599999999999997</v>
      </c>
      <c r="AO751" s="16">
        <v>0.502</v>
      </c>
      <c r="AP751" s="16">
        <v>0.48799999999999999</v>
      </c>
      <c r="AQ751" s="16">
        <v>0.54600000000000004</v>
      </c>
      <c r="AR751" s="16">
        <v>0.27900000000000003</v>
      </c>
      <c r="AS751" s="16">
        <v>0.26400000000000001</v>
      </c>
      <c r="AT751" s="7">
        <v>4.8891840999999996</v>
      </c>
    </row>
    <row r="752" spans="1:46" x14ac:dyDescent="0.25">
      <c r="A752" s="4" t="s">
        <v>196</v>
      </c>
      <c r="B752" s="4" t="s">
        <v>207</v>
      </c>
      <c r="C752" s="4" t="s">
        <v>246</v>
      </c>
      <c r="D752" s="4" t="s">
        <v>254</v>
      </c>
      <c r="E752" s="4" t="s">
        <v>256</v>
      </c>
      <c r="F752" s="4" t="s">
        <v>195</v>
      </c>
      <c r="G752" s="4" t="s">
        <v>93</v>
      </c>
      <c r="H752" s="4" t="s">
        <v>151</v>
      </c>
      <c r="I752" s="5">
        <v>63.095999999999997</v>
      </c>
      <c r="J752" s="5">
        <v>121.389</v>
      </c>
      <c r="K752" s="5">
        <v>168.48500000000001</v>
      </c>
      <c r="L752" s="5">
        <v>97.823999999999998</v>
      </c>
      <c r="M752" s="5">
        <v>153.279</v>
      </c>
      <c r="N752" s="5">
        <v>193.24600000000001</v>
      </c>
      <c r="O752" s="5">
        <v>134.297</v>
      </c>
      <c r="P752" s="5">
        <v>109.998</v>
      </c>
      <c r="Q752" s="5">
        <v>97.534000000000006</v>
      </c>
      <c r="R752" s="5">
        <v>22.635000000000002</v>
      </c>
      <c r="S752" s="5">
        <v>19.809000000000001</v>
      </c>
      <c r="T752" s="5">
        <v>25.148</v>
      </c>
      <c r="U752" s="5">
        <v>61.192999999999998</v>
      </c>
      <c r="V752" s="5">
        <v>53.68</v>
      </c>
      <c r="W752" s="5">
        <v>71.287999999999997</v>
      </c>
      <c r="X752" s="5">
        <v>166.989</v>
      </c>
      <c r="Y752" s="5">
        <v>121.59699999999999</v>
      </c>
      <c r="Z752" s="5">
        <v>103.04600000000001</v>
      </c>
      <c r="AA752" s="5">
        <v>193.41900000000001</v>
      </c>
      <c r="AB752" s="5">
        <v>225.376</v>
      </c>
      <c r="AC752" s="5">
        <v>168.511</v>
      </c>
      <c r="AD752" s="5">
        <v>100.571</v>
      </c>
      <c r="AE752" s="5">
        <v>77.096999999999994</v>
      </c>
      <c r="AF752" s="5">
        <v>55.976999999999997</v>
      </c>
      <c r="AG752" s="5">
        <v>101.57</v>
      </c>
      <c r="AH752" s="5">
        <v>118.52200000000001</v>
      </c>
      <c r="AI752" s="5">
        <v>128.46</v>
      </c>
      <c r="AJ752" s="5">
        <v>143.446</v>
      </c>
      <c r="AK752" s="5">
        <v>243.476</v>
      </c>
      <c r="AL752" s="5">
        <v>147.571</v>
      </c>
      <c r="AM752" s="5">
        <v>124.895</v>
      </c>
      <c r="AN752" s="5">
        <v>59.118000000000002</v>
      </c>
      <c r="AO752" s="5">
        <v>45.116</v>
      </c>
      <c r="AP752" s="5">
        <v>34.098999999999997</v>
      </c>
      <c r="AQ752" s="5">
        <v>45.808999999999997</v>
      </c>
      <c r="AR752" s="5">
        <v>49.314</v>
      </c>
      <c r="AS752" s="5">
        <v>70.408000000000001</v>
      </c>
      <c r="AT752" s="5">
        <v>70.408000000000001</v>
      </c>
    </row>
    <row r="753" spans="1:46" x14ac:dyDescent="0.25">
      <c r="A753" s="4" t="s">
        <v>196</v>
      </c>
      <c r="B753" s="4" t="s">
        <v>207</v>
      </c>
      <c r="C753" s="4" t="s">
        <v>246</v>
      </c>
      <c r="D753" s="4" t="s">
        <v>254</v>
      </c>
      <c r="E753" s="4" t="s">
        <v>256</v>
      </c>
      <c r="F753" s="4" t="s">
        <v>195</v>
      </c>
      <c r="G753" s="4" t="s">
        <v>93</v>
      </c>
      <c r="H753" s="4" t="s">
        <v>205</v>
      </c>
      <c r="I753" s="6">
        <v>15309.829</v>
      </c>
      <c r="J753" s="6">
        <v>29475.373</v>
      </c>
      <c r="K753" s="6">
        <v>41822.616999999998</v>
      </c>
      <c r="L753" s="6">
        <v>24681.596000000001</v>
      </c>
      <c r="M753" s="6">
        <v>39111.446000000004</v>
      </c>
      <c r="N753" s="6">
        <v>47038.58</v>
      </c>
      <c r="O753" s="6">
        <v>34872.046000000002</v>
      </c>
      <c r="P753" s="6">
        <v>28375.546999999999</v>
      </c>
      <c r="Q753" s="6">
        <v>25679.883000000002</v>
      </c>
      <c r="R753" s="6">
        <v>6104.1030000000001</v>
      </c>
      <c r="S753" s="6">
        <v>5390.165</v>
      </c>
      <c r="T753" s="6">
        <v>7244.2489999999998</v>
      </c>
      <c r="U753" s="6">
        <v>16625.275000000001</v>
      </c>
      <c r="V753" s="6">
        <v>15786.707</v>
      </c>
      <c r="W753" s="6">
        <v>22193.617999999999</v>
      </c>
      <c r="X753" s="6">
        <v>48998.165000000001</v>
      </c>
      <c r="Y753" s="6">
        <v>33101.743999999999</v>
      </c>
      <c r="Z753" s="6">
        <v>30605.623</v>
      </c>
      <c r="AA753" s="6">
        <v>53856.235000000001</v>
      </c>
      <c r="AB753" s="6">
        <v>67931.72</v>
      </c>
      <c r="AC753" s="6">
        <v>52584.086000000003</v>
      </c>
      <c r="AD753" s="6">
        <v>27841.03</v>
      </c>
      <c r="AE753" s="6">
        <v>20474.919999999998</v>
      </c>
      <c r="AF753" s="6">
        <v>15813.927</v>
      </c>
      <c r="AG753" s="6">
        <v>30361.56</v>
      </c>
      <c r="AH753" s="6">
        <v>39850.631999999998</v>
      </c>
      <c r="AI753" s="6">
        <v>37938.567999999999</v>
      </c>
      <c r="AJ753" s="6">
        <v>41782.773999999998</v>
      </c>
      <c r="AK753" s="6">
        <v>69710.986999999994</v>
      </c>
      <c r="AL753" s="6">
        <v>39028.648000000001</v>
      </c>
      <c r="AM753" s="6">
        <v>33703.016000000003</v>
      </c>
      <c r="AN753" s="6">
        <v>15492.44</v>
      </c>
      <c r="AO753" s="6">
        <v>11610.438</v>
      </c>
      <c r="AP753" s="6">
        <v>8840.6299999999992</v>
      </c>
      <c r="AQ753" s="6">
        <v>11424.573</v>
      </c>
      <c r="AR753" s="6">
        <v>15661.062</v>
      </c>
      <c r="AS753" s="6">
        <v>23641</v>
      </c>
      <c r="AT753" s="6">
        <v>23641</v>
      </c>
    </row>
    <row r="754" spans="1:46" x14ac:dyDescent="0.25">
      <c r="A754" s="4" t="s">
        <v>196</v>
      </c>
      <c r="B754" s="4" t="s">
        <v>207</v>
      </c>
      <c r="C754" s="4" t="s">
        <v>246</v>
      </c>
      <c r="D754" s="4" t="s">
        <v>254</v>
      </c>
      <c r="E754" s="4" t="s">
        <v>256</v>
      </c>
      <c r="F754" s="4" t="s">
        <v>195</v>
      </c>
      <c r="G754" s="4" t="s">
        <v>93</v>
      </c>
      <c r="H754" s="4" t="s">
        <v>249</v>
      </c>
      <c r="I754" s="7">
        <v>0.94599999999999995</v>
      </c>
      <c r="J754" s="7">
        <v>1.127</v>
      </c>
      <c r="K754" s="7">
        <v>1.026</v>
      </c>
      <c r="L754" s="7">
        <v>0.48199999999999998</v>
      </c>
      <c r="M754" s="7">
        <v>0.501</v>
      </c>
      <c r="N754" s="7">
        <v>0.68700000000000006</v>
      </c>
      <c r="O754" s="7">
        <v>0.58499999999999996</v>
      </c>
      <c r="P754" s="7">
        <v>0.72799999999999998</v>
      </c>
      <c r="Q754" s="7">
        <v>0.97399999999999998</v>
      </c>
      <c r="R754" s="7">
        <v>0.32600000000000001</v>
      </c>
      <c r="S754" s="7">
        <v>0.33100000000000002</v>
      </c>
      <c r="T754" s="7">
        <v>0.45900000000000002</v>
      </c>
      <c r="U754" s="7">
        <v>0.90500000000000003</v>
      </c>
      <c r="V754" s="7">
        <v>0.65700000000000003</v>
      </c>
      <c r="W754" s="7">
        <v>0.496</v>
      </c>
      <c r="X754" s="7">
        <v>0.71899999999999997</v>
      </c>
      <c r="Y754" s="7">
        <v>0.46</v>
      </c>
      <c r="Z754" s="7">
        <v>0.40799999999999997</v>
      </c>
      <c r="AA754" s="7">
        <v>0.77500000000000002</v>
      </c>
      <c r="AB754" s="7">
        <v>1.252</v>
      </c>
      <c r="AC754" s="7">
        <v>1.204</v>
      </c>
      <c r="AD754" s="7">
        <v>1.0369999999999999</v>
      </c>
      <c r="AE754" s="7">
        <v>0.92400000000000004</v>
      </c>
      <c r="AF754" s="7">
        <v>0.82199999999999995</v>
      </c>
      <c r="AG754" s="7">
        <v>1.4279999999999999</v>
      </c>
      <c r="AH754" s="7">
        <v>1.3420000000000001</v>
      </c>
      <c r="AI754" s="7">
        <v>1.01</v>
      </c>
      <c r="AJ754" s="7">
        <v>0.57699999999999996</v>
      </c>
      <c r="AK754" s="7">
        <v>0.58799999999999997</v>
      </c>
      <c r="AL754" s="7">
        <v>0.41599999999999998</v>
      </c>
      <c r="AM754" s="7">
        <v>0.249</v>
      </c>
      <c r="AN754" s="7">
        <v>0.10299999999999999</v>
      </c>
      <c r="AO754" s="7">
        <v>0.126</v>
      </c>
      <c r="AP754" s="7">
        <v>0.192</v>
      </c>
      <c r="AQ754" s="7">
        <v>0.43</v>
      </c>
      <c r="AR754" s="7">
        <v>0.68799999999999994</v>
      </c>
      <c r="AS754" s="7">
        <v>1.0589999999999999</v>
      </c>
      <c r="AT754" s="7">
        <v>0.13900000000000001</v>
      </c>
    </row>
    <row r="755" spans="1:46" x14ac:dyDescent="0.25">
      <c r="A755" s="4" t="s">
        <v>196</v>
      </c>
      <c r="B755" s="4" t="s">
        <v>207</v>
      </c>
      <c r="C755" s="4" t="s">
        <v>246</v>
      </c>
      <c r="D755" s="4" t="s">
        <v>254</v>
      </c>
      <c r="E755" s="4" t="s">
        <v>256</v>
      </c>
      <c r="F755" s="4" t="s">
        <v>195</v>
      </c>
      <c r="G755" s="4" t="s">
        <v>93</v>
      </c>
      <c r="H755" s="4" t="s">
        <v>250</v>
      </c>
      <c r="I755" s="7">
        <v>28.766999999999999</v>
      </c>
      <c r="J755" s="7">
        <v>25.725000000000001</v>
      </c>
      <c r="K755" s="7">
        <v>33.302</v>
      </c>
      <c r="L755" s="7">
        <v>23.734999999999999</v>
      </c>
      <c r="M755" s="7">
        <v>30.638999999999999</v>
      </c>
      <c r="N755" s="7">
        <v>21.411999999999999</v>
      </c>
      <c r="O755" s="7">
        <v>18.960999999999999</v>
      </c>
      <c r="P755" s="7">
        <v>16.968</v>
      </c>
      <c r="Q755" s="7">
        <v>17.414999999999999</v>
      </c>
      <c r="R755" s="7">
        <v>10.477</v>
      </c>
      <c r="S755" s="7">
        <v>10.721</v>
      </c>
      <c r="T755" s="7">
        <v>12.295</v>
      </c>
      <c r="U755" s="7">
        <v>14.53</v>
      </c>
      <c r="V755" s="7">
        <v>18.573</v>
      </c>
      <c r="W755" s="7">
        <v>20.068000000000001</v>
      </c>
      <c r="X755" s="7">
        <v>25.431000000000001</v>
      </c>
      <c r="Y755" s="7">
        <v>22.975999999999999</v>
      </c>
      <c r="Z755" s="7">
        <v>19.957999999999998</v>
      </c>
      <c r="AA755" s="7">
        <v>22.315000000000001</v>
      </c>
      <c r="AB755" s="7">
        <v>20.943999999999999</v>
      </c>
      <c r="AC755" s="7">
        <v>18.224</v>
      </c>
      <c r="AD755" s="7">
        <v>17.155000000000001</v>
      </c>
      <c r="AE755" s="7">
        <v>14.3</v>
      </c>
      <c r="AF755" s="7">
        <v>16.189</v>
      </c>
      <c r="AG755" s="7">
        <v>20.512</v>
      </c>
      <c r="AH755" s="7">
        <v>24.344999999999999</v>
      </c>
      <c r="AI755" s="7">
        <v>24.074999999999999</v>
      </c>
      <c r="AJ755" s="7">
        <v>13.968</v>
      </c>
      <c r="AK755" s="7">
        <v>13.287000000000001</v>
      </c>
      <c r="AL755" s="7">
        <v>11.525</v>
      </c>
      <c r="AM755" s="7">
        <v>11.489000000000001</v>
      </c>
      <c r="AN755" s="7">
        <v>8.7059999999999995</v>
      </c>
      <c r="AO755" s="7">
        <v>13.07</v>
      </c>
      <c r="AP755" s="7">
        <v>13.548999999999999</v>
      </c>
      <c r="AQ755" s="7">
        <v>12.177</v>
      </c>
      <c r="AR755" s="7">
        <v>9.2479999999999993</v>
      </c>
      <c r="AS755" s="7">
        <v>7.7510000000000003</v>
      </c>
      <c r="AT755" s="5">
        <v>115.922</v>
      </c>
    </row>
    <row r="756" spans="1:46" x14ac:dyDescent="0.25">
      <c r="A756" s="4" t="s">
        <v>196</v>
      </c>
      <c r="B756" s="4" t="s">
        <v>207</v>
      </c>
      <c r="C756" s="4" t="s">
        <v>246</v>
      </c>
      <c r="D756" s="4" t="s">
        <v>254</v>
      </c>
      <c r="E756" s="4" t="s">
        <v>256</v>
      </c>
      <c r="F756" s="4" t="s">
        <v>195</v>
      </c>
      <c r="G756" s="4" t="s">
        <v>93</v>
      </c>
      <c r="H756" s="4" t="s">
        <v>251</v>
      </c>
      <c r="I756" s="7">
        <v>11.3025664</v>
      </c>
      <c r="J756" s="7">
        <v>11.043507</v>
      </c>
      <c r="K756" s="7">
        <v>13.531849599999999</v>
      </c>
      <c r="L756" s="7">
        <v>12.3545088</v>
      </c>
      <c r="M756" s="7">
        <v>12.9666035</v>
      </c>
      <c r="N756" s="7">
        <v>11.2273742</v>
      </c>
      <c r="O756" s="7">
        <v>11.1148329</v>
      </c>
      <c r="P756" s="7">
        <v>9.9799694999999993</v>
      </c>
      <c r="Q756" s="7">
        <v>7.8723387999999996</v>
      </c>
      <c r="R756" s="7">
        <v>5.8539881999999999</v>
      </c>
      <c r="S756" s="7">
        <v>6.5385103000000004</v>
      </c>
      <c r="T756" s="7">
        <v>6.2982250000000004</v>
      </c>
      <c r="U756" s="7">
        <v>6.9273579999999999</v>
      </c>
      <c r="V756" s="7">
        <v>7.6990151999999998</v>
      </c>
      <c r="W756" s="7">
        <v>8.3776455999999992</v>
      </c>
      <c r="X756" s="7">
        <v>11.258027</v>
      </c>
      <c r="Y756" s="7">
        <v>10.952029100000001</v>
      </c>
      <c r="Z756" s="7">
        <v>10.672188</v>
      </c>
      <c r="AA756" s="7">
        <v>12.155628099999999</v>
      </c>
      <c r="AB756" s="7">
        <v>12.0765253</v>
      </c>
      <c r="AC756" s="7">
        <v>11.125334000000001</v>
      </c>
      <c r="AD756" s="7">
        <v>11.1841337</v>
      </c>
      <c r="AE756" s="7">
        <v>10.9758028</v>
      </c>
      <c r="AF756" s="7">
        <v>11.2308196</v>
      </c>
      <c r="AG756" s="7">
        <v>12.028986099999999</v>
      </c>
      <c r="AH756" s="7">
        <v>12.2913415</v>
      </c>
      <c r="AI756" s="7">
        <v>12.744394399999999</v>
      </c>
      <c r="AJ756" s="7">
        <v>11.699722299999999</v>
      </c>
      <c r="AK756" s="7">
        <v>11.149074799999999</v>
      </c>
      <c r="AL756" s="7">
        <v>10.174669700000001</v>
      </c>
      <c r="AM756" s="7">
        <v>9.8084091000000004</v>
      </c>
      <c r="AN756" s="7">
        <v>8.1216288999999993</v>
      </c>
      <c r="AO756" s="7">
        <v>7.2020045000000001</v>
      </c>
      <c r="AP756" s="7">
        <v>7.1371333000000003</v>
      </c>
      <c r="AQ756" s="7">
        <v>7.0065653000000001</v>
      </c>
      <c r="AR756" s="7">
        <v>6.1484996000000001</v>
      </c>
      <c r="AS756" s="7">
        <v>5.9983734999999996</v>
      </c>
      <c r="AT756" s="7">
        <v>7.7510000000000003</v>
      </c>
    </row>
    <row r="757" spans="1:46" x14ac:dyDescent="0.25">
      <c r="A757" s="4" t="s">
        <v>196</v>
      </c>
      <c r="B757" s="4" t="s">
        <v>207</v>
      </c>
      <c r="C757" s="4" t="s">
        <v>246</v>
      </c>
      <c r="D757" s="4" t="s">
        <v>254</v>
      </c>
      <c r="E757" s="4" t="s">
        <v>256</v>
      </c>
      <c r="F757" s="4" t="s">
        <v>195</v>
      </c>
      <c r="G757" s="4" t="s">
        <v>93</v>
      </c>
      <c r="H757" s="4" t="s">
        <v>252</v>
      </c>
      <c r="I757" s="16">
        <v>0.55500000000000005</v>
      </c>
      <c r="J757" s="16">
        <v>0.48899999999999999</v>
      </c>
      <c r="K757" s="16">
        <v>0.47499999999999998</v>
      </c>
      <c r="L757" s="16">
        <v>0.438</v>
      </c>
      <c r="M757" s="16">
        <v>0.38800000000000001</v>
      </c>
      <c r="N757" s="16">
        <v>0.28000000000000003</v>
      </c>
      <c r="O757" s="16">
        <v>0.24099999999999999</v>
      </c>
      <c r="P757" s="16">
        <v>0.25600000000000001</v>
      </c>
      <c r="Q757" s="16">
        <v>0.249</v>
      </c>
      <c r="R757" s="16">
        <v>0.26</v>
      </c>
      <c r="S757" s="16">
        <v>0.28100000000000003</v>
      </c>
      <c r="T757" s="16">
        <v>0.252</v>
      </c>
      <c r="U757" s="16">
        <v>0.26200000000000001</v>
      </c>
      <c r="V757" s="16">
        <v>0.255</v>
      </c>
      <c r="W757" s="16">
        <v>0.20300000000000001</v>
      </c>
      <c r="X757" s="16">
        <v>0.43</v>
      </c>
      <c r="Y757" s="16">
        <v>0.435</v>
      </c>
      <c r="Z757" s="16">
        <v>0.38900000000000001</v>
      </c>
      <c r="AA757" s="16">
        <v>0.47399999999999998</v>
      </c>
      <c r="AB757" s="16">
        <v>0.39500000000000002</v>
      </c>
      <c r="AC757" s="16">
        <v>0.435</v>
      </c>
      <c r="AD757" s="16">
        <v>0.38600000000000001</v>
      </c>
      <c r="AE757" s="16">
        <v>0.55900000000000005</v>
      </c>
      <c r="AF757" s="16">
        <v>0.499</v>
      </c>
      <c r="AG757" s="16">
        <v>0.48</v>
      </c>
      <c r="AH757" s="16">
        <v>0.42899999999999999</v>
      </c>
      <c r="AI757" s="16">
        <v>0.42</v>
      </c>
      <c r="AJ757" s="16">
        <v>0.249</v>
      </c>
      <c r="AK757" s="16">
        <v>0.495</v>
      </c>
      <c r="AL757" s="16">
        <v>0.36599999999999999</v>
      </c>
      <c r="AM757" s="16">
        <v>0.31900000000000001</v>
      </c>
      <c r="AN757" s="16">
        <v>0.314</v>
      </c>
      <c r="AO757" s="16">
        <v>0.30399999999999999</v>
      </c>
      <c r="AP757" s="16">
        <v>0.26700000000000002</v>
      </c>
      <c r="AQ757" s="16">
        <v>0.23200000000000001</v>
      </c>
      <c r="AR757" s="16">
        <v>0.16800000000000001</v>
      </c>
      <c r="AS757" s="16">
        <v>0.23200000000000001</v>
      </c>
      <c r="AT757" s="7">
        <v>5.9983734999999996</v>
      </c>
    </row>
    <row r="758" spans="1:46" x14ac:dyDescent="0.25">
      <c r="A758" s="4" t="s">
        <v>196</v>
      </c>
      <c r="B758" s="4" t="s">
        <v>207</v>
      </c>
      <c r="C758" s="4" t="s">
        <v>246</v>
      </c>
      <c r="D758" s="4" t="s">
        <v>254</v>
      </c>
      <c r="E758" s="4" t="s">
        <v>257</v>
      </c>
      <c r="F758" s="4" t="s">
        <v>203</v>
      </c>
      <c r="G758" s="4" t="s">
        <v>93</v>
      </c>
      <c r="H758" s="4" t="s">
        <v>151</v>
      </c>
      <c r="I758" s="5">
        <v>46.665999999999997</v>
      </c>
      <c r="J758" s="5">
        <v>26.571000000000002</v>
      </c>
      <c r="K758" s="5">
        <v>158.26900000000001</v>
      </c>
      <c r="L758" s="5">
        <v>176.74600000000001</v>
      </c>
      <c r="M758" s="5">
        <v>171.929</v>
      </c>
      <c r="N758" s="5">
        <v>269.32499999999999</v>
      </c>
      <c r="O758" s="5">
        <v>63.655000000000001</v>
      </c>
      <c r="P758" s="5">
        <v>63.097999999999999</v>
      </c>
      <c r="Q758" s="5">
        <v>52.793999999999997</v>
      </c>
      <c r="R758" s="5">
        <v>34.54</v>
      </c>
      <c r="S758" s="5">
        <v>4.2759999999999998</v>
      </c>
      <c r="T758" s="5">
        <v>11.071</v>
      </c>
      <c r="U758" s="5">
        <v>10.587999999999999</v>
      </c>
      <c r="V758" s="5">
        <v>4.2759999999999998</v>
      </c>
      <c r="W758" s="5">
        <v>6.2060000000000004</v>
      </c>
      <c r="X758" s="5">
        <v>13.285</v>
      </c>
      <c r="Y758" s="5">
        <v>21.881</v>
      </c>
      <c r="Z758" s="5">
        <v>18.666</v>
      </c>
      <c r="AA758" s="5">
        <v>13.285</v>
      </c>
      <c r="AB758" s="5">
        <v>7.5</v>
      </c>
      <c r="AC758" s="5">
        <v>6.4130000000000003</v>
      </c>
      <c r="AD758" s="5">
        <v>5.6420000000000003</v>
      </c>
      <c r="AE758" s="5">
        <v>6.2069999999999999</v>
      </c>
      <c r="AF758" s="5">
        <v>7.0629999999999997</v>
      </c>
      <c r="AG758" s="5">
        <v>6.835</v>
      </c>
      <c r="AH758" s="5">
        <v>14</v>
      </c>
      <c r="AI758" s="5">
        <v>91.646000000000001</v>
      </c>
      <c r="AJ758" s="5">
        <v>90.531999999999996</v>
      </c>
      <c r="AK758" s="5">
        <v>27.459</v>
      </c>
      <c r="AL758" s="5">
        <v>33.590000000000003</v>
      </c>
      <c r="AM758" s="5">
        <v>4</v>
      </c>
      <c r="AN758" s="5">
        <v>48.536000000000001</v>
      </c>
      <c r="AO758" s="5">
        <v>0</v>
      </c>
      <c r="AP758" s="5">
        <v>3.7909999999999999</v>
      </c>
      <c r="AQ758" s="5">
        <v>3.38</v>
      </c>
      <c r="AR758" s="5">
        <v>2.4180000000000001</v>
      </c>
      <c r="AS758" s="5">
        <v>0</v>
      </c>
      <c r="AT758" s="5">
        <v>0</v>
      </c>
    </row>
    <row r="759" spans="1:46" x14ac:dyDescent="0.25">
      <c r="A759" s="4" t="s">
        <v>196</v>
      </c>
      <c r="B759" s="4" t="s">
        <v>207</v>
      </c>
      <c r="C759" s="4" t="s">
        <v>246</v>
      </c>
      <c r="D759" s="4" t="s">
        <v>254</v>
      </c>
      <c r="E759" s="4" t="s">
        <v>257</v>
      </c>
      <c r="F759" s="4" t="s">
        <v>203</v>
      </c>
      <c r="G759" s="4" t="s">
        <v>93</v>
      </c>
      <c r="H759" s="4" t="s">
        <v>205</v>
      </c>
      <c r="I759" s="6">
        <v>6066.6059999999998</v>
      </c>
      <c r="J759" s="6">
        <v>3454.23</v>
      </c>
      <c r="K759" s="6">
        <v>17602.420999999998</v>
      </c>
      <c r="L759" s="6">
        <v>19774.227999999999</v>
      </c>
      <c r="M759" s="6">
        <v>19349.819</v>
      </c>
      <c r="N759" s="6">
        <v>32328.100999999999</v>
      </c>
      <c r="O759" s="6">
        <v>8561.5650000000005</v>
      </c>
      <c r="P759" s="6">
        <v>9087.7340000000004</v>
      </c>
      <c r="Q759" s="6">
        <v>7078.2280000000001</v>
      </c>
      <c r="R759" s="6">
        <v>4213.8760000000002</v>
      </c>
      <c r="S759" s="6">
        <v>598.58399999999995</v>
      </c>
      <c r="T759" s="6">
        <v>1549.94</v>
      </c>
      <c r="U759" s="6">
        <v>1482.2639999999999</v>
      </c>
      <c r="V759" s="6">
        <v>598.58399999999995</v>
      </c>
      <c r="W759" s="6">
        <v>868.89599999999996</v>
      </c>
      <c r="X759" s="6">
        <v>1859.9280000000001</v>
      </c>
      <c r="Y759" s="6">
        <v>3063.3119999999999</v>
      </c>
      <c r="Z759" s="6">
        <v>2613.2399999999998</v>
      </c>
      <c r="AA759" s="6">
        <v>1859.9280000000001</v>
      </c>
      <c r="AB759" s="6">
        <v>1050</v>
      </c>
      <c r="AC759" s="6">
        <v>897.87599999999998</v>
      </c>
      <c r="AD759" s="6">
        <v>789.86199999999997</v>
      </c>
      <c r="AE759" s="6">
        <v>868.92700000000002</v>
      </c>
      <c r="AF759" s="6">
        <v>988.83900000000006</v>
      </c>
      <c r="AG759" s="6">
        <v>956.899</v>
      </c>
      <c r="AH759" s="6">
        <v>1960</v>
      </c>
      <c r="AI759" s="6">
        <v>15981.806</v>
      </c>
      <c r="AJ759" s="6">
        <v>15832.831</v>
      </c>
      <c r="AK759" s="6">
        <v>4784.0290000000005</v>
      </c>
      <c r="AL759" s="6">
        <v>5914.5050000000001</v>
      </c>
      <c r="AM759" s="6">
        <v>720</v>
      </c>
      <c r="AN759" s="6">
        <v>8548.2610000000004</v>
      </c>
      <c r="AO759" s="6">
        <v>0</v>
      </c>
      <c r="AP759" s="6">
        <v>602.81600000000003</v>
      </c>
      <c r="AQ759" s="6">
        <v>537.41</v>
      </c>
      <c r="AR759" s="6">
        <v>384.48200000000003</v>
      </c>
      <c r="AS759" s="6">
        <v>0</v>
      </c>
      <c r="AT759" s="6">
        <v>0</v>
      </c>
    </row>
    <row r="760" spans="1:46" x14ac:dyDescent="0.25">
      <c r="A760" s="4" t="s">
        <v>196</v>
      </c>
      <c r="B760" s="4" t="s">
        <v>207</v>
      </c>
      <c r="C760" s="4" t="s">
        <v>246</v>
      </c>
      <c r="D760" s="4" t="s">
        <v>254</v>
      </c>
      <c r="E760" s="4" t="s">
        <v>257</v>
      </c>
      <c r="F760" s="4" t="s">
        <v>203</v>
      </c>
      <c r="G760" s="4" t="s">
        <v>93</v>
      </c>
      <c r="H760" s="4" t="s">
        <v>249</v>
      </c>
      <c r="I760" s="7">
        <v>0.53800000000000003</v>
      </c>
      <c r="J760" s="7">
        <v>0.19</v>
      </c>
      <c r="K760" s="7">
        <v>0.74099999999999999</v>
      </c>
      <c r="L760" s="7">
        <v>0.67</v>
      </c>
      <c r="M760" s="7">
        <v>0.433</v>
      </c>
      <c r="N760" s="7">
        <v>0.73599999999999999</v>
      </c>
      <c r="O760" s="7">
        <v>0.218</v>
      </c>
      <c r="P760" s="7">
        <v>0.33900000000000002</v>
      </c>
      <c r="Q760" s="7">
        <v>0.41899999999999998</v>
      </c>
      <c r="R760" s="7">
        <v>0.38300000000000001</v>
      </c>
      <c r="S760" s="7">
        <v>5.5E-2</v>
      </c>
      <c r="T760" s="7">
        <v>0.155</v>
      </c>
      <c r="U760" s="7">
        <v>0.12</v>
      </c>
      <c r="V760" s="7">
        <v>3.9E-2</v>
      </c>
      <c r="W760" s="7">
        <v>3.3000000000000002E-2</v>
      </c>
      <c r="X760" s="7">
        <v>4.3999999999999997E-2</v>
      </c>
      <c r="Y760" s="7">
        <v>6.4000000000000001E-2</v>
      </c>
      <c r="Z760" s="7">
        <v>5.7000000000000002E-2</v>
      </c>
      <c r="AA760" s="7">
        <v>0.04</v>
      </c>
      <c r="AB760" s="7">
        <v>3.2000000000000001E-2</v>
      </c>
      <c r="AC760" s="7">
        <v>3.5000000000000003E-2</v>
      </c>
      <c r="AD760" s="7">
        <v>4.3999999999999997E-2</v>
      </c>
      <c r="AE760" s="7">
        <v>5.7000000000000002E-2</v>
      </c>
      <c r="AF760" s="7">
        <v>0.08</v>
      </c>
      <c r="AG760" s="7">
        <v>7.4999999999999997E-2</v>
      </c>
      <c r="AH760" s="7">
        <v>0.12</v>
      </c>
      <c r="AI760" s="7">
        <v>0.55300000000000005</v>
      </c>
      <c r="AJ760" s="7">
        <v>0.27800000000000002</v>
      </c>
      <c r="AK760" s="7">
        <v>5.0999999999999997E-2</v>
      </c>
      <c r="AL760" s="7">
        <v>7.2999999999999995E-2</v>
      </c>
      <c r="AM760" s="7">
        <v>6.0000000000000001E-3</v>
      </c>
      <c r="AN760" s="7">
        <v>6.5000000000000002E-2</v>
      </c>
      <c r="AO760" s="7">
        <v>0</v>
      </c>
      <c r="AP760" s="7">
        <v>1.6E-2</v>
      </c>
      <c r="AQ760" s="7">
        <v>2.4E-2</v>
      </c>
      <c r="AR760" s="7">
        <v>2.5999999999999999E-2</v>
      </c>
      <c r="AS760" s="7">
        <v>0</v>
      </c>
      <c r="AT760" s="7">
        <v>0</v>
      </c>
    </row>
    <row r="761" spans="1:46" x14ac:dyDescent="0.25">
      <c r="A761" s="4" t="s">
        <v>196</v>
      </c>
      <c r="B761" s="4" t="s">
        <v>207</v>
      </c>
      <c r="C761" s="4" t="s">
        <v>246</v>
      </c>
      <c r="D761" s="4" t="s">
        <v>254</v>
      </c>
      <c r="E761" s="4" t="s">
        <v>257</v>
      </c>
      <c r="F761" s="4" t="s">
        <v>203</v>
      </c>
      <c r="G761" s="4" t="s">
        <v>93</v>
      </c>
      <c r="H761" s="4" t="s">
        <v>250</v>
      </c>
      <c r="I761" s="7">
        <v>2.15</v>
      </c>
      <c r="J761" s="7">
        <v>1.4670000000000001</v>
      </c>
      <c r="K761" s="7">
        <v>5.0579999999999998</v>
      </c>
      <c r="L761" s="7">
        <v>3.8239999999999998</v>
      </c>
      <c r="M761" s="7">
        <v>2.8490000000000002</v>
      </c>
      <c r="N761" s="7">
        <v>6.9470000000000001</v>
      </c>
      <c r="O761" s="7">
        <v>5.8209999999999997</v>
      </c>
      <c r="P761" s="7">
        <v>6.73</v>
      </c>
      <c r="Q761" s="7">
        <v>5.44</v>
      </c>
      <c r="R761" s="7">
        <v>6.766</v>
      </c>
      <c r="S761" s="7">
        <v>0.79700000000000004</v>
      </c>
      <c r="T761" s="7">
        <v>1.5980000000000001</v>
      </c>
      <c r="U761" s="7">
        <v>1.026</v>
      </c>
      <c r="V761" s="7">
        <v>0.86599999999999999</v>
      </c>
      <c r="W761" s="7">
        <v>1.034</v>
      </c>
      <c r="X761" s="7">
        <v>0.998</v>
      </c>
      <c r="Y761" s="7">
        <v>1.0309999999999999</v>
      </c>
      <c r="Z761" s="7">
        <v>1.0720000000000001</v>
      </c>
      <c r="AA761" s="7">
        <v>1.1599999999999999</v>
      </c>
      <c r="AB761" s="7">
        <v>1.115</v>
      </c>
      <c r="AC761" s="7">
        <v>1.3120000000000001</v>
      </c>
      <c r="AD761" s="7">
        <v>1.357</v>
      </c>
      <c r="AE761" s="7">
        <v>1.325</v>
      </c>
      <c r="AF761" s="7">
        <v>1.7829999999999999</v>
      </c>
      <c r="AG761" s="7">
        <v>1.4139999999999999</v>
      </c>
      <c r="AH761" s="7">
        <v>1.7070000000000001</v>
      </c>
      <c r="AI761" s="7">
        <v>5.6929999999999996</v>
      </c>
      <c r="AJ761" s="7">
        <v>2.5550000000000002</v>
      </c>
      <c r="AK761" s="7">
        <v>3.5019999999999998</v>
      </c>
      <c r="AL761" s="7">
        <v>5.1280000000000001</v>
      </c>
      <c r="AM761" s="7">
        <v>4.7539999999999996</v>
      </c>
      <c r="AN761" s="7">
        <v>2.9940000000000002</v>
      </c>
      <c r="AO761" s="7">
        <v>0.48599999999999999</v>
      </c>
      <c r="AP761" s="7">
        <v>0.55900000000000005</v>
      </c>
      <c r="AQ761" s="7">
        <v>0.81799999999999995</v>
      </c>
      <c r="AR761" s="7">
        <v>0.98899999999999999</v>
      </c>
      <c r="AS761" s="7">
        <v>3.6999999999999998E-2</v>
      </c>
      <c r="AT761" s="5">
        <v>7.4180000000000001</v>
      </c>
    </row>
    <row r="762" spans="1:46" x14ac:dyDescent="0.25">
      <c r="A762" s="4" t="s">
        <v>196</v>
      </c>
      <c r="B762" s="4" t="s">
        <v>207</v>
      </c>
      <c r="C762" s="4" t="s">
        <v>246</v>
      </c>
      <c r="D762" s="4" t="s">
        <v>254</v>
      </c>
      <c r="E762" s="4" t="s">
        <v>257</v>
      </c>
      <c r="F762" s="4" t="s">
        <v>203</v>
      </c>
      <c r="G762" s="4" t="s">
        <v>93</v>
      </c>
      <c r="H762" s="4" t="s">
        <v>251</v>
      </c>
      <c r="I762" s="7">
        <v>0.17902309999999999</v>
      </c>
      <c r="J762" s="7">
        <v>0.17863680000000001</v>
      </c>
      <c r="K762" s="7">
        <v>2.1335624000000002</v>
      </c>
      <c r="L762" s="7">
        <v>2.1277339</v>
      </c>
      <c r="M762" s="7">
        <v>1.9766808</v>
      </c>
      <c r="N762" s="7">
        <v>4.1125610999999997</v>
      </c>
      <c r="O762" s="7">
        <v>3.3906060999999998</v>
      </c>
      <c r="P762" s="7">
        <v>3.3905978000000001</v>
      </c>
      <c r="Q762" s="7">
        <v>3.3725624000000001</v>
      </c>
      <c r="R762" s="7">
        <v>2.1884068000000001</v>
      </c>
      <c r="S762" s="7">
        <v>0.12486410000000001</v>
      </c>
      <c r="T762" s="7">
        <v>0.12480380000000001</v>
      </c>
      <c r="U762" s="7">
        <v>0.12489599999999999</v>
      </c>
      <c r="V762" s="7">
        <v>0.1247461</v>
      </c>
      <c r="W762" s="7">
        <v>0.40529549999999998</v>
      </c>
      <c r="X762" s="7">
        <v>0.47794229999999999</v>
      </c>
      <c r="Y762" s="7">
        <v>0.47532370000000002</v>
      </c>
      <c r="Z762" s="7">
        <v>0.47481190000000001</v>
      </c>
      <c r="AA762" s="7">
        <v>0.47416740000000002</v>
      </c>
      <c r="AB762" s="7">
        <v>0.4737825</v>
      </c>
      <c r="AC762" s="7">
        <v>0.4736281</v>
      </c>
      <c r="AD762" s="7">
        <v>0.47344389999999997</v>
      </c>
      <c r="AE762" s="7">
        <v>0.4729835</v>
      </c>
      <c r="AF762" s="7">
        <v>0.48533389999999998</v>
      </c>
      <c r="AG762" s="7">
        <v>0.48499799999999998</v>
      </c>
      <c r="AH762" s="7">
        <v>0.48429499999999998</v>
      </c>
      <c r="AI762" s="7">
        <v>1.8438174000000001</v>
      </c>
      <c r="AJ762" s="7">
        <v>1.8422977</v>
      </c>
      <c r="AK762" s="7">
        <v>2.2542688000000002</v>
      </c>
      <c r="AL762" s="7">
        <v>2.2751581999999999</v>
      </c>
      <c r="AM762" s="7">
        <v>2.2754883000000001</v>
      </c>
      <c r="AN762" s="7">
        <v>2.2749438</v>
      </c>
      <c r="AO762" s="7">
        <v>0.76901629999999999</v>
      </c>
      <c r="AP762" s="7">
        <v>0.76923180000000002</v>
      </c>
      <c r="AQ762" s="7">
        <v>0.76885020000000004</v>
      </c>
      <c r="AR762" s="7">
        <v>0.8596992</v>
      </c>
      <c r="AS762" s="7">
        <v>0.85855890000000001</v>
      </c>
      <c r="AT762" s="7">
        <v>3.6999999999999998E-2</v>
      </c>
    </row>
    <row r="763" spans="1:46" x14ac:dyDescent="0.25">
      <c r="A763" s="4" t="s">
        <v>196</v>
      </c>
      <c r="B763" s="4" t="s">
        <v>207</v>
      </c>
      <c r="C763" s="4" t="s">
        <v>246</v>
      </c>
      <c r="D763" s="4" t="s">
        <v>254</v>
      </c>
      <c r="E763" s="4" t="s">
        <v>257</v>
      </c>
      <c r="F763" s="4" t="s">
        <v>203</v>
      </c>
      <c r="G763" s="4" t="s">
        <v>93</v>
      </c>
      <c r="H763" s="4" t="s">
        <v>252</v>
      </c>
      <c r="I763" s="16">
        <v>0</v>
      </c>
      <c r="J763" s="16">
        <v>1.0999999999999999E-2</v>
      </c>
      <c r="K763" s="16">
        <v>0.316</v>
      </c>
      <c r="L763" s="16">
        <v>0.317</v>
      </c>
      <c r="M763" s="16">
        <v>0.31</v>
      </c>
      <c r="N763" s="16">
        <v>0.192</v>
      </c>
      <c r="O763" s="16">
        <v>0.193</v>
      </c>
      <c r="P763" s="16">
        <v>0.183</v>
      </c>
      <c r="Q763" s="16">
        <v>0.13400000000000001</v>
      </c>
      <c r="R763" s="16">
        <v>0.13300000000000001</v>
      </c>
      <c r="S763" s="16">
        <v>7.0000000000000001E-3</v>
      </c>
      <c r="T763" s="16">
        <v>1.4E-2</v>
      </c>
      <c r="U763" s="16">
        <v>1.0999999999999999E-2</v>
      </c>
      <c r="V763" s="16">
        <v>7.0000000000000001E-3</v>
      </c>
      <c r="W763" s="16">
        <v>1.2999999999999999E-2</v>
      </c>
      <c r="X763" s="16">
        <v>0.02</v>
      </c>
      <c r="Y763" s="16">
        <v>0.01</v>
      </c>
      <c r="Z763" s="16">
        <v>1.7000000000000001E-2</v>
      </c>
      <c r="AA763" s="16">
        <v>2.1999999999999999E-2</v>
      </c>
      <c r="AB763" s="16">
        <v>1.4999999999999999E-2</v>
      </c>
      <c r="AC763" s="16">
        <v>1.9E-2</v>
      </c>
      <c r="AD763" s="16">
        <v>1.9E-2</v>
      </c>
      <c r="AE763" s="16">
        <v>0.02</v>
      </c>
      <c r="AF763" s="16">
        <v>2.1999999999999999E-2</v>
      </c>
      <c r="AG763" s="16">
        <v>0.02</v>
      </c>
      <c r="AH763" s="16">
        <v>2.3E-2</v>
      </c>
      <c r="AI763" s="16">
        <v>0.13800000000000001</v>
      </c>
      <c r="AJ763" s="16">
        <v>0.13500000000000001</v>
      </c>
      <c r="AK763" s="16">
        <v>9.2999999999999999E-2</v>
      </c>
      <c r="AL763" s="16">
        <v>0.106</v>
      </c>
      <c r="AM763" s="16">
        <v>0.11</v>
      </c>
      <c r="AN763" s="16">
        <v>1.7000000000000001E-2</v>
      </c>
      <c r="AO763" s="16">
        <v>1.7999999999999999E-2</v>
      </c>
      <c r="AP763" s="16">
        <v>1.2E-2</v>
      </c>
      <c r="AQ763" s="16">
        <v>1.2999999999999999E-2</v>
      </c>
      <c r="AR763" s="16">
        <v>1.4999999999999999E-2</v>
      </c>
      <c r="AS763" s="16">
        <v>1.4999999999999999E-2</v>
      </c>
      <c r="AT763" s="7">
        <v>0.85855890000000001</v>
      </c>
    </row>
    <row r="764" spans="1:46" x14ac:dyDescent="0.25">
      <c r="A764" s="4" t="s">
        <v>196</v>
      </c>
      <c r="B764" s="4" t="s">
        <v>207</v>
      </c>
      <c r="C764" s="4" t="s">
        <v>246</v>
      </c>
      <c r="D764" s="4" t="s">
        <v>254</v>
      </c>
      <c r="E764" s="4" t="s">
        <v>258</v>
      </c>
      <c r="F764" s="4" t="s">
        <v>203</v>
      </c>
      <c r="G764" s="4" t="s">
        <v>93</v>
      </c>
      <c r="H764" s="4" t="s">
        <v>151</v>
      </c>
      <c r="I764" s="5">
        <v>39.970999999999997</v>
      </c>
      <c r="J764" s="5">
        <v>0</v>
      </c>
      <c r="K764" s="5">
        <v>17.981000000000002</v>
      </c>
      <c r="L764" s="5">
        <v>35.015999999999998</v>
      </c>
      <c r="M764" s="5">
        <v>82.388000000000005</v>
      </c>
      <c r="N764" s="5">
        <v>61.79</v>
      </c>
      <c r="O764" s="5">
        <v>46.213999999999999</v>
      </c>
      <c r="P764" s="5">
        <v>54.436999999999998</v>
      </c>
      <c r="Q764" s="5">
        <v>78.325999999999993</v>
      </c>
      <c r="R764" s="5">
        <v>65.349000000000004</v>
      </c>
      <c r="S764" s="5">
        <v>46.128</v>
      </c>
      <c r="T764" s="5">
        <v>0</v>
      </c>
      <c r="U764" s="5">
        <v>23.809000000000001</v>
      </c>
      <c r="V764" s="5">
        <v>69.192999999999998</v>
      </c>
      <c r="W764" s="5">
        <v>75.498000000000005</v>
      </c>
      <c r="X764" s="5">
        <v>44.881</v>
      </c>
      <c r="Y764" s="5">
        <v>0</v>
      </c>
      <c r="Z764" s="5">
        <v>45.436</v>
      </c>
      <c r="AA764" s="5">
        <v>0</v>
      </c>
      <c r="AB764" s="5">
        <v>0</v>
      </c>
      <c r="AC764" s="5">
        <v>22.792999999999999</v>
      </c>
      <c r="AD764" s="5">
        <v>60.152999999999999</v>
      </c>
      <c r="AE764" s="5">
        <v>77.816000000000003</v>
      </c>
      <c r="AF764" s="5">
        <v>69.251999999999995</v>
      </c>
      <c r="AG764" s="5">
        <v>0</v>
      </c>
      <c r="AH764" s="5">
        <v>58.122</v>
      </c>
      <c r="AI764" s="5">
        <v>0</v>
      </c>
      <c r="AJ764" s="5">
        <v>0</v>
      </c>
      <c r="AK764" s="5">
        <v>61.421999999999997</v>
      </c>
      <c r="AL764" s="5">
        <v>42.366</v>
      </c>
      <c r="AM764" s="5">
        <v>58.792000000000002</v>
      </c>
      <c r="AN764" s="5">
        <v>53.103999999999999</v>
      </c>
      <c r="AO764" s="5">
        <v>88.227000000000004</v>
      </c>
      <c r="AP764" s="5">
        <v>53.875999999999998</v>
      </c>
      <c r="AQ764" s="5">
        <v>55.52</v>
      </c>
      <c r="AR764" s="5">
        <v>47.887</v>
      </c>
      <c r="AS764" s="5">
        <v>71.486000000000004</v>
      </c>
      <c r="AT764" s="5">
        <v>71.486000000000004</v>
      </c>
    </row>
    <row r="765" spans="1:46" x14ac:dyDescent="0.25">
      <c r="A765" s="4" t="s">
        <v>196</v>
      </c>
      <c r="B765" s="4" t="s">
        <v>207</v>
      </c>
      <c r="C765" s="4" t="s">
        <v>246</v>
      </c>
      <c r="D765" s="4" t="s">
        <v>254</v>
      </c>
      <c r="E765" s="4" t="s">
        <v>258</v>
      </c>
      <c r="F765" s="4" t="s">
        <v>203</v>
      </c>
      <c r="G765" s="4" t="s">
        <v>93</v>
      </c>
      <c r="H765" s="4" t="s">
        <v>205</v>
      </c>
      <c r="I765" s="6">
        <v>6395.2820000000002</v>
      </c>
      <c r="J765" s="6">
        <v>0</v>
      </c>
      <c r="K765" s="6">
        <v>2877.009</v>
      </c>
      <c r="L765" s="6">
        <v>5602.5249999999996</v>
      </c>
      <c r="M765" s="6">
        <v>13182.156999999999</v>
      </c>
      <c r="N765" s="6">
        <v>9886.4009999999998</v>
      </c>
      <c r="O765" s="6">
        <v>6829.4449999999997</v>
      </c>
      <c r="P765" s="6">
        <v>8410.1299999999992</v>
      </c>
      <c r="Q765" s="6">
        <v>12227.852000000001</v>
      </c>
      <c r="R765" s="6">
        <v>9470.7690000000002</v>
      </c>
      <c r="S765" s="6">
        <v>7380.5519999999997</v>
      </c>
      <c r="T765" s="6">
        <v>0</v>
      </c>
      <c r="U765" s="6">
        <v>3809.5140000000001</v>
      </c>
      <c r="V765" s="6">
        <v>11070.828</v>
      </c>
      <c r="W765" s="6">
        <v>12079.612999999999</v>
      </c>
      <c r="X765" s="6">
        <v>7180.9870000000001</v>
      </c>
      <c r="Y765" s="6">
        <v>0</v>
      </c>
      <c r="Z765" s="6">
        <v>7269.7060000000001</v>
      </c>
      <c r="AA765" s="6">
        <v>0</v>
      </c>
      <c r="AB765" s="6">
        <v>0</v>
      </c>
      <c r="AC765" s="6">
        <v>3646.8440000000001</v>
      </c>
      <c r="AD765" s="6">
        <v>9624.4480000000003</v>
      </c>
      <c r="AE765" s="6">
        <v>12415.203</v>
      </c>
      <c r="AF765" s="6">
        <v>11035.861000000001</v>
      </c>
      <c r="AG765" s="6">
        <v>0</v>
      </c>
      <c r="AH765" s="6">
        <v>9299.5390000000007</v>
      </c>
      <c r="AI765" s="6">
        <v>0</v>
      </c>
      <c r="AJ765" s="6">
        <v>0</v>
      </c>
      <c r="AK765" s="6">
        <v>8866.7909999999993</v>
      </c>
      <c r="AL765" s="6">
        <v>6034.7830000000004</v>
      </c>
      <c r="AM765" s="6">
        <v>8483.9629999999997</v>
      </c>
      <c r="AN765" s="6">
        <v>7798.1189999999997</v>
      </c>
      <c r="AO765" s="6">
        <v>12626.12</v>
      </c>
      <c r="AP765" s="6">
        <v>7730.2610000000004</v>
      </c>
      <c r="AQ765" s="6">
        <v>8215.6489999999994</v>
      </c>
      <c r="AR765" s="6">
        <v>6952.1970000000001</v>
      </c>
      <c r="AS765" s="6">
        <v>10008.014999999999</v>
      </c>
      <c r="AT765" s="6">
        <v>10008.014999999999</v>
      </c>
    </row>
    <row r="766" spans="1:46" x14ac:dyDescent="0.25">
      <c r="A766" s="4" t="s">
        <v>196</v>
      </c>
      <c r="B766" s="4" t="s">
        <v>207</v>
      </c>
      <c r="C766" s="4" t="s">
        <v>246</v>
      </c>
      <c r="D766" s="4" t="s">
        <v>254</v>
      </c>
      <c r="E766" s="4" t="s">
        <v>258</v>
      </c>
      <c r="F766" s="4" t="s">
        <v>203</v>
      </c>
      <c r="G766" s="4" t="s">
        <v>93</v>
      </c>
      <c r="H766" s="4" t="s">
        <v>249</v>
      </c>
      <c r="I766" s="7">
        <v>0.46100000000000002</v>
      </c>
      <c r="J766" s="7">
        <v>0</v>
      </c>
      <c r="K766" s="7">
        <v>8.4000000000000005E-2</v>
      </c>
      <c r="L766" s="7">
        <v>0.13300000000000001</v>
      </c>
      <c r="M766" s="7">
        <v>0.20699999999999999</v>
      </c>
      <c r="N766" s="7">
        <v>0.16900000000000001</v>
      </c>
      <c r="O766" s="7">
        <v>0.158</v>
      </c>
      <c r="P766" s="7">
        <v>0.27800000000000002</v>
      </c>
      <c r="Q766" s="7">
        <v>0.58499999999999996</v>
      </c>
      <c r="R766" s="7">
        <v>0.72499999999999998</v>
      </c>
      <c r="S766" s="7">
        <v>0.59299999999999997</v>
      </c>
      <c r="T766" s="7">
        <v>0</v>
      </c>
      <c r="U766" s="7">
        <v>0.27100000000000002</v>
      </c>
      <c r="V766" s="7">
        <v>0.63900000000000001</v>
      </c>
      <c r="W766" s="7">
        <v>0.40400000000000003</v>
      </c>
      <c r="X766" s="7">
        <v>0.14899999999999999</v>
      </c>
      <c r="Y766" s="7">
        <v>0</v>
      </c>
      <c r="Z766" s="7">
        <v>0.13800000000000001</v>
      </c>
      <c r="AA766" s="7">
        <v>0</v>
      </c>
      <c r="AB766" s="7">
        <v>0</v>
      </c>
      <c r="AC766" s="7">
        <v>0.125</v>
      </c>
      <c r="AD766" s="7">
        <v>0.46500000000000002</v>
      </c>
      <c r="AE766" s="7">
        <v>0.71699999999999997</v>
      </c>
      <c r="AF766" s="7">
        <v>0.78200000000000003</v>
      </c>
      <c r="AG766" s="7">
        <v>0</v>
      </c>
      <c r="AH766" s="7">
        <v>0.496</v>
      </c>
      <c r="AI766" s="7">
        <v>0</v>
      </c>
      <c r="AJ766" s="7">
        <v>0</v>
      </c>
      <c r="AK766" s="7">
        <v>0.114</v>
      </c>
      <c r="AL766" s="7">
        <v>9.1999999999999998E-2</v>
      </c>
      <c r="AM766" s="7">
        <v>8.8999999999999996E-2</v>
      </c>
      <c r="AN766" s="7">
        <v>7.0999999999999994E-2</v>
      </c>
      <c r="AO766" s="7">
        <v>0.19</v>
      </c>
      <c r="AP766" s="7">
        <v>0.23300000000000001</v>
      </c>
      <c r="AQ766" s="7">
        <v>0.39900000000000002</v>
      </c>
      <c r="AR766" s="7">
        <v>0.52100000000000002</v>
      </c>
      <c r="AS766" s="7">
        <v>0.82699999999999996</v>
      </c>
      <c r="AT766" s="7">
        <v>0.14099999999999999</v>
      </c>
    </row>
    <row r="767" spans="1:46" x14ac:dyDescent="0.25">
      <c r="A767" s="4" t="s">
        <v>196</v>
      </c>
      <c r="B767" s="4" t="s">
        <v>207</v>
      </c>
      <c r="C767" s="4" t="s">
        <v>246</v>
      </c>
      <c r="D767" s="4" t="s">
        <v>254</v>
      </c>
      <c r="E767" s="4" t="s">
        <v>258</v>
      </c>
      <c r="F767" s="4" t="s">
        <v>203</v>
      </c>
      <c r="G767" s="4" t="s">
        <v>93</v>
      </c>
      <c r="H767" s="4" t="s">
        <v>250</v>
      </c>
      <c r="I767" s="7">
        <v>2.21</v>
      </c>
      <c r="J767" s="7">
        <v>1.7050000000000001</v>
      </c>
      <c r="K767" s="7">
        <v>1.032</v>
      </c>
      <c r="L767" s="7">
        <v>0.83499999999999996</v>
      </c>
      <c r="M767" s="7">
        <v>0.79200000000000004</v>
      </c>
      <c r="N767" s="7">
        <v>0.47799999999999998</v>
      </c>
      <c r="O767" s="7">
        <v>2.1259999999999999</v>
      </c>
      <c r="P767" s="7">
        <v>2.5880000000000001</v>
      </c>
      <c r="Q767" s="7">
        <v>3.6819999999999999</v>
      </c>
      <c r="R767" s="7">
        <v>7.9480000000000004</v>
      </c>
      <c r="S767" s="7">
        <v>3.117</v>
      </c>
      <c r="T767" s="7">
        <v>5.4480000000000004</v>
      </c>
      <c r="U767" s="7">
        <v>2.774</v>
      </c>
      <c r="V767" s="7">
        <v>2.31</v>
      </c>
      <c r="W767" s="7">
        <v>2.0870000000000002</v>
      </c>
      <c r="X767" s="7">
        <v>2.1629999999999998</v>
      </c>
      <c r="Y767" s="7">
        <v>1.837</v>
      </c>
      <c r="Z767" s="7">
        <v>1.254</v>
      </c>
      <c r="AA767" s="7">
        <v>1.87</v>
      </c>
      <c r="AB767" s="7">
        <v>2.9140000000000001</v>
      </c>
      <c r="AC767" s="7">
        <v>6.8579999999999997</v>
      </c>
      <c r="AD767" s="7">
        <v>8.1</v>
      </c>
      <c r="AE767" s="7">
        <v>8.9429999999999996</v>
      </c>
      <c r="AF767" s="7">
        <v>9.5220000000000002</v>
      </c>
      <c r="AG767" s="7">
        <v>6.9429999999999996</v>
      </c>
      <c r="AH767" s="7">
        <v>1.1259999999999999</v>
      </c>
      <c r="AI767" s="7">
        <v>0.23499999999999999</v>
      </c>
      <c r="AJ767" s="7">
        <v>1.0189999999999999</v>
      </c>
      <c r="AK767" s="7">
        <v>3.2010000000000001</v>
      </c>
      <c r="AL767" s="7">
        <v>3.4089999999999998</v>
      </c>
      <c r="AM767" s="7">
        <v>2.6280000000000001</v>
      </c>
      <c r="AN767" s="7">
        <v>2.74</v>
      </c>
      <c r="AO767" s="7">
        <v>6.431</v>
      </c>
      <c r="AP767" s="7">
        <v>8.02</v>
      </c>
      <c r="AQ767" s="7">
        <v>9.92</v>
      </c>
      <c r="AR767" s="7">
        <v>14.787000000000001</v>
      </c>
      <c r="AS767" s="7">
        <v>9.673</v>
      </c>
      <c r="AT767" s="5">
        <v>144.90100000000001</v>
      </c>
    </row>
    <row r="768" spans="1:46" x14ac:dyDescent="0.25">
      <c r="A768" s="4" t="s">
        <v>196</v>
      </c>
      <c r="B768" s="4" t="s">
        <v>207</v>
      </c>
      <c r="C768" s="4" t="s">
        <v>246</v>
      </c>
      <c r="D768" s="4" t="s">
        <v>254</v>
      </c>
      <c r="E768" s="4" t="s">
        <v>258</v>
      </c>
      <c r="F768" s="4" t="s">
        <v>203</v>
      </c>
      <c r="G768" s="4" t="s">
        <v>93</v>
      </c>
      <c r="H768" s="4" t="s">
        <v>251</v>
      </c>
      <c r="I768" s="7">
        <v>1.1726015999999999</v>
      </c>
      <c r="J768" s="7">
        <v>1.1700712</v>
      </c>
      <c r="K768" s="7">
        <v>1.1117527</v>
      </c>
      <c r="L768" s="7">
        <v>1.0737935999999999</v>
      </c>
      <c r="M768" s="7">
        <v>1.0705366999999999</v>
      </c>
      <c r="N768" s="7">
        <v>1.0691866000000001</v>
      </c>
      <c r="O768" s="7">
        <v>2.060648</v>
      </c>
      <c r="P768" s="7">
        <v>2.0606429999999998</v>
      </c>
      <c r="Q768" s="7">
        <v>2.1156633</v>
      </c>
      <c r="R768" s="7">
        <v>2.0633550000000001</v>
      </c>
      <c r="S768" s="7">
        <v>1.1927646000000001</v>
      </c>
      <c r="T768" s="7">
        <v>1.1921885000000001</v>
      </c>
      <c r="U768" s="7">
        <v>1.1930693000000001</v>
      </c>
      <c r="V768" s="7">
        <v>1.1916367999999999</v>
      </c>
      <c r="W768" s="7">
        <v>1.1317098000000001</v>
      </c>
      <c r="X768" s="7">
        <v>1.0642182</v>
      </c>
      <c r="Y768" s="7">
        <v>1.0583875</v>
      </c>
      <c r="Z768" s="7">
        <v>1.1128956999999999</v>
      </c>
      <c r="AA768" s="7">
        <v>1.1731533000000001</v>
      </c>
      <c r="AB768" s="7">
        <v>1.172201</v>
      </c>
      <c r="AC768" s="7">
        <v>1.1718189999999999</v>
      </c>
      <c r="AD768" s="7">
        <v>1.1713633000000001</v>
      </c>
      <c r="AE768" s="7">
        <v>1.8486718</v>
      </c>
      <c r="AF768" s="7">
        <v>1.9380999000000001</v>
      </c>
      <c r="AG768" s="7">
        <v>2.1191827999999999</v>
      </c>
      <c r="AH768" s="7">
        <v>2.1161107000000001</v>
      </c>
      <c r="AI768" s="7">
        <v>2.0180851</v>
      </c>
      <c r="AJ768" s="7">
        <v>2.0164217999999998</v>
      </c>
      <c r="AK768" s="7">
        <v>2.4242374</v>
      </c>
      <c r="AL768" s="7">
        <v>2.3308456</v>
      </c>
      <c r="AM768" s="7">
        <v>2.3311837</v>
      </c>
      <c r="AN768" s="7">
        <v>2.4286878000000001</v>
      </c>
      <c r="AO768" s="7">
        <v>2.8487037000000002</v>
      </c>
      <c r="AP768" s="7">
        <v>2.8495021</v>
      </c>
      <c r="AQ768" s="7">
        <v>2.8480886000000001</v>
      </c>
      <c r="AR768" s="7">
        <v>2.6776534000000001</v>
      </c>
      <c r="AS768" s="7">
        <v>2.674102</v>
      </c>
      <c r="AT768" s="7">
        <v>9.673</v>
      </c>
    </row>
    <row r="769" spans="1:46" x14ac:dyDescent="0.25">
      <c r="A769" s="4" t="s">
        <v>196</v>
      </c>
      <c r="B769" s="4" t="s">
        <v>207</v>
      </c>
      <c r="C769" s="4" t="s">
        <v>246</v>
      </c>
      <c r="D769" s="4" t="s">
        <v>254</v>
      </c>
      <c r="E769" s="4" t="s">
        <v>258</v>
      </c>
      <c r="F769" s="4" t="s">
        <v>203</v>
      </c>
      <c r="G769" s="4" t="s">
        <v>93</v>
      </c>
      <c r="H769" s="4" t="s">
        <v>252</v>
      </c>
      <c r="I769" s="16">
        <v>0.114</v>
      </c>
      <c r="J769" s="16">
        <v>0.11</v>
      </c>
      <c r="K769" s="16">
        <v>6.4000000000000001E-2</v>
      </c>
      <c r="L769" s="16">
        <v>8.7999999999999995E-2</v>
      </c>
      <c r="M769" s="16">
        <v>0.11700000000000001</v>
      </c>
      <c r="N769" s="16">
        <v>8.8999999999999996E-2</v>
      </c>
      <c r="O769" s="16">
        <v>0.32600000000000001</v>
      </c>
      <c r="P769" s="16">
        <v>0.35099999999999998</v>
      </c>
      <c r="Q769" s="16">
        <v>0.41499999999999998</v>
      </c>
      <c r="R769" s="16">
        <v>0.13</v>
      </c>
      <c r="S769" s="16">
        <v>0.128</v>
      </c>
      <c r="T769" s="16">
        <v>0.20899999999999999</v>
      </c>
      <c r="U769" s="16">
        <v>0.128</v>
      </c>
      <c r="V769" s="16">
        <v>0.123</v>
      </c>
      <c r="W769" s="16">
        <v>0.14299999999999999</v>
      </c>
      <c r="X769" s="16">
        <v>0.1</v>
      </c>
      <c r="Y769" s="16">
        <v>9.8000000000000004E-2</v>
      </c>
      <c r="Z769" s="16">
        <v>6.7000000000000004E-2</v>
      </c>
      <c r="AA769" s="16">
        <v>0.111</v>
      </c>
      <c r="AB769" s="16">
        <v>0.113</v>
      </c>
      <c r="AC769" s="16">
        <v>0.114</v>
      </c>
      <c r="AD769" s="16">
        <v>7.9000000000000001E-2</v>
      </c>
      <c r="AE769" s="16">
        <v>0.13600000000000001</v>
      </c>
      <c r="AF769" s="16">
        <v>0.16</v>
      </c>
      <c r="AG769" s="16">
        <v>0.17100000000000001</v>
      </c>
      <c r="AH769" s="16">
        <v>6.8000000000000005E-2</v>
      </c>
      <c r="AI769" s="16">
        <v>5.8000000000000003E-2</v>
      </c>
      <c r="AJ769" s="16">
        <v>5.8000000000000003E-2</v>
      </c>
      <c r="AK769" s="16">
        <v>0.2</v>
      </c>
      <c r="AL769" s="16">
        <v>0.17</v>
      </c>
      <c r="AM769" s="16">
        <v>0.33500000000000002</v>
      </c>
      <c r="AN769" s="16">
        <v>0.255</v>
      </c>
      <c r="AO769" s="16">
        <v>0.35</v>
      </c>
      <c r="AP769" s="16">
        <v>0.33800000000000002</v>
      </c>
      <c r="AQ769" s="16">
        <v>0.32100000000000001</v>
      </c>
      <c r="AR769" s="16">
        <v>0.23400000000000001</v>
      </c>
      <c r="AS769" s="16">
        <v>0.26200000000000001</v>
      </c>
      <c r="AT769" s="7">
        <v>2.674102</v>
      </c>
    </row>
    <row r="770" spans="1:46" x14ac:dyDescent="0.25">
      <c r="A770" s="4" t="s">
        <v>196</v>
      </c>
      <c r="B770" s="4" t="s">
        <v>207</v>
      </c>
      <c r="C770" s="4" t="s">
        <v>246</v>
      </c>
      <c r="D770" s="4" t="s">
        <v>254</v>
      </c>
      <c r="E770" s="4" t="s">
        <v>258</v>
      </c>
      <c r="F770" s="4" t="s">
        <v>195</v>
      </c>
      <c r="G770" s="4" t="s">
        <v>93</v>
      </c>
      <c r="H770" s="4" t="s">
        <v>151</v>
      </c>
      <c r="I770" s="5">
        <v>0</v>
      </c>
      <c r="J770" s="5">
        <v>12.555999999999999</v>
      </c>
      <c r="K770" s="5">
        <v>12.555999999999999</v>
      </c>
      <c r="L770" s="5">
        <v>11.272</v>
      </c>
      <c r="M770" s="5">
        <v>11.272</v>
      </c>
      <c r="N770" s="5">
        <v>21.870999999999999</v>
      </c>
      <c r="O770" s="5">
        <v>35.319000000000003</v>
      </c>
      <c r="P770" s="5">
        <v>34.683</v>
      </c>
      <c r="Q770" s="5">
        <v>52.56</v>
      </c>
      <c r="R770" s="5">
        <v>30.251000000000001</v>
      </c>
      <c r="S770" s="5">
        <v>19.143000000000001</v>
      </c>
      <c r="T770" s="5">
        <v>21.664000000000001</v>
      </c>
      <c r="U770" s="5">
        <v>50.146000000000001</v>
      </c>
      <c r="V770" s="5">
        <v>77.277000000000001</v>
      </c>
      <c r="W770" s="5">
        <v>222.37200000000001</v>
      </c>
      <c r="X770" s="5">
        <v>428.58100000000002</v>
      </c>
      <c r="Y770" s="5">
        <v>503.01299999999998</v>
      </c>
      <c r="Z770" s="5">
        <v>539.91200000000003</v>
      </c>
      <c r="AA770" s="5">
        <v>517.42600000000004</v>
      </c>
      <c r="AB770" s="5">
        <v>302.69499999999999</v>
      </c>
      <c r="AC770" s="5">
        <v>188.101</v>
      </c>
      <c r="AD770" s="5">
        <v>229.25800000000001</v>
      </c>
      <c r="AE770" s="5">
        <v>199.79</v>
      </c>
      <c r="AF770" s="5">
        <v>97.808999999999997</v>
      </c>
      <c r="AG770" s="5">
        <v>170.809</v>
      </c>
      <c r="AH770" s="5">
        <v>351.28100000000001</v>
      </c>
      <c r="AI770" s="5">
        <v>302.52</v>
      </c>
      <c r="AJ770" s="5">
        <v>487.79700000000003</v>
      </c>
      <c r="AK770" s="5">
        <v>560.47699999999998</v>
      </c>
      <c r="AL770" s="5">
        <v>418.64299999999997</v>
      </c>
      <c r="AM770" s="5">
        <v>493.82799999999997</v>
      </c>
      <c r="AN770" s="5">
        <v>388.37200000000001</v>
      </c>
      <c r="AO770" s="5">
        <v>364.49099999999999</v>
      </c>
      <c r="AP770" s="5">
        <v>201.78299999999999</v>
      </c>
      <c r="AQ770" s="5">
        <v>167.96799999999999</v>
      </c>
      <c r="AR770" s="5">
        <v>66.680999999999997</v>
      </c>
      <c r="AS770" s="5">
        <v>60.668999999999997</v>
      </c>
      <c r="AT770" s="5">
        <v>60.668999999999997</v>
      </c>
    </row>
    <row r="771" spans="1:46" x14ac:dyDescent="0.25">
      <c r="A771" s="4" t="s">
        <v>196</v>
      </c>
      <c r="B771" s="4" t="s">
        <v>207</v>
      </c>
      <c r="C771" s="4" t="s">
        <v>246</v>
      </c>
      <c r="D771" s="4" t="s">
        <v>254</v>
      </c>
      <c r="E771" s="4" t="s">
        <v>258</v>
      </c>
      <c r="F771" s="4" t="s">
        <v>195</v>
      </c>
      <c r="G771" s="4" t="s">
        <v>93</v>
      </c>
      <c r="H771" s="4" t="s">
        <v>205</v>
      </c>
      <c r="I771" s="6">
        <v>0</v>
      </c>
      <c r="J771" s="6">
        <v>2448.4549999999999</v>
      </c>
      <c r="K771" s="6">
        <v>2448.4549999999999</v>
      </c>
      <c r="L771" s="6">
        <v>2198.0410000000002</v>
      </c>
      <c r="M771" s="6">
        <v>2198.0410000000002</v>
      </c>
      <c r="N771" s="6">
        <v>4264.8850000000002</v>
      </c>
      <c r="O771" s="6">
        <v>7425.0659999999998</v>
      </c>
      <c r="P771" s="6">
        <v>7334.165</v>
      </c>
      <c r="Q771" s="6">
        <v>11668.982</v>
      </c>
      <c r="R771" s="6">
        <v>7307.6019999999999</v>
      </c>
      <c r="S771" s="6">
        <v>5206.7870000000003</v>
      </c>
      <c r="T771" s="6">
        <v>5955.5069999999996</v>
      </c>
      <c r="U771" s="6">
        <v>11533.52</v>
      </c>
      <c r="V771" s="6">
        <v>16238.25</v>
      </c>
      <c r="W771" s="6">
        <v>52594.949000000001</v>
      </c>
      <c r="X771" s="6">
        <v>105594.459</v>
      </c>
      <c r="Y771" s="6">
        <v>113921.841</v>
      </c>
      <c r="Z771" s="6">
        <v>130950.226</v>
      </c>
      <c r="AA771" s="6">
        <v>126432.9</v>
      </c>
      <c r="AB771" s="6">
        <v>73608.486999999994</v>
      </c>
      <c r="AC771" s="6">
        <v>38214.1</v>
      </c>
      <c r="AD771" s="6">
        <v>51975.321000000004</v>
      </c>
      <c r="AE771" s="6">
        <v>51070.218000000001</v>
      </c>
      <c r="AF771" s="6">
        <v>27152.761999999999</v>
      </c>
      <c r="AG771" s="6">
        <v>42067.652999999998</v>
      </c>
      <c r="AH771" s="6">
        <v>92975.377999999997</v>
      </c>
      <c r="AI771" s="6">
        <v>77881.119000000006</v>
      </c>
      <c r="AJ771" s="6">
        <v>122908.955</v>
      </c>
      <c r="AK771" s="6">
        <v>145758.16899999999</v>
      </c>
      <c r="AL771" s="6">
        <v>111040.57399999999</v>
      </c>
      <c r="AM771" s="6">
        <v>140951.79500000001</v>
      </c>
      <c r="AN771" s="6">
        <v>109833.732</v>
      </c>
      <c r="AO771" s="6">
        <v>103102.944</v>
      </c>
      <c r="AP771" s="6">
        <v>57484.120999999999</v>
      </c>
      <c r="AQ771" s="6">
        <v>48763.347999999998</v>
      </c>
      <c r="AR771" s="6">
        <v>19563.521000000001</v>
      </c>
      <c r="AS771" s="6">
        <v>16384.471000000001</v>
      </c>
      <c r="AT771" s="6">
        <v>16384.471000000001</v>
      </c>
    </row>
    <row r="772" spans="1:46" x14ac:dyDescent="0.25">
      <c r="A772" s="4" t="s">
        <v>196</v>
      </c>
      <c r="B772" s="4" t="s">
        <v>207</v>
      </c>
      <c r="C772" s="4" t="s">
        <v>246</v>
      </c>
      <c r="D772" s="4" t="s">
        <v>254</v>
      </c>
      <c r="E772" s="4" t="s">
        <v>258</v>
      </c>
      <c r="F772" s="4" t="s">
        <v>195</v>
      </c>
      <c r="G772" s="4" t="s">
        <v>93</v>
      </c>
      <c r="H772" s="4" t="s">
        <v>249</v>
      </c>
      <c r="I772" s="7">
        <v>0</v>
      </c>
      <c r="J772" s="7">
        <v>0.108</v>
      </c>
      <c r="K772" s="7">
        <v>7.0999999999999994E-2</v>
      </c>
      <c r="L772" s="7">
        <v>5.0999999999999997E-2</v>
      </c>
      <c r="M772" s="7">
        <v>3.4000000000000002E-2</v>
      </c>
      <c r="N772" s="7">
        <v>7.1999999999999995E-2</v>
      </c>
      <c r="O772" s="7">
        <v>0.14499999999999999</v>
      </c>
      <c r="P772" s="7">
        <v>0.21299999999999999</v>
      </c>
      <c r="Q772" s="7">
        <v>0.47099999999999997</v>
      </c>
      <c r="R772" s="7">
        <v>0.40200000000000002</v>
      </c>
      <c r="S772" s="7">
        <v>0.29499999999999998</v>
      </c>
      <c r="T772" s="7">
        <v>0.36499999999999999</v>
      </c>
      <c r="U772" s="7">
        <v>0.68400000000000005</v>
      </c>
      <c r="V772" s="7">
        <v>0.85599999999999998</v>
      </c>
      <c r="W772" s="7">
        <v>1.4279999999999999</v>
      </c>
      <c r="X772" s="7">
        <v>1.704</v>
      </c>
      <c r="Y772" s="7">
        <v>1.7569999999999999</v>
      </c>
      <c r="Z772" s="7">
        <v>1.9710000000000001</v>
      </c>
      <c r="AA772" s="7">
        <v>1.879</v>
      </c>
      <c r="AB772" s="7">
        <v>1.5349999999999999</v>
      </c>
      <c r="AC772" s="7">
        <v>1.2410000000000001</v>
      </c>
      <c r="AD772" s="7">
        <v>2.1280000000000001</v>
      </c>
      <c r="AE772" s="7">
        <v>2.2090000000000001</v>
      </c>
      <c r="AF772" s="7">
        <v>1.325</v>
      </c>
      <c r="AG772" s="7">
        <v>2.2589999999999999</v>
      </c>
      <c r="AH772" s="7">
        <v>3.6</v>
      </c>
      <c r="AI772" s="7">
        <v>2.1890000000000001</v>
      </c>
      <c r="AJ772" s="7">
        <v>1.8009999999999999</v>
      </c>
      <c r="AK772" s="7">
        <v>1.252</v>
      </c>
      <c r="AL772" s="7">
        <v>1.0940000000000001</v>
      </c>
      <c r="AM772" s="7">
        <v>0.91500000000000004</v>
      </c>
      <c r="AN772" s="7">
        <v>0.63100000000000001</v>
      </c>
      <c r="AO772" s="7">
        <v>0.95899999999999996</v>
      </c>
      <c r="AP772" s="7">
        <v>1.0609999999999999</v>
      </c>
      <c r="AQ772" s="7">
        <v>1.4490000000000001</v>
      </c>
      <c r="AR772" s="7">
        <v>0.873</v>
      </c>
      <c r="AS772" s="7">
        <v>0.84299999999999997</v>
      </c>
      <c r="AT772" s="7">
        <v>0.12</v>
      </c>
    </row>
    <row r="773" spans="1:46" x14ac:dyDescent="0.25">
      <c r="A773" s="4" t="s">
        <v>196</v>
      </c>
      <c r="B773" s="4" t="s">
        <v>207</v>
      </c>
      <c r="C773" s="4" t="s">
        <v>246</v>
      </c>
      <c r="D773" s="4" t="s">
        <v>254</v>
      </c>
      <c r="E773" s="4" t="s">
        <v>258</v>
      </c>
      <c r="F773" s="4" t="s">
        <v>195</v>
      </c>
      <c r="G773" s="4" t="s">
        <v>93</v>
      </c>
      <c r="H773" s="4" t="s">
        <v>250</v>
      </c>
      <c r="I773" s="7">
        <v>6.1289999999999996</v>
      </c>
      <c r="J773" s="7">
        <v>1.6579999999999999</v>
      </c>
      <c r="K773" s="7">
        <v>1.083</v>
      </c>
      <c r="L773" s="7">
        <v>1.5880000000000001</v>
      </c>
      <c r="M773" s="7">
        <v>1.2110000000000001</v>
      </c>
      <c r="N773" s="7">
        <v>2.0129999999999999</v>
      </c>
      <c r="O773" s="7">
        <v>2.6619999999999999</v>
      </c>
      <c r="P773" s="7">
        <v>2.4380000000000002</v>
      </c>
      <c r="Q773" s="7">
        <v>3.774</v>
      </c>
      <c r="R773" s="7">
        <v>1.879</v>
      </c>
      <c r="S773" s="7">
        <v>2.1139999999999999</v>
      </c>
      <c r="T773" s="7">
        <v>2.7909999999999999</v>
      </c>
      <c r="U773" s="7">
        <v>8.5129999999999999</v>
      </c>
      <c r="V773" s="7">
        <v>15.771000000000001</v>
      </c>
      <c r="W773" s="7">
        <v>35.600999999999999</v>
      </c>
      <c r="X773" s="7">
        <v>44.45</v>
      </c>
      <c r="Y773" s="7">
        <v>46.173999999999999</v>
      </c>
      <c r="Z773" s="7">
        <v>43.27</v>
      </c>
      <c r="AA773" s="7">
        <v>43.503</v>
      </c>
      <c r="AB773" s="7">
        <v>35.130000000000003</v>
      </c>
      <c r="AC773" s="7">
        <v>32.274000000000001</v>
      </c>
      <c r="AD773" s="7">
        <v>29.93</v>
      </c>
      <c r="AE773" s="7">
        <v>26.757999999999999</v>
      </c>
      <c r="AF773" s="7">
        <v>22.545999999999999</v>
      </c>
      <c r="AG773" s="7">
        <v>28.44</v>
      </c>
      <c r="AH773" s="7">
        <v>32.844000000000001</v>
      </c>
      <c r="AI773" s="7">
        <v>43.7</v>
      </c>
      <c r="AJ773" s="7">
        <v>46.335999999999999</v>
      </c>
      <c r="AK773" s="7">
        <v>46.109000000000002</v>
      </c>
      <c r="AL773" s="7">
        <v>30.692</v>
      </c>
      <c r="AM773" s="7">
        <v>25.434999999999999</v>
      </c>
      <c r="AN773" s="7">
        <v>20.853999999999999</v>
      </c>
      <c r="AO773" s="7">
        <v>23.934000000000001</v>
      </c>
      <c r="AP773" s="7">
        <v>24.687000000000001</v>
      </c>
      <c r="AQ773" s="7">
        <v>22.369</v>
      </c>
      <c r="AR773" s="7">
        <v>26.925999999999998</v>
      </c>
      <c r="AS773" s="7">
        <v>19.056999999999999</v>
      </c>
      <c r="AT773" s="5">
        <v>302.67399999999998</v>
      </c>
    </row>
    <row r="774" spans="1:46" x14ac:dyDescent="0.25">
      <c r="A774" s="4" t="s">
        <v>196</v>
      </c>
      <c r="B774" s="4" t="s">
        <v>207</v>
      </c>
      <c r="C774" s="4" t="s">
        <v>246</v>
      </c>
      <c r="D774" s="4" t="s">
        <v>254</v>
      </c>
      <c r="E774" s="4" t="s">
        <v>258</v>
      </c>
      <c r="F774" s="4" t="s">
        <v>195</v>
      </c>
      <c r="G774" s="4" t="s">
        <v>93</v>
      </c>
      <c r="H774" s="4" t="s">
        <v>251</v>
      </c>
      <c r="I774" s="7">
        <v>1.6261269</v>
      </c>
      <c r="J774" s="7">
        <v>1.6226178</v>
      </c>
      <c r="K774" s="7">
        <v>1.6188555</v>
      </c>
      <c r="L774" s="7">
        <v>1.6008249999999999</v>
      </c>
      <c r="M774" s="7">
        <v>1.5959695</v>
      </c>
      <c r="N774" s="7">
        <v>1.5939568</v>
      </c>
      <c r="O774" s="7">
        <v>1.5939607</v>
      </c>
      <c r="P774" s="7">
        <v>1.5939568</v>
      </c>
      <c r="Q774" s="7">
        <v>2.2073383</v>
      </c>
      <c r="R774" s="7">
        <v>1.9226717</v>
      </c>
      <c r="S774" s="7">
        <v>1.7949219000000001</v>
      </c>
      <c r="T774" s="7">
        <v>2.3556721999999999</v>
      </c>
      <c r="U774" s="7">
        <v>2.9194445999999998</v>
      </c>
      <c r="V774" s="7">
        <v>5.1717846999999999</v>
      </c>
      <c r="W774" s="7">
        <v>12.5309895</v>
      </c>
      <c r="X774" s="7">
        <v>15.1860757</v>
      </c>
      <c r="Y774" s="7">
        <v>17.7361662</v>
      </c>
      <c r="Z774" s="7">
        <v>17.760559300000001</v>
      </c>
      <c r="AA774" s="7">
        <v>21.5418658</v>
      </c>
      <c r="AB774" s="7">
        <v>19.735123999999999</v>
      </c>
      <c r="AC774" s="7">
        <v>18.452170800000001</v>
      </c>
      <c r="AD774" s="7">
        <v>16.714084700000001</v>
      </c>
      <c r="AE774" s="7">
        <v>16.798608000000002</v>
      </c>
      <c r="AF774" s="7">
        <v>13.838486100000001</v>
      </c>
      <c r="AG774" s="7">
        <v>15.5725111</v>
      </c>
      <c r="AH774" s="7">
        <v>17.048022</v>
      </c>
      <c r="AI774" s="7">
        <v>18.491809400000001</v>
      </c>
      <c r="AJ774" s="7">
        <v>18.633473899999998</v>
      </c>
      <c r="AK774" s="7">
        <v>21.418928699999999</v>
      </c>
      <c r="AL774" s="7">
        <v>18.328350700000001</v>
      </c>
      <c r="AM774" s="7">
        <v>15.1082985</v>
      </c>
      <c r="AN774" s="7">
        <v>16.126345499999999</v>
      </c>
      <c r="AO774" s="7">
        <v>12.4012232</v>
      </c>
      <c r="AP774" s="7">
        <v>10.628776800000001</v>
      </c>
      <c r="AQ774" s="7">
        <v>10.6235041</v>
      </c>
      <c r="AR774" s="7">
        <v>11.2172859</v>
      </c>
      <c r="AS774" s="7">
        <v>11.266491200000001</v>
      </c>
      <c r="AT774" s="7">
        <v>19.056999999999999</v>
      </c>
    </row>
    <row r="775" spans="1:46" x14ac:dyDescent="0.25">
      <c r="A775" s="4" t="s">
        <v>196</v>
      </c>
      <c r="B775" s="4" t="s">
        <v>207</v>
      </c>
      <c r="C775" s="4" t="s">
        <v>246</v>
      </c>
      <c r="D775" s="4" t="s">
        <v>254</v>
      </c>
      <c r="E775" s="4" t="s">
        <v>258</v>
      </c>
      <c r="F775" s="4" t="s">
        <v>195</v>
      </c>
      <c r="G775" s="4" t="s">
        <v>93</v>
      </c>
      <c r="H775" s="4" t="s">
        <v>252</v>
      </c>
      <c r="I775" s="16">
        <v>7.8E-2</v>
      </c>
      <c r="J775" s="16">
        <v>7.5999999999999998E-2</v>
      </c>
      <c r="K775" s="16">
        <v>6.7000000000000004E-2</v>
      </c>
      <c r="L775" s="16">
        <v>6.5000000000000002E-2</v>
      </c>
      <c r="M775" s="16">
        <v>6.5000000000000002E-2</v>
      </c>
      <c r="N775" s="16">
        <v>0.13400000000000001</v>
      </c>
      <c r="O775" s="16">
        <v>0.111</v>
      </c>
      <c r="P775" s="16">
        <v>0.106</v>
      </c>
      <c r="Q775" s="16">
        <v>3.5999999999999997E-2</v>
      </c>
      <c r="R775" s="16">
        <v>1.9E-2</v>
      </c>
      <c r="S775" s="16">
        <v>1.9E-2</v>
      </c>
      <c r="T775" s="16">
        <v>1.7999999999999999E-2</v>
      </c>
      <c r="U775" s="17">
        <v>0</v>
      </c>
      <c r="V775" s="16">
        <v>0.39900000000000002</v>
      </c>
      <c r="W775" s="16">
        <v>0.90800000000000003</v>
      </c>
      <c r="X775" s="16">
        <v>0.65600000000000003</v>
      </c>
      <c r="Y775" s="16">
        <v>0.68799999999999994</v>
      </c>
      <c r="Z775" s="16">
        <v>0.54400000000000004</v>
      </c>
      <c r="AA775" s="16">
        <v>0.64700000000000002</v>
      </c>
      <c r="AB775" s="16">
        <v>0.63200000000000001</v>
      </c>
      <c r="AC775" s="16">
        <v>0.56999999999999995</v>
      </c>
      <c r="AD775" s="16">
        <v>0.47699999999999998</v>
      </c>
      <c r="AE775" s="16">
        <v>0.66700000000000004</v>
      </c>
      <c r="AF775" s="16">
        <v>0.66200000000000003</v>
      </c>
      <c r="AG775" s="16">
        <v>0.876</v>
      </c>
      <c r="AH775" s="16">
        <v>0.52400000000000002</v>
      </c>
      <c r="AI775" s="16">
        <v>0.62</v>
      </c>
      <c r="AJ775" s="16">
        <v>0.55300000000000005</v>
      </c>
      <c r="AK775" s="16">
        <v>0.68700000000000006</v>
      </c>
      <c r="AL775" s="16">
        <v>0.58799999999999997</v>
      </c>
      <c r="AM775" s="16">
        <v>0.60599999999999998</v>
      </c>
      <c r="AN775" s="16">
        <v>0.72599999999999998</v>
      </c>
      <c r="AO775" s="16">
        <v>0.52100000000000002</v>
      </c>
      <c r="AP775" s="16">
        <v>0.497</v>
      </c>
      <c r="AQ775" s="16">
        <v>0.40400000000000003</v>
      </c>
      <c r="AR775" s="16">
        <v>0.60799999999999998</v>
      </c>
      <c r="AS775" s="16">
        <v>0.53500000000000003</v>
      </c>
      <c r="AT775" s="7">
        <v>11.266491200000001</v>
      </c>
    </row>
    <row r="776" spans="1:46" x14ac:dyDescent="0.25">
      <c r="A776" s="4" t="s">
        <v>196</v>
      </c>
      <c r="B776" s="4" t="s">
        <v>207</v>
      </c>
      <c r="C776" s="4" t="s">
        <v>246</v>
      </c>
      <c r="D776" s="4" t="s">
        <v>259</v>
      </c>
      <c r="E776" s="4" t="s">
        <v>248</v>
      </c>
      <c r="F776" s="4" t="s">
        <v>203</v>
      </c>
      <c r="G776" s="4" t="s">
        <v>93</v>
      </c>
      <c r="H776" s="4" t="s">
        <v>151</v>
      </c>
      <c r="I776" s="5">
        <v>309.18700000000001</v>
      </c>
      <c r="J776" s="5">
        <v>401.25299999999999</v>
      </c>
      <c r="K776" s="5">
        <v>519.48299999999995</v>
      </c>
      <c r="L776" s="5">
        <v>639.79200000000003</v>
      </c>
      <c r="M776" s="5">
        <v>384.99599999999998</v>
      </c>
      <c r="N776" s="5">
        <v>579.44600000000003</v>
      </c>
      <c r="O776" s="5">
        <v>620.53099999999995</v>
      </c>
      <c r="P776" s="5">
        <v>390.72500000000002</v>
      </c>
      <c r="Q776" s="5">
        <v>508.34399999999999</v>
      </c>
      <c r="R776" s="5">
        <v>532.99900000000002</v>
      </c>
      <c r="S776" s="5">
        <v>443.99099999999999</v>
      </c>
      <c r="T776" s="5">
        <v>329.83800000000002</v>
      </c>
      <c r="U776" s="5">
        <v>357.31200000000001</v>
      </c>
      <c r="V776" s="5">
        <v>386.53699999999998</v>
      </c>
      <c r="W776" s="5">
        <v>323.298</v>
      </c>
      <c r="X776" s="5">
        <v>342.911</v>
      </c>
      <c r="Y776" s="5">
        <v>877.36500000000001</v>
      </c>
      <c r="Z776" s="5">
        <v>682.43200000000002</v>
      </c>
      <c r="AA776" s="5">
        <v>642.16899999999998</v>
      </c>
      <c r="AB776" s="5">
        <v>532.27599999999995</v>
      </c>
      <c r="AC776" s="5">
        <v>493.19299999999998</v>
      </c>
      <c r="AD776" s="5">
        <v>382.24799999999999</v>
      </c>
      <c r="AE776" s="5">
        <v>401.983</v>
      </c>
      <c r="AF776" s="5">
        <v>327.971</v>
      </c>
      <c r="AG776" s="5">
        <v>221.845</v>
      </c>
      <c r="AH776" s="5">
        <v>153.459</v>
      </c>
      <c r="AI776" s="5">
        <v>171.57</v>
      </c>
      <c r="AJ776" s="5">
        <v>231.91800000000001</v>
      </c>
      <c r="AK776" s="5">
        <v>254.02500000000001</v>
      </c>
      <c r="AL776" s="5">
        <v>350.81900000000002</v>
      </c>
      <c r="AM776" s="5">
        <v>380.01100000000002</v>
      </c>
      <c r="AN776" s="5">
        <v>583.58500000000004</v>
      </c>
      <c r="AO776" s="5">
        <v>319.59399999999999</v>
      </c>
      <c r="AP776" s="5">
        <v>207.74199999999999</v>
      </c>
      <c r="AQ776" s="5">
        <v>156.995</v>
      </c>
      <c r="AR776" s="5">
        <v>84.483000000000004</v>
      </c>
      <c r="AS776" s="5">
        <v>40.162999999999997</v>
      </c>
      <c r="AT776" s="5">
        <v>40.162999999999997</v>
      </c>
    </row>
    <row r="777" spans="1:46" x14ac:dyDescent="0.25">
      <c r="A777" s="4" t="s">
        <v>196</v>
      </c>
      <c r="B777" s="4" t="s">
        <v>207</v>
      </c>
      <c r="C777" s="4" t="s">
        <v>246</v>
      </c>
      <c r="D777" s="4" t="s">
        <v>259</v>
      </c>
      <c r="E777" s="4" t="s">
        <v>248</v>
      </c>
      <c r="F777" s="4" t="s">
        <v>203</v>
      </c>
      <c r="G777" s="4" t="s">
        <v>93</v>
      </c>
      <c r="H777" s="4" t="s">
        <v>205</v>
      </c>
      <c r="I777" s="6">
        <v>28140.522000000001</v>
      </c>
      <c r="J777" s="6">
        <v>52587.851000000002</v>
      </c>
      <c r="K777" s="6">
        <v>59089.440999999999</v>
      </c>
      <c r="L777" s="6">
        <v>84112.187000000005</v>
      </c>
      <c r="M777" s="6">
        <v>50920.525999999998</v>
      </c>
      <c r="N777" s="6">
        <v>66037.05</v>
      </c>
      <c r="O777" s="6">
        <v>71533.149999999994</v>
      </c>
      <c r="P777" s="6">
        <v>46692.733999999997</v>
      </c>
      <c r="Q777" s="6">
        <v>56134.235000000001</v>
      </c>
      <c r="R777" s="6">
        <v>56691.368999999999</v>
      </c>
      <c r="S777" s="6">
        <v>47971.055999999997</v>
      </c>
      <c r="T777" s="6">
        <v>36037.21</v>
      </c>
      <c r="U777" s="6">
        <v>37552.480000000003</v>
      </c>
      <c r="V777" s="6">
        <v>41346.06</v>
      </c>
      <c r="W777" s="6">
        <v>34674.519999999997</v>
      </c>
      <c r="X777" s="6">
        <v>37602.548999999999</v>
      </c>
      <c r="Y777" s="6">
        <v>87044.585000000006</v>
      </c>
      <c r="Z777" s="6">
        <v>65114.817999999999</v>
      </c>
      <c r="AA777" s="6">
        <v>64932.582999999999</v>
      </c>
      <c r="AB777" s="6">
        <v>66960.851999999999</v>
      </c>
      <c r="AC777" s="6">
        <v>61673.303999999996</v>
      </c>
      <c r="AD777" s="6">
        <v>44659.010999999999</v>
      </c>
      <c r="AE777" s="6">
        <v>46915.328999999998</v>
      </c>
      <c r="AF777" s="6">
        <v>38064.373</v>
      </c>
      <c r="AG777" s="6">
        <v>25255.59</v>
      </c>
      <c r="AH777" s="6">
        <v>16754.228999999999</v>
      </c>
      <c r="AI777" s="6">
        <v>19438.868999999999</v>
      </c>
      <c r="AJ777" s="6">
        <v>23327.221000000001</v>
      </c>
      <c r="AK777" s="6">
        <v>29856.69</v>
      </c>
      <c r="AL777" s="6">
        <v>40929.955999999998</v>
      </c>
      <c r="AM777" s="6">
        <v>45566.784</v>
      </c>
      <c r="AN777" s="6">
        <v>82668.498999999996</v>
      </c>
      <c r="AO777" s="6">
        <v>45498.607000000004</v>
      </c>
      <c r="AP777" s="6">
        <v>29972.848000000002</v>
      </c>
      <c r="AQ777" s="6">
        <v>24336.096000000001</v>
      </c>
      <c r="AR777" s="6">
        <v>11252.268</v>
      </c>
      <c r="AS777" s="6">
        <v>4380.2139999999999</v>
      </c>
      <c r="AT777" s="6">
        <v>4380.2139999999999</v>
      </c>
    </row>
    <row r="778" spans="1:46" x14ac:dyDescent="0.25">
      <c r="A778" s="4" t="s">
        <v>196</v>
      </c>
      <c r="B778" s="4" t="s">
        <v>207</v>
      </c>
      <c r="C778" s="4" t="s">
        <v>246</v>
      </c>
      <c r="D778" s="4" t="s">
        <v>259</v>
      </c>
      <c r="E778" s="4" t="s">
        <v>248</v>
      </c>
      <c r="F778" s="4" t="s">
        <v>203</v>
      </c>
      <c r="G778" s="4" t="s">
        <v>93</v>
      </c>
      <c r="H778" s="4" t="s">
        <v>249</v>
      </c>
      <c r="I778" s="7">
        <v>3.9159999999999999</v>
      </c>
      <c r="J778" s="7">
        <v>3.1440000000000001</v>
      </c>
      <c r="K778" s="7">
        <v>2.6589999999999998</v>
      </c>
      <c r="L778" s="7">
        <v>2.657</v>
      </c>
      <c r="M778" s="7">
        <v>1.0780000000000001</v>
      </c>
      <c r="N778" s="7">
        <v>1.621</v>
      </c>
      <c r="O778" s="7">
        <v>2.1549999999999998</v>
      </c>
      <c r="P778" s="7">
        <v>2.0099999999999998</v>
      </c>
      <c r="Q778" s="7">
        <v>3.8319999999999999</v>
      </c>
      <c r="R778" s="7">
        <v>6.0010000000000003</v>
      </c>
      <c r="S778" s="7">
        <v>5.9080000000000004</v>
      </c>
      <c r="T778" s="7">
        <v>4.7309999999999999</v>
      </c>
      <c r="U778" s="7">
        <v>4.0640000000000001</v>
      </c>
      <c r="V778" s="7">
        <v>3.5670000000000002</v>
      </c>
      <c r="W778" s="7">
        <v>1.742</v>
      </c>
      <c r="X778" s="7">
        <v>1.1359999999999999</v>
      </c>
      <c r="Y778" s="7">
        <v>2.5539999999999998</v>
      </c>
      <c r="Z778" s="7">
        <v>2.0859999999999999</v>
      </c>
      <c r="AA778" s="7">
        <v>1.944</v>
      </c>
      <c r="AB778" s="7">
        <v>2.2650000000000001</v>
      </c>
      <c r="AC778" s="7">
        <v>2.73</v>
      </c>
      <c r="AD778" s="7">
        <v>2.9870000000000001</v>
      </c>
      <c r="AE778" s="7">
        <v>3.7040000000000002</v>
      </c>
      <c r="AF778" s="7">
        <v>3.7029999999999998</v>
      </c>
      <c r="AG778" s="7">
        <v>2.444</v>
      </c>
      <c r="AH778" s="7">
        <v>1.339</v>
      </c>
      <c r="AI778" s="7">
        <v>1.0740000000000001</v>
      </c>
      <c r="AJ778" s="7">
        <v>0.71199999999999997</v>
      </c>
      <c r="AK778" s="7">
        <v>0.498</v>
      </c>
      <c r="AL778" s="7">
        <v>0.77900000000000003</v>
      </c>
      <c r="AM778" s="7">
        <v>0.57799999999999996</v>
      </c>
      <c r="AN778" s="7">
        <v>0.78500000000000003</v>
      </c>
      <c r="AO778" s="7">
        <v>0.69499999999999995</v>
      </c>
      <c r="AP778" s="7">
        <v>0.91100000000000003</v>
      </c>
      <c r="AQ778" s="7">
        <v>1.127</v>
      </c>
      <c r="AR778" s="7">
        <v>0.92</v>
      </c>
      <c r="AS778" s="7">
        <v>0.46500000000000002</v>
      </c>
      <c r="AT778" s="7">
        <v>7.9000000000000001E-2</v>
      </c>
    </row>
    <row r="779" spans="1:46" x14ac:dyDescent="0.25">
      <c r="A779" s="4" t="s">
        <v>196</v>
      </c>
      <c r="B779" s="4" t="s">
        <v>207</v>
      </c>
      <c r="C779" s="4" t="s">
        <v>246</v>
      </c>
      <c r="D779" s="4" t="s">
        <v>259</v>
      </c>
      <c r="E779" s="4" t="s">
        <v>248</v>
      </c>
      <c r="F779" s="4" t="s">
        <v>203</v>
      </c>
      <c r="G779" s="4" t="s">
        <v>93</v>
      </c>
      <c r="H779" s="4" t="s">
        <v>250</v>
      </c>
      <c r="I779" s="7">
        <v>24.690999999999999</v>
      </c>
      <c r="J779" s="7">
        <v>15.44</v>
      </c>
      <c r="K779" s="7">
        <v>19.140999999999998</v>
      </c>
      <c r="L779" s="7">
        <v>17.774000000000001</v>
      </c>
      <c r="M779" s="7">
        <v>13.151999999999999</v>
      </c>
      <c r="N779" s="7">
        <v>15.249000000000001</v>
      </c>
      <c r="O779" s="7">
        <v>18.146999999999998</v>
      </c>
      <c r="P779" s="7">
        <v>24.006</v>
      </c>
      <c r="Q779" s="7">
        <v>28.867000000000001</v>
      </c>
      <c r="R779" s="7">
        <v>37.164999999999999</v>
      </c>
      <c r="S779" s="7">
        <v>32.460999999999999</v>
      </c>
      <c r="T779" s="7">
        <v>30.19</v>
      </c>
      <c r="U779" s="7">
        <v>19.669</v>
      </c>
      <c r="V779" s="7">
        <v>15.422000000000001</v>
      </c>
      <c r="W779" s="7">
        <v>10.128</v>
      </c>
      <c r="X779" s="7">
        <v>11.632</v>
      </c>
      <c r="Y779" s="7">
        <v>14.428000000000001</v>
      </c>
      <c r="Z779" s="7">
        <v>18.535</v>
      </c>
      <c r="AA779" s="7">
        <v>15.601000000000001</v>
      </c>
      <c r="AB779" s="7">
        <v>19.591000000000001</v>
      </c>
      <c r="AC779" s="7">
        <v>24.856000000000002</v>
      </c>
      <c r="AD779" s="7">
        <v>25.297999999999998</v>
      </c>
      <c r="AE779" s="7">
        <v>30.684000000000001</v>
      </c>
      <c r="AF779" s="7">
        <v>26.300999999999998</v>
      </c>
      <c r="AG779" s="7">
        <v>24.093</v>
      </c>
      <c r="AH779" s="7">
        <v>17.405000000000001</v>
      </c>
      <c r="AI779" s="7">
        <v>13.993</v>
      </c>
      <c r="AJ779" s="7">
        <v>8.6150000000000002</v>
      </c>
      <c r="AK779" s="7">
        <v>9.6379999999999999</v>
      </c>
      <c r="AL779" s="7">
        <v>12.491</v>
      </c>
      <c r="AM779" s="7">
        <v>11.122999999999999</v>
      </c>
      <c r="AN779" s="7">
        <v>11.849</v>
      </c>
      <c r="AO779" s="7">
        <v>17.035</v>
      </c>
      <c r="AP779" s="7">
        <v>17.866</v>
      </c>
      <c r="AQ779" s="7">
        <v>17.731000000000002</v>
      </c>
      <c r="AR779" s="7">
        <v>13.347</v>
      </c>
      <c r="AS779" s="7">
        <v>7.8120000000000003</v>
      </c>
      <c r="AT779" s="5">
        <v>558.69600000000003</v>
      </c>
    </row>
    <row r="780" spans="1:46" x14ac:dyDescent="0.25">
      <c r="A780" s="4" t="s">
        <v>196</v>
      </c>
      <c r="B780" s="4" t="s">
        <v>207</v>
      </c>
      <c r="C780" s="4" t="s">
        <v>246</v>
      </c>
      <c r="D780" s="4" t="s">
        <v>259</v>
      </c>
      <c r="E780" s="4" t="s">
        <v>248</v>
      </c>
      <c r="F780" s="4" t="s">
        <v>203</v>
      </c>
      <c r="G780" s="4" t="s">
        <v>93</v>
      </c>
      <c r="H780" s="4" t="s">
        <v>251</v>
      </c>
      <c r="I780" s="7">
        <v>12.122731099999999</v>
      </c>
      <c r="J780" s="7">
        <v>14.1608982</v>
      </c>
      <c r="K780" s="7">
        <v>16.9146337</v>
      </c>
      <c r="L780" s="7">
        <v>16.803178500000001</v>
      </c>
      <c r="M780" s="7">
        <v>16.6219082</v>
      </c>
      <c r="N780" s="7">
        <v>16.380873000000001</v>
      </c>
      <c r="O780" s="7">
        <v>16.299582900000001</v>
      </c>
      <c r="P780" s="7">
        <v>17.232183200000001</v>
      </c>
      <c r="Q780" s="7">
        <v>18.1244075</v>
      </c>
      <c r="R780" s="7">
        <v>16.230850700000001</v>
      </c>
      <c r="S780" s="7">
        <v>13.610564999999999</v>
      </c>
      <c r="T780" s="7">
        <v>13.916000800000001</v>
      </c>
      <c r="U780" s="7">
        <v>12.958337200000001</v>
      </c>
      <c r="V780" s="7">
        <v>11.6887686</v>
      </c>
      <c r="W780" s="7">
        <v>13.129642199999999</v>
      </c>
      <c r="X780" s="7">
        <v>12.0989506</v>
      </c>
      <c r="Y780" s="7">
        <v>13.572710600000001</v>
      </c>
      <c r="Z780" s="7">
        <v>15.3233184</v>
      </c>
      <c r="AA780" s="7">
        <v>14.653921</v>
      </c>
      <c r="AB780" s="7">
        <v>13.5379231</v>
      </c>
      <c r="AC780" s="7">
        <v>13.3314304</v>
      </c>
      <c r="AD780" s="7">
        <v>11.5662976</v>
      </c>
      <c r="AE780" s="7">
        <v>11.7835325</v>
      </c>
      <c r="AF780" s="7">
        <v>10.116687199999999</v>
      </c>
      <c r="AG780" s="7">
        <v>9.5705632999999999</v>
      </c>
      <c r="AH780" s="7">
        <v>10.750379499999999</v>
      </c>
      <c r="AI780" s="7">
        <v>12.2800031</v>
      </c>
      <c r="AJ780" s="7">
        <v>10.3411027</v>
      </c>
      <c r="AK780" s="7">
        <v>13.2447534</v>
      </c>
      <c r="AL780" s="7">
        <v>14.733944299999999</v>
      </c>
      <c r="AM780" s="7">
        <v>13.749878799999999</v>
      </c>
      <c r="AN780" s="7">
        <v>14.6913789</v>
      </c>
      <c r="AO780" s="7">
        <v>11.531900500000001</v>
      </c>
      <c r="AP780" s="7">
        <v>11.147172100000001</v>
      </c>
      <c r="AQ780" s="7">
        <v>11.141642300000001</v>
      </c>
      <c r="AR780" s="7">
        <v>11.4384693</v>
      </c>
      <c r="AS780" s="7">
        <v>10.040469</v>
      </c>
      <c r="AT780" s="7">
        <v>7.8120000000000003</v>
      </c>
    </row>
    <row r="781" spans="1:46" x14ac:dyDescent="0.25">
      <c r="A781" s="4" t="s">
        <v>196</v>
      </c>
      <c r="B781" s="4" t="s">
        <v>207</v>
      </c>
      <c r="C781" s="4" t="s">
        <v>246</v>
      </c>
      <c r="D781" s="4" t="s">
        <v>259</v>
      </c>
      <c r="E781" s="4" t="s">
        <v>248</v>
      </c>
      <c r="F781" s="4" t="s">
        <v>203</v>
      </c>
      <c r="G781" s="4" t="s">
        <v>93</v>
      </c>
      <c r="H781" s="4" t="s">
        <v>252</v>
      </c>
      <c r="I781" s="16">
        <v>1.8879999999999999</v>
      </c>
      <c r="J781" s="16">
        <v>2.1349999999999998</v>
      </c>
      <c r="K781" s="16">
        <v>2.0470000000000002</v>
      </c>
      <c r="L781" s="16">
        <v>1.851</v>
      </c>
      <c r="M781" s="16">
        <v>1.212</v>
      </c>
      <c r="N781" s="16">
        <v>1.1879999999999999</v>
      </c>
      <c r="O781" s="16">
        <v>1.569</v>
      </c>
      <c r="P781" s="16">
        <v>1.58</v>
      </c>
      <c r="Q781" s="16">
        <v>1.4830000000000001</v>
      </c>
      <c r="R781" s="16">
        <v>1.032</v>
      </c>
      <c r="S781" s="16">
        <v>0.91900000000000004</v>
      </c>
      <c r="T781" s="16">
        <v>0.83099999999999996</v>
      </c>
      <c r="U781" s="16">
        <v>0.73099999999999998</v>
      </c>
      <c r="V781" s="16">
        <v>1.125</v>
      </c>
      <c r="W781" s="16">
        <v>1.2609999999999999</v>
      </c>
      <c r="X781" s="16">
        <v>1.351</v>
      </c>
      <c r="Y781" s="16">
        <v>1.738</v>
      </c>
      <c r="Z781" s="16">
        <v>1.577</v>
      </c>
      <c r="AA781" s="16">
        <v>1.464</v>
      </c>
      <c r="AB781" s="16">
        <v>1.6659999999999999</v>
      </c>
      <c r="AC781" s="16">
        <v>1.498</v>
      </c>
      <c r="AD781" s="16">
        <v>0.86599999999999999</v>
      </c>
      <c r="AE781" s="16">
        <v>0.90700000000000003</v>
      </c>
      <c r="AF781" s="16">
        <v>0.79900000000000004</v>
      </c>
      <c r="AG781" s="16">
        <v>1.1299999999999999</v>
      </c>
      <c r="AH781" s="16">
        <v>1.365</v>
      </c>
      <c r="AI781" s="16">
        <v>1.407</v>
      </c>
      <c r="AJ781" s="16">
        <v>1.052</v>
      </c>
      <c r="AK781" s="16">
        <v>1.38</v>
      </c>
      <c r="AL781" s="16">
        <v>1.4039999999999999</v>
      </c>
      <c r="AM781" s="16">
        <v>1.17</v>
      </c>
      <c r="AN781" s="16">
        <v>1.323</v>
      </c>
      <c r="AO781" s="16">
        <v>0.876</v>
      </c>
      <c r="AP781" s="16">
        <v>0.82099999999999995</v>
      </c>
      <c r="AQ781" s="16">
        <v>1.071</v>
      </c>
      <c r="AR781" s="16">
        <v>0.72</v>
      </c>
      <c r="AS781" s="16">
        <v>1.1200000000000001</v>
      </c>
      <c r="AT781" s="7">
        <v>10.040469</v>
      </c>
    </row>
    <row r="782" spans="1:46" x14ac:dyDescent="0.25">
      <c r="A782" s="4" t="s">
        <v>196</v>
      </c>
      <c r="B782" s="4" t="s">
        <v>207</v>
      </c>
      <c r="C782" s="4" t="s">
        <v>246</v>
      </c>
      <c r="D782" s="4" t="s">
        <v>259</v>
      </c>
      <c r="E782" s="4" t="s">
        <v>248</v>
      </c>
      <c r="F782" s="4" t="s">
        <v>201</v>
      </c>
      <c r="G782" s="4" t="s">
        <v>93</v>
      </c>
      <c r="H782" s="4" t="s">
        <v>151</v>
      </c>
      <c r="I782" s="5">
        <v>607.07399999999996</v>
      </c>
      <c r="J782" s="5">
        <v>802.05700000000002</v>
      </c>
      <c r="K782" s="5">
        <v>1351.5840000000001</v>
      </c>
      <c r="L782" s="5">
        <v>1333.9639999999999</v>
      </c>
      <c r="M782" s="5">
        <v>1630.9290000000001</v>
      </c>
      <c r="N782" s="5">
        <v>1963.18</v>
      </c>
      <c r="O782" s="5">
        <v>1850.048</v>
      </c>
      <c r="P782" s="5">
        <v>1328.1859999999999</v>
      </c>
      <c r="Q782" s="5">
        <v>1095.846</v>
      </c>
      <c r="R782" s="5">
        <v>748.63800000000003</v>
      </c>
      <c r="S782" s="5">
        <v>548.56500000000005</v>
      </c>
      <c r="T782" s="5">
        <v>559.28200000000004</v>
      </c>
      <c r="U782" s="5">
        <v>551.505</v>
      </c>
      <c r="V782" s="5">
        <v>706.10299999999995</v>
      </c>
      <c r="W782" s="5">
        <v>995.745</v>
      </c>
      <c r="X782" s="5">
        <v>1478.3230000000001</v>
      </c>
      <c r="Y782" s="5">
        <v>1775.0740000000001</v>
      </c>
      <c r="Z782" s="5">
        <v>1567.8309999999999</v>
      </c>
      <c r="AA782" s="5">
        <v>1849.4639999999999</v>
      </c>
      <c r="AB782" s="5">
        <v>1542.001</v>
      </c>
      <c r="AC782" s="5">
        <v>1227.241</v>
      </c>
      <c r="AD782" s="5">
        <v>709.67899999999997</v>
      </c>
      <c r="AE782" s="5">
        <v>610.11300000000006</v>
      </c>
      <c r="AF782" s="5">
        <v>614.83100000000002</v>
      </c>
      <c r="AG782" s="5">
        <v>563.10900000000004</v>
      </c>
      <c r="AH782" s="5">
        <v>836.827</v>
      </c>
      <c r="AI782" s="5">
        <v>929.11</v>
      </c>
      <c r="AJ782" s="5">
        <v>1456.297</v>
      </c>
      <c r="AK782" s="5">
        <v>1940.2329999999999</v>
      </c>
      <c r="AL782" s="5">
        <v>1619.424</v>
      </c>
      <c r="AM782" s="5">
        <v>1987.442</v>
      </c>
      <c r="AN782" s="5">
        <v>2277.8249999999998</v>
      </c>
      <c r="AO782" s="5">
        <v>1920.953</v>
      </c>
      <c r="AP782" s="5">
        <v>1245.5550000000001</v>
      </c>
      <c r="AQ782" s="5">
        <v>569.99599999999998</v>
      </c>
      <c r="AR782" s="5">
        <v>379.66899999999998</v>
      </c>
      <c r="AS782" s="5">
        <v>299.673</v>
      </c>
      <c r="AT782" s="5">
        <v>333.93099999999998</v>
      </c>
    </row>
    <row r="783" spans="1:46" x14ac:dyDescent="0.25">
      <c r="A783" s="4" t="s">
        <v>196</v>
      </c>
      <c r="B783" s="4" t="s">
        <v>207</v>
      </c>
      <c r="C783" s="4" t="s">
        <v>246</v>
      </c>
      <c r="D783" s="4" t="s">
        <v>259</v>
      </c>
      <c r="E783" s="4" t="s">
        <v>248</v>
      </c>
      <c r="F783" s="4" t="s">
        <v>201</v>
      </c>
      <c r="G783" s="4" t="s">
        <v>93</v>
      </c>
      <c r="H783" s="4" t="s">
        <v>205</v>
      </c>
      <c r="I783" s="6">
        <v>88290.39</v>
      </c>
      <c r="J783" s="6">
        <v>110728.048</v>
      </c>
      <c r="K783" s="6">
        <v>182380.079</v>
      </c>
      <c r="L783" s="6">
        <v>174208.97099999999</v>
      </c>
      <c r="M783" s="6">
        <v>216613.641</v>
      </c>
      <c r="N783" s="6">
        <v>267947.57199999999</v>
      </c>
      <c r="O783" s="6">
        <v>261674.571</v>
      </c>
      <c r="P783" s="6">
        <v>194821.66899999999</v>
      </c>
      <c r="Q783" s="6">
        <v>166251.43700000001</v>
      </c>
      <c r="R783" s="6">
        <v>115490.5</v>
      </c>
      <c r="S783" s="6">
        <v>81449.399999999994</v>
      </c>
      <c r="T783" s="6">
        <v>83034.627999999997</v>
      </c>
      <c r="U783" s="6">
        <v>82478.517999999996</v>
      </c>
      <c r="V783" s="6">
        <v>104503.55499999999</v>
      </c>
      <c r="W783" s="6">
        <v>144757.55499999999</v>
      </c>
      <c r="X783" s="6">
        <v>227269.07699999999</v>
      </c>
      <c r="Y783" s="6">
        <v>288135.49200000003</v>
      </c>
      <c r="Z783" s="6">
        <v>250300.42499999999</v>
      </c>
      <c r="AA783" s="6">
        <v>306421.50199999998</v>
      </c>
      <c r="AB783" s="6">
        <v>249203.83199999999</v>
      </c>
      <c r="AC783" s="6">
        <v>204037.50200000001</v>
      </c>
      <c r="AD783" s="6">
        <v>115385.893</v>
      </c>
      <c r="AE783" s="6">
        <v>110271.458</v>
      </c>
      <c r="AF783" s="6">
        <v>108616.53599999999</v>
      </c>
      <c r="AG783" s="6">
        <v>109549.586</v>
      </c>
      <c r="AH783" s="6">
        <v>132106.807</v>
      </c>
      <c r="AI783" s="6">
        <v>146080.79399999999</v>
      </c>
      <c r="AJ783" s="6">
        <v>230474.37299999999</v>
      </c>
      <c r="AK783" s="6">
        <v>313885.565</v>
      </c>
      <c r="AL783" s="6">
        <v>287269.39799999999</v>
      </c>
      <c r="AM783" s="6">
        <v>350036.98</v>
      </c>
      <c r="AN783" s="6">
        <v>395002.092</v>
      </c>
      <c r="AO783" s="6">
        <v>343991.26899999997</v>
      </c>
      <c r="AP783" s="6">
        <v>224991.79800000001</v>
      </c>
      <c r="AQ783" s="6">
        <v>110168.823</v>
      </c>
      <c r="AR783" s="6">
        <v>65202.286999999997</v>
      </c>
      <c r="AS783" s="6">
        <v>51718.631999999998</v>
      </c>
      <c r="AT783" s="6">
        <v>51718.631999999998</v>
      </c>
    </row>
    <row r="784" spans="1:46" x14ac:dyDescent="0.25">
      <c r="A784" s="4" t="s">
        <v>196</v>
      </c>
      <c r="B784" s="4" t="s">
        <v>207</v>
      </c>
      <c r="C784" s="4" t="s">
        <v>246</v>
      </c>
      <c r="D784" s="4" t="s">
        <v>259</v>
      </c>
      <c r="E784" s="4" t="s">
        <v>248</v>
      </c>
      <c r="F784" s="4" t="s">
        <v>201</v>
      </c>
      <c r="G784" s="4" t="s">
        <v>93</v>
      </c>
      <c r="H784" s="4" t="s">
        <v>249</v>
      </c>
      <c r="I784" s="7">
        <v>7.96</v>
      </c>
      <c r="J784" s="7">
        <v>6.875</v>
      </c>
      <c r="K784" s="7">
        <v>7.51</v>
      </c>
      <c r="L784" s="7">
        <v>6.07</v>
      </c>
      <c r="M784" s="7">
        <v>4.9249999999999998</v>
      </c>
      <c r="N784" s="7">
        <v>6.4409999999999998</v>
      </c>
      <c r="O784" s="7">
        <v>7.5970000000000004</v>
      </c>
      <c r="P784" s="7">
        <v>8.1389999999999993</v>
      </c>
      <c r="Q784" s="7">
        <v>9.8209999999999997</v>
      </c>
      <c r="R784" s="7">
        <v>9.9600000000000009</v>
      </c>
      <c r="S784" s="7">
        <v>8.4600000000000009</v>
      </c>
      <c r="T784" s="7">
        <v>9.4130000000000003</v>
      </c>
      <c r="U784" s="7">
        <v>7.5259999999999998</v>
      </c>
      <c r="V784" s="7">
        <v>7.819</v>
      </c>
      <c r="W784" s="7">
        <v>6.3929999999999998</v>
      </c>
      <c r="X784" s="7">
        <v>5.8789999999999996</v>
      </c>
      <c r="Y784" s="7">
        <v>6.2</v>
      </c>
      <c r="Z784" s="7">
        <v>5.7240000000000002</v>
      </c>
      <c r="AA784" s="7">
        <v>6.718</v>
      </c>
      <c r="AB784" s="7">
        <v>7.82</v>
      </c>
      <c r="AC784" s="7">
        <v>8.0960000000000001</v>
      </c>
      <c r="AD784" s="7">
        <v>6.5890000000000004</v>
      </c>
      <c r="AE784" s="7">
        <v>6.7469999999999999</v>
      </c>
      <c r="AF784" s="7">
        <v>8.33</v>
      </c>
      <c r="AG784" s="7">
        <v>7.4459999999999997</v>
      </c>
      <c r="AH784" s="7">
        <v>8.5760000000000005</v>
      </c>
      <c r="AI784" s="7">
        <v>6.7229999999999999</v>
      </c>
      <c r="AJ784" s="7">
        <v>5.3650000000000002</v>
      </c>
      <c r="AK784" s="7">
        <v>4.3259999999999996</v>
      </c>
      <c r="AL784" s="7">
        <v>4.2160000000000002</v>
      </c>
      <c r="AM784" s="7">
        <v>3.629</v>
      </c>
      <c r="AN784" s="7">
        <v>3.66</v>
      </c>
      <c r="AO784" s="7">
        <v>4.9649999999999999</v>
      </c>
      <c r="AP784" s="7">
        <v>6.476</v>
      </c>
      <c r="AQ784" s="7">
        <v>4.9119999999999999</v>
      </c>
      <c r="AR784" s="7">
        <v>4.9589999999999996</v>
      </c>
      <c r="AS784" s="7">
        <v>4.1619999999999999</v>
      </c>
      <c r="AT784" s="7">
        <v>0.65900000000000003</v>
      </c>
    </row>
    <row r="785" spans="1:46" x14ac:dyDescent="0.25">
      <c r="A785" s="4" t="s">
        <v>196</v>
      </c>
      <c r="B785" s="4" t="s">
        <v>207</v>
      </c>
      <c r="C785" s="4" t="s">
        <v>246</v>
      </c>
      <c r="D785" s="4" t="s">
        <v>259</v>
      </c>
      <c r="E785" s="4" t="s">
        <v>248</v>
      </c>
      <c r="F785" s="4" t="s">
        <v>201</v>
      </c>
      <c r="G785" s="4" t="s">
        <v>93</v>
      </c>
      <c r="H785" s="4" t="s">
        <v>250</v>
      </c>
      <c r="I785" s="7">
        <v>52.811</v>
      </c>
      <c r="J785" s="7">
        <v>54.665999999999997</v>
      </c>
      <c r="K785" s="7">
        <v>62.671999999999997</v>
      </c>
      <c r="L785" s="7">
        <v>61.19</v>
      </c>
      <c r="M785" s="7">
        <v>59.353000000000002</v>
      </c>
      <c r="N785" s="7">
        <v>59.817999999999998</v>
      </c>
      <c r="O785" s="7">
        <v>56.220999999999997</v>
      </c>
      <c r="P785" s="7">
        <v>55.81</v>
      </c>
      <c r="Q785" s="7">
        <v>59.042999999999999</v>
      </c>
      <c r="R785" s="7">
        <v>55.01</v>
      </c>
      <c r="S785" s="7">
        <v>46.598999999999997</v>
      </c>
      <c r="T785" s="7">
        <v>46.145000000000003</v>
      </c>
      <c r="U785" s="7">
        <v>44.856999999999999</v>
      </c>
      <c r="V785" s="7">
        <v>48.082000000000001</v>
      </c>
      <c r="W785" s="7">
        <v>62.28</v>
      </c>
      <c r="X785" s="7">
        <v>63.594999999999999</v>
      </c>
      <c r="Y785" s="7">
        <v>66.427999999999997</v>
      </c>
      <c r="Z785" s="7">
        <v>63.290999999999997</v>
      </c>
      <c r="AA785" s="7">
        <v>55.118000000000002</v>
      </c>
      <c r="AB785" s="7">
        <v>60.453000000000003</v>
      </c>
      <c r="AC785" s="7">
        <v>56.378999999999998</v>
      </c>
      <c r="AD785" s="7">
        <v>52.296999999999997</v>
      </c>
      <c r="AE785" s="7">
        <v>50.591000000000001</v>
      </c>
      <c r="AF785" s="7">
        <v>46.402999999999999</v>
      </c>
      <c r="AG785" s="7">
        <v>46.892000000000003</v>
      </c>
      <c r="AH785" s="7">
        <v>51.246000000000002</v>
      </c>
      <c r="AI785" s="7">
        <v>58.616</v>
      </c>
      <c r="AJ785" s="7">
        <v>60.908000000000001</v>
      </c>
      <c r="AK785" s="7">
        <v>65.762</v>
      </c>
      <c r="AL785" s="7">
        <v>60.838000000000001</v>
      </c>
      <c r="AM785" s="7">
        <v>61.563000000000002</v>
      </c>
      <c r="AN785" s="7">
        <v>59.718000000000004</v>
      </c>
      <c r="AO785" s="7">
        <v>59.488</v>
      </c>
      <c r="AP785" s="7">
        <v>54.89</v>
      </c>
      <c r="AQ785" s="7">
        <v>47.274999999999999</v>
      </c>
      <c r="AR785" s="7">
        <v>41.043999999999997</v>
      </c>
      <c r="AS785" s="7">
        <v>30.652000000000001</v>
      </c>
      <c r="AT785" s="5">
        <v>1225.3230000000001</v>
      </c>
    </row>
    <row r="786" spans="1:46" x14ac:dyDescent="0.25">
      <c r="A786" s="4" t="s">
        <v>196</v>
      </c>
      <c r="B786" s="4" t="s">
        <v>207</v>
      </c>
      <c r="C786" s="4" t="s">
        <v>246</v>
      </c>
      <c r="D786" s="4" t="s">
        <v>259</v>
      </c>
      <c r="E786" s="4" t="s">
        <v>248</v>
      </c>
      <c r="F786" s="4" t="s">
        <v>201</v>
      </c>
      <c r="G786" s="4" t="s">
        <v>93</v>
      </c>
      <c r="H786" s="4" t="s">
        <v>251</v>
      </c>
      <c r="I786" s="7">
        <v>28.803510800000002</v>
      </c>
      <c r="J786" s="7">
        <v>31.912158300000002</v>
      </c>
      <c r="K786" s="7">
        <v>35.526184499999999</v>
      </c>
      <c r="L786" s="7">
        <v>32.834835900000002</v>
      </c>
      <c r="M786" s="7">
        <v>32.538718699999997</v>
      </c>
      <c r="N786" s="7">
        <v>37.200175999999999</v>
      </c>
      <c r="O786" s="7">
        <v>35.326257099999999</v>
      </c>
      <c r="P786" s="7">
        <v>36.659237400000002</v>
      </c>
      <c r="Q786" s="7">
        <v>34.920529600000002</v>
      </c>
      <c r="R786" s="7">
        <v>29.954412399999999</v>
      </c>
      <c r="S786" s="7">
        <v>27.863868100000001</v>
      </c>
      <c r="T786" s="7">
        <v>28.2934637</v>
      </c>
      <c r="U786" s="7">
        <v>30.042114900000001</v>
      </c>
      <c r="V786" s="7">
        <v>31.016861299999999</v>
      </c>
      <c r="W786" s="7">
        <v>38.941355600000001</v>
      </c>
      <c r="X786" s="7">
        <v>40.367391099999999</v>
      </c>
      <c r="Y786" s="7">
        <v>41.613071300000001</v>
      </c>
      <c r="Z786" s="7">
        <v>37.657139000000001</v>
      </c>
      <c r="AA786" s="7">
        <v>39.407290799999998</v>
      </c>
      <c r="AB786" s="7">
        <v>42.833408599999999</v>
      </c>
      <c r="AC786" s="7">
        <v>39.3704915</v>
      </c>
      <c r="AD786" s="7">
        <v>35.009030199999998</v>
      </c>
      <c r="AE786" s="7">
        <v>31.782283799999998</v>
      </c>
      <c r="AF786" s="7">
        <v>26.701839400000001</v>
      </c>
      <c r="AG786" s="7">
        <v>28.2548219</v>
      </c>
      <c r="AH786" s="7">
        <v>31.085149999999999</v>
      </c>
      <c r="AI786" s="7">
        <v>33.936450399999998</v>
      </c>
      <c r="AJ786" s="7">
        <v>34.653151200000003</v>
      </c>
      <c r="AK786" s="7">
        <v>39.9991129</v>
      </c>
      <c r="AL786" s="7">
        <v>42.210125099999999</v>
      </c>
      <c r="AM786" s="7">
        <v>42.004165499999999</v>
      </c>
      <c r="AN786" s="7">
        <v>43.297662500000001</v>
      </c>
      <c r="AO786" s="7">
        <v>42.111932699999997</v>
      </c>
      <c r="AP786" s="7">
        <v>35.103659</v>
      </c>
      <c r="AQ786" s="7">
        <v>30.196825700000002</v>
      </c>
      <c r="AR786" s="7">
        <v>27.186988700000001</v>
      </c>
      <c r="AS786" s="7">
        <v>28.900055500000001</v>
      </c>
      <c r="AT786" s="7">
        <v>30.652000000000001</v>
      </c>
    </row>
    <row r="787" spans="1:46" x14ac:dyDescent="0.25">
      <c r="A787" s="4" t="s">
        <v>196</v>
      </c>
      <c r="B787" s="4" t="s">
        <v>207</v>
      </c>
      <c r="C787" s="4" t="s">
        <v>246</v>
      </c>
      <c r="D787" s="4" t="s">
        <v>259</v>
      </c>
      <c r="E787" s="4" t="s">
        <v>248</v>
      </c>
      <c r="F787" s="4" t="s">
        <v>201</v>
      </c>
      <c r="G787" s="4" t="s">
        <v>93</v>
      </c>
      <c r="H787" s="4" t="s">
        <v>252</v>
      </c>
      <c r="I787" s="16">
        <v>1.603</v>
      </c>
      <c r="J787" s="16">
        <v>1.9259999999999999</v>
      </c>
      <c r="K787" s="16">
        <v>2.25</v>
      </c>
      <c r="L787" s="16">
        <v>2.0430000000000001</v>
      </c>
      <c r="M787" s="16">
        <v>2.573</v>
      </c>
      <c r="N787" s="16">
        <v>2.9249999999999998</v>
      </c>
      <c r="O787" s="16">
        <v>2.375</v>
      </c>
      <c r="P787" s="16">
        <v>3.3450000000000002</v>
      </c>
      <c r="Q787" s="16">
        <v>2.7730000000000001</v>
      </c>
      <c r="R787" s="16">
        <v>2.4780000000000002</v>
      </c>
      <c r="S787" s="16">
        <v>2.0539999999999998</v>
      </c>
      <c r="T787" s="16">
        <v>2.3460000000000001</v>
      </c>
      <c r="U787" s="16">
        <v>2.29</v>
      </c>
      <c r="V787" s="16">
        <v>1.9530000000000001</v>
      </c>
      <c r="W787" s="16">
        <v>2.5230000000000001</v>
      </c>
      <c r="X787" s="16">
        <v>2.484</v>
      </c>
      <c r="Y787" s="16">
        <v>2.4329999999999998</v>
      </c>
      <c r="Z787" s="16">
        <v>2.617</v>
      </c>
      <c r="AA787" s="16">
        <v>2.7090000000000001</v>
      </c>
      <c r="AB787" s="16">
        <v>3.2389999999999999</v>
      </c>
      <c r="AC787" s="16">
        <v>3.181</v>
      </c>
      <c r="AD787" s="16">
        <v>2.9940000000000002</v>
      </c>
      <c r="AE787" s="16">
        <v>2.8250000000000002</v>
      </c>
      <c r="AF787" s="16">
        <v>2.4809999999999999</v>
      </c>
      <c r="AG787" s="16">
        <v>2.4700000000000002</v>
      </c>
      <c r="AH787" s="16">
        <v>2.552</v>
      </c>
      <c r="AI787" s="16">
        <v>2.4529999999999998</v>
      </c>
      <c r="AJ787" s="16">
        <v>2.2360000000000002</v>
      </c>
      <c r="AK787" s="16">
        <v>2.6120000000000001</v>
      </c>
      <c r="AL787" s="16">
        <v>2.9740000000000002</v>
      </c>
      <c r="AM787" s="16">
        <v>2.4900000000000002</v>
      </c>
      <c r="AN787" s="16">
        <v>2.3090000000000002</v>
      </c>
      <c r="AO787" s="16">
        <v>2.3130000000000002</v>
      </c>
      <c r="AP787" s="16">
        <v>2.2839999999999998</v>
      </c>
      <c r="AQ787" s="16">
        <v>2.3559999999999999</v>
      </c>
      <c r="AR787" s="16">
        <v>2.1749999999999998</v>
      </c>
      <c r="AS787" s="16">
        <v>1.9870000000000001</v>
      </c>
      <c r="AT787" s="7">
        <v>28.900055500000001</v>
      </c>
    </row>
    <row r="788" spans="1:46" x14ac:dyDescent="0.25">
      <c r="A788" s="4" t="s">
        <v>196</v>
      </c>
      <c r="B788" s="4" t="s">
        <v>207</v>
      </c>
      <c r="C788" s="4" t="s">
        <v>246</v>
      </c>
      <c r="D788" s="4" t="s">
        <v>259</v>
      </c>
      <c r="E788" s="4" t="s">
        <v>248</v>
      </c>
      <c r="F788" s="4" t="s">
        <v>195</v>
      </c>
      <c r="G788" s="4" t="s">
        <v>93</v>
      </c>
      <c r="H788" s="4" t="s">
        <v>151</v>
      </c>
      <c r="I788" s="5">
        <v>1699.9760000000001</v>
      </c>
      <c r="J788" s="5">
        <v>2124.9549999999999</v>
      </c>
      <c r="K788" s="5">
        <v>2847.6529999999998</v>
      </c>
      <c r="L788" s="5">
        <v>3445.1869999999999</v>
      </c>
      <c r="M788" s="5">
        <v>4879.3530000000001</v>
      </c>
      <c r="N788" s="5">
        <v>4185.1949999999997</v>
      </c>
      <c r="O788" s="5">
        <v>3961.2910000000002</v>
      </c>
      <c r="P788" s="5">
        <v>3217.4450000000002</v>
      </c>
      <c r="Q788" s="5">
        <v>2425.7280000000001</v>
      </c>
      <c r="R788" s="5">
        <v>1711.316</v>
      </c>
      <c r="S788" s="5">
        <v>1488.1130000000001</v>
      </c>
      <c r="T788" s="5">
        <v>1291.1199999999999</v>
      </c>
      <c r="U788" s="5">
        <v>1569.479</v>
      </c>
      <c r="V788" s="5">
        <v>1994.181</v>
      </c>
      <c r="W788" s="5">
        <v>3121.1640000000002</v>
      </c>
      <c r="X788" s="5">
        <v>4417.8900000000003</v>
      </c>
      <c r="Y788" s="5">
        <v>4704.8810000000003</v>
      </c>
      <c r="Z788" s="5">
        <v>5328.1760000000004</v>
      </c>
      <c r="AA788" s="5">
        <v>5571.3230000000003</v>
      </c>
      <c r="AB788" s="5">
        <v>4285.1329999999998</v>
      </c>
      <c r="AC788" s="5">
        <v>3379.7579999999998</v>
      </c>
      <c r="AD788" s="5">
        <v>2837.9549999999999</v>
      </c>
      <c r="AE788" s="5">
        <v>2074.2730000000001</v>
      </c>
      <c r="AF788" s="5">
        <v>1885.454</v>
      </c>
      <c r="AG788" s="5">
        <v>1663.93</v>
      </c>
      <c r="AH788" s="5">
        <v>1944.79</v>
      </c>
      <c r="AI788" s="5">
        <v>2524.0889999999999</v>
      </c>
      <c r="AJ788" s="5">
        <v>3739.748</v>
      </c>
      <c r="AK788" s="5">
        <v>5697.9650000000001</v>
      </c>
      <c r="AL788" s="5">
        <v>5489.89</v>
      </c>
      <c r="AM788" s="5">
        <v>6964.6989999999996</v>
      </c>
      <c r="AN788" s="5">
        <v>6923.1450000000004</v>
      </c>
      <c r="AO788" s="5">
        <v>5981.393</v>
      </c>
      <c r="AP788" s="5">
        <v>2907.1320000000001</v>
      </c>
      <c r="AQ788" s="5">
        <v>1911.8910000000001</v>
      </c>
      <c r="AR788" s="5">
        <v>1175.7080000000001</v>
      </c>
      <c r="AS788" s="5">
        <v>717.64499999999998</v>
      </c>
      <c r="AT788" s="5">
        <v>812.92100000000005</v>
      </c>
    </row>
    <row r="789" spans="1:46" x14ac:dyDescent="0.25">
      <c r="A789" s="4" t="s">
        <v>196</v>
      </c>
      <c r="B789" s="4" t="s">
        <v>207</v>
      </c>
      <c r="C789" s="4" t="s">
        <v>246</v>
      </c>
      <c r="D789" s="4" t="s">
        <v>259</v>
      </c>
      <c r="E789" s="4" t="s">
        <v>248</v>
      </c>
      <c r="F789" s="4" t="s">
        <v>195</v>
      </c>
      <c r="G789" s="4" t="s">
        <v>93</v>
      </c>
      <c r="H789" s="4" t="s">
        <v>205</v>
      </c>
      <c r="I789" s="6">
        <v>350847.53899999999</v>
      </c>
      <c r="J789" s="6">
        <v>443980.90600000002</v>
      </c>
      <c r="K789" s="6">
        <v>608546.68500000006</v>
      </c>
      <c r="L789" s="6">
        <v>752038.08400000003</v>
      </c>
      <c r="M789" s="6">
        <v>1085975.159</v>
      </c>
      <c r="N789" s="6">
        <v>932446.39800000004</v>
      </c>
      <c r="O789" s="6">
        <v>865651.76399999997</v>
      </c>
      <c r="P789" s="6">
        <v>725891.59400000004</v>
      </c>
      <c r="Q789" s="6">
        <v>563930.21100000001</v>
      </c>
      <c r="R789" s="6">
        <v>393030.47899999999</v>
      </c>
      <c r="S789" s="6">
        <v>326870.136</v>
      </c>
      <c r="T789" s="6">
        <v>296886.98800000001</v>
      </c>
      <c r="U789" s="6">
        <v>356029.739</v>
      </c>
      <c r="V789" s="6">
        <v>437551.86499999999</v>
      </c>
      <c r="W789" s="6">
        <v>726920.48699999996</v>
      </c>
      <c r="X789" s="6">
        <v>1013189.273</v>
      </c>
      <c r="Y789" s="6">
        <v>1113188.8729999999</v>
      </c>
      <c r="Z789" s="6">
        <v>1250379.0789999999</v>
      </c>
      <c r="AA789" s="6">
        <v>1282125.929</v>
      </c>
      <c r="AB789" s="6">
        <v>1023518.736</v>
      </c>
      <c r="AC789" s="6">
        <v>821445.38600000006</v>
      </c>
      <c r="AD789" s="6">
        <v>662609.12399999995</v>
      </c>
      <c r="AE789" s="6">
        <v>478540.033</v>
      </c>
      <c r="AF789" s="6">
        <v>446293.74300000002</v>
      </c>
      <c r="AG789" s="6">
        <v>408917.18</v>
      </c>
      <c r="AH789" s="6">
        <v>472909.17099999997</v>
      </c>
      <c r="AI789" s="6">
        <v>638246.39800000004</v>
      </c>
      <c r="AJ789" s="6">
        <v>939250.772</v>
      </c>
      <c r="AK789" s="6">
        <v>1465654.3160000001</v>
      </c>
      <c r="AL789" s="6">
        <v>1415180.3289999999</v>
      </c>
      <c r="AM789" s="6">
        <v>1775753.9890000001</v>
      </c>
      <c r="AN789" s="6">
        <v>1789433.8359999999</v>
      </c>
      <c r="AO789" s="6">
        <v>1512423.889</v>
      </c>
      <c r="AP789" s="6">
        <v>731803.34600000002</v>
      </c>
      <c r="AQ789" s="6">
        <v>480585.20799999998</v>
      </c>
      <c r="AR789" s="6">
        <v>295393.33899999998</v>
      </c>
      <c r="AS789" s="6">
        <v>196705.78</v>
      </c>
      <c r="AT789" s="6">
        <v>196705.78</v>
      </c>
    </row>
    <row r="790" spans="1:46" x14ac:dyDescent="0.25">
      <c r="A790" s="4" t="s">
        <v>196</v>
      </c>
      <c r="B790" s="4" t="s">
        <v>207</v>
      </c>
      <c r="C790" s="4" t="s">
        <v>246</v>
      </c>
      <c r="D790" s="4" t="s">
        <v>259</v>
      </c>
      <c r="E790" s="4" t="s">
        <v>248</v>
      </c>
      <c r="F790" s="4" t="s">
        <v>195</v>
      </c>
      <c r="G790" s="4" t="s">
        <v>93</v>
      </c>
      <c r="H790" s="4" t="s">
        <v>249</v>
      </c>
      <c r="I790" s="7">
        <v>24.957000000000001</v>
      </c>
      <c r="J790" s="7">
        <v>19.356999999999999</v>
      </c>
      <c r="K790" s="7">
        <v>16.853999999999999</v>
      </c>
      <c r="L790" s="7">
        <v>16.34</v>
      </c>
      <c r="M790" s="7">
        <v>15.577</v>
      </c>
      <c r="N790" s="7">
        <v>14.343999999999999</v>
      </c>
      <c r="O790" s="7">
        <v>17.016999999999999</v>
      </c>
      <c r="P790" s="7">
        <v>21.010999999999999</v>
      </c>
      <c r="Q790" s="7">
        <v>22.89</v>
      </c>
      <c r="R790" s="7">
        <v>23.84</v>
      </c>
      <c r="S790" s="7">
        <v>24.497</v>
      </c>
      <c r="T790" s="7">
        <v>23.146999999999998</v>
      </c>
      <c r="U790" s="7">
        <v>22.87</v>
      </c>
      <c r="V790" s="7">
        <v>23.07</v>
      </c>
      <c r="W790" s="7">
        <v>21.762</v>
      </c>
      <c r="X790" s="7">
        <v>19.224</v>
      </c>
      <c r="Y790" s="7">
        <v>17.724</v>
      </c>
      <c r="Z790" s="7">
        <v>21.314</v>
      </c>
      <c r="AA790" s="7">
        <v>22.204999999999998</v>
      </c>
      <c r="AB790" s="7">
        <v>23.739000000000001</v>
      </c>
      <c r="AC790" s="7">
        <v>24.532</v>
      </c>
      <c r="AD790" s="7">
        <v>29.023</v>
      </c>
      <c r="AE790" s="7">
        <v>24.881</v>
      </c>
      <c r="AF790" s="7">
        <v>27.85</v>
      </c>
      <c r="AG790" s="7">
        <v>24.326000000000001</v>
      </c>
      <c r="AH790" s="7">
        <v>22.216000000000001</v>
      </c>
      <c r="AI790" s="7">
        <v>20.111000000000001</v>
      </c>
      <c r="AJ790" s="7">
        <v>15.151999999999999</v>
      </c>
      <c r="AK790" s="7">
        <v>13.869</v>
      </c>
      <c r="AL790" s="7">
        <v>15.449</v>
      </c>
      <c r="AM790" s="7">
        <v>13.792999999999999</v>
      </c>
      <c r="AN790" s="7">
        <v>11.972</v>
      </c>
      <c r="AO790" s="7">
        <v>16.704000000000001</v>
      </c>
      <c r="AP790" s="7">
        <v>16.218</v>
      </c>
      <c r="AQ790" s="7">
        <v>17.771000000000001</v>
      </c>
      <c r="AR790" s="7">
        <v>16.456</v>
      </c>
      <c r="AS790" s="7">
        <v>10.771000000000001</v>
      </c>
      <c r="AT790" s="7">
        <v>1.6040000000000001</v>
      </c>
    </row>
    <row r="791" spans="1:46" x14ac:dyDescent="0.25">
      <c r="A791" s="4" t="s">
        <v>196</v>
      </c>
      <c r="B791" s="4" t="s">
        <v>207</v>
      </c>
      <c r="C791" s="4" t="s">
        <v>246</v>
      </c>
      <c r="D791" s="4" t="s">
        <v>259</v>
      </c>
      <c r="E791" s="4" t="s">
        <v>248</v>
      </c>
      <c r="F791" s="4" t="s">
        <v>195</v>
      </c>
      <c r="G791" s="4" t="s">
        <v>93</v>
      </c>
      <c r="H791" s="4" t="s">
        <v>250</v>
      </c>
      <c r="I791" s="7">
        <v>72.801000000000002</v>
      </c>
      <c r="J791" s="7">
        <v>77.358999999999995</v>
      </c>
      <c r="K791" s="7">
        <v>81.102999999999994</v>
      </c>
      <c r="L791" s="7">
        <v>82.408000000000001</v>
      </c>
      <c r="M791" s="7">
        <v>84.463999999999999</v>
      </c>
      <c r="N791" s="7">
        <v>79.643000000000001</v>
      </c>
      <c r="O791" s="7">
        <v>78.66</v>
      </c>
      <c r="P791" s="7">
        <v>78.194000000000003</v>
      </c>
      <c r="Q791" s="7">
        <v>79.11</v>
      </c>
      <c r="R791" s="7">
        <v>75.741</v>
      </c>
      <c r="S791" s="7">
        <v>74.590999999999994</v>
      </c>
      <c r="T791" s="7">
        <v>70.477000000000004</v>
      </c>
      <c r="U791" s="7">
        <v>72.201999999999998</v>
      </c>
      <c r="V791" s="7">
        <v>76.846999999999994</v>
      </c>
      <c r="W791" s="7">
        <v>84.712000000000003</v>
      </c>
      <c r="X791" s="7">
        <v>83.869</v>
      </c>
      <c r="Y791" s="7">
        <v>85.986999999999995</v>
      </c>
      <c r="Z791" s="7">
        <v>85.397000000000006</v>
      </c>
      <c r="AA791" s="7">
        <v>85.334999999999994</v>
      </c>
      <c r="AB791" s="7">
        <v>83.778000000000006</v>
      </c>
      <c r="AC791" s="7">
        <v>82.513000000000005</v>
      </c>
      <c r="AD791" s="7">
        <v>81.045000000000002</v>
      </c>
      <c r="AE791" s="7">
        <v>80.363</v>
      </c>
      <c r="AF791" s="7">
        <v>74.31</v>
      </c>
      <c r="AG791" s="7">
        <v>72.308000000000007</v>
      </c>
      <c r="AH791" s="7">
        <v>75.733999999999995</v>
      </c>
      <c r="AI791" s="7">
        <v>84.421000000000006</v>
      </c>
      <c r="AJ791" s="7">
        <v>85.887</v>
      </c>
      <c r="AK791" s="7">
        <v>91.165000000000006</v>
      </c>
      <c r="AL791" s="7">
        <v>88.739000000000004</v>
      </c>
      <c r="AM791" s="7">
        <v>91.805000000000007</v>
      </c>
      <c r="AN791" s="7">
        <v>89.909000000000006</v>
      </c>
      <c r="AO791" s="7">
        <v>87.197000000000003</v>
      </c>
      <c r="AP791" s="7">
        <v>85.671000000000006</v>
      </c>
      <c r="AQ791" s="7">
        <v>81.738</v>
      </c>
      <c r="AR791" s="7">
        <v>77.673000000000002</v>
      </c>
      <c r="AS791" s="7">
        <v>71.471999999999994</v>
      </c>
      <c r="AT791" s="5">
        <v>3057.12</v>
      </c>
    </row>
    <row r="792" spans="1:46" x14ac:dyDescent="0.25">
      <c r="A792" s="4" t="s">
        <v>196</v>
      </c>
      <c r="B792" s="4" t="s">
        <v>207</v>
      </c>
      <c r="C792" s="4" t="s">
        <v>246</v>
      </c>
      <c r="D792" s="4" t="s">
        <v>259</v>
      </c>
      <c r="E792" s="4" t="s">
        <v>248</v>
      </c>
      <c r="F792" s="4" t="s">
        <v>195</v>
      </c>
      <c r="G792" s="4" t="s">
        <v>93</v>
      </c>
      <c r="H792" s="4" t="s">
        <v>251</v>
      </c>
      <c r="I792" s="7">
        <v>46.706541100000003</v>
      </c>
      <c r="J792" s="7">
        <v>48.264632599999999</v>
      </c>
      <c r="K792" s="7">
        <v>50.595798199999997</v>
      </c>
      <c r="L792" s="7">
        <v>51.092084399999997</v>
      </c>
      <c r="M792" s="7">
        <v>53.329268800000001</v>
      </c>
      <c r="N792" s="7">
        <v>54.500022299999998</v>
      </c>
      <c r="O792" s="7">
        <v>53.187829899999997</v>
      </c>
      <c r="P792" s="7">
        <v>51.955792600000002</v>
      </c>
      <c r="Q792" s="7">
        <v>53.3340514</v>
      </c>
      <c r="R792" s="7">
        <v>45.4174449</v>
      </c>
      <c r="S792" s="7">
        <v>44.919434500000001</v>
      </c>
      <c r="T792" s="7">
        <v>45.336299500000003</v>
      </c>
      <c r="U792" s="7">
        <v>48.0072215</v>
      </c>
      <c r="V792" s="7">
        <v>47.528874000000002</v>
      </c>
      <c r="W792" s="7">
        <v>57.5100014</v>
      </c>
      <c r="X792" s="7">
        <v>58.1540465</v>
      </c>
      <c r="Y792" s="7">
        <v>62.7358239</v>
      </c>
      <c r="Z792" s="7">
        <v>61.238955099999998</v>
      </c>
      <c r="AA792" s="7">
        <v>62.785195899999998</v>
      </c>
      <c r="AB792" s="7">
        <v>63.344714600000003</v>
      </c>
      <c r="AC792" s="7">
        <v>60.393768100000003</v>
      </c>
      <c r="AD792" s="7">
        <v>57.444084699999998</v>
      </c>
      <c r="AE792" s="7">
        <v>53.200931599999997</v>
      </c>
      <c r="AF792" s="7">
        <v>50.413504400000001</v>
      </c>
      <c r="AG792" s="7">
        <v>50.867887799999998</v>
      </c>
      <c r="AH792" s="7">
        <v>53.364719999999998</v>
      </c>
      <c r="AI792" s="7">
        <v>59.073540999999999</v>
      </c>
      <c r="AJ792" s="7">
        <v>60.5859083</v>
      </c>
      <c r="AK792" s="7">
        <v>64.532952899999998</v>
      </c>
      <c r="AL792" s="7">
        <v>65.193949700000005</v>
      </c>
      <c r="AM792" s="7">
        <v>69.598398000000003</v>
      </c>
      <c r="AN792" s="7">
        <v>67.063281700000005</v>
      </c>
      <c r="AO792" s="7">
        <v>64.978464200000005</v>
      </c>
      <c r="AP792" s="7">
        <v>58.926433299999999</v>
      </c>
      <c r="AQ792" s="7">
        <v>54.885809000000002</v>
      </c>
      <c r="AR792" s="7">
        <v>53.4762451</v>
      </c>
      <c r="AS792" s="7">
        <v>55.0584919</v>
      </c>
      <c r="AT792" s="7">
        <v>71.471999999999994</v>
      </c>
    </row>
    <row r="793" spans="1:46" x14ac:dyDescent="0.25">
      <c r="A793" s="4" t="s">
        <v>196</v>
      </c>
      <c r="B793" s="4" t="s">
        <v>207</v>
      </c>
      <c r="C793" s="4" t="s">
        <v>246</v>
      </c>
      <c r="D793" s="4" t="s">
        <v>259</v>
      </c>
      <c r="E793" s="4" t="s">
        <v>248</v>
      </c>
      <c r="F793" s="4" t="s">
        <v>195</v>
      </c>
      <c r="G793" s="4" t="s">
        <v>93</v>
      </c>
      <c r="H793" s="4" t="s">
        <v>252</v>
      </c>
      <c r="I793" s="16">
        <v>4.9000000000000004</v>
      </c>
      <c r="J793" s="16">
        <v>4.2839999999999998</v>
      </c>
      <c r="K793" s="16">
        <v>4.6929999999999996</v>
      </c>
      <c r="L793" s="16">
        <v>5.42</v>
      </c>
      <c r="M793" s="16">
        <v>5.5620000000000003</v>
      </c>
      <c r="N793" s="16">
        <v>5.8090000000000002</v>
      </c>
      <c r="O793" s="16">
        <v>6.0570000000000004</v>
      </c>
      <c r="P793" s="16">
        <v>5.16</v>
      </c>
      <c r="Q793" s="16">
        <v>5.2850000000000001</v>
      </c>
      <c r="R793" s="16">
        <v>5.4029999999999996</v>
      </c>
      <c r="S793" s="16">
        <v>4.9359999999999999</v>
      </c>
      <c r="T793" s="16">
        <v>4.8529999999999998</v>
      </c>
      <c r="U793" s="16">
        <v>4.62</v>
      </c>
      <c r="V793" s="16">
        <v>5.5759999999999996</v>
      </c>
      <c r="W793" s="16">
        <v>6.4630000000000001</v>
      </c>
      <c r="X793" s="16">
        <v>6.532</v>
      </c>
      <c r="Y793" s="16">
        <v>6.6879999999999997</v>
      </c>
      <c r="Z793" s="16">
        <v>7.7240000000000002</v>
      </c>
      <c r="AA793" s="16">
        <v>6.7450000000000001</v>
      </c>
      <c r="AB793" s="16">
        <v>7.0449999999999999</v>
      </c>
      <c r="AC793" s="16">
        <v>6.8070000000000004</v>
      </c>
      <c r="AD793" s="16">
        <v>7.21</v>
      </c>
      <c r="AE793" s="16">
        <v>6.9489999999999998</v>
      </c>
      <c r="AF793" s="16">
        <v>6.0750000000000002</v>
      </c>
      <c r="AG793" s="16">
        <v>6.4</v>
      </c>
      <c r="AH793" s="16">
        <v>6.8490000000000002</v>
      </c>
      <c r="AI793" s="16">
        <v>7.665</v>
      </c>
      <c r="AJ793" s="16">
        <v>7.7050000000000001</v>
      </c>
      <c r="AK793" s="16">
        <v>7.8170000000000002</v>
      </c>
      <c r="AL793" s="16">
        <v>6.1520000000000001</v>
      </c>
      <c r="AM793" s="16">
        <v>5.9429999999999996</v>
      </c>
      <c r="AN793" s="16">
        <v>5.8159999999999998</v>
      </c>
      <c r="AO793" s="16">
        <v>6.2169999999999996</v>
      </c>
      <c r="AP793" s="16">
        <v>5.8840000000000003</v>
      </c>
      <c r="AQ793" s="16">
        <v>5.2240000000000002</v>
      </c>
      <c r="AR793" s="16">
        <v>5.4359999999999999</v>
      </c>
      <c r="AS793" s="16">
        <v>5.609</v>
      </c>
      <c r="AT793" s="7">
        <v>55.0584919</v>
      </c>
    </row>
    <row r="794" spans="1:46" x14ac:dyDescent="0.25">
      <c r="A794" s="4" t="s">
        <v>196</v>
      </c>
      <c r="B794" s="4" t="s">
        <v>207</v>
      </c>
      <c r="C794" s="4" t="s">
        <v>246</v>
      </c>
      <c r="D794" s="4" t="s">
        <v>259</v>
      </c>
      <c r="E794" s="4" t="s">
        <v>248</v>
      </c>
      <c r="F794" s="4" t="s">
        <v>195</v>
      </c>
      <c r="G794" s="4" t="s">
        <v>260</v>
      </c>
      <c r="H794" s="4" t="s">
        <v>151</v>
      </c>
      <c r="I794" s="8">
        <v>0</v>
      </c>
      <c r="J794" s="8">
        <v>0</v>
      </c>
      <c r="K794" s="8">
        <v>0</v>
      </c>
      <c r="L794" s="5">
        <v>36.024000000000001</v>
      </c>
      <c r="M794" s="5">
        <v>0</v>
      </c>
      <c r="N794" s="5">
        <v>30.638000000000002</v>
      </c>
      <c r="O794" s="5">
        <v>44.694000000000003</v>
      </c>
      <c r="P794" s="5">
        <v>82.975999999999999</v>
      </c>
      <c r="Q794" s="5">
        <v>86.278000000000006</v>
      </c>
      <c r="R794" s="5">
        <v>15.02</v>
      </c>
      <c r="S794" s="5">
        <v>16.561</v>
      </c>
      <c r="T794" s="5">
        <v>12.228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6.2060000000000004</v>
      </c>
      <c r="AA794" s="5">
        <v>14.363</v>
      </c>
      <c r="AB794" s="5">
        <v>35.905000000000001</v>
      </c>
      <c r="AC794" s="5">
        <v>27.28</v>
      </c>
      <c r="AD794" s="5">
        <v>10.88</v>
      </c>
      <c r="AE794" s="5">
        <v>6.1840000000000002</v>
      </c>
      <c r="AF794" s="5">
        <v>5.742</v>
      </c>
      <c r="AG794" s="5">
        <v>4.8620000000000001</v>
      </c>
      <c r="AH794" s="5">
        <v>9.9339999999999993</v>
      </c>
      <c r="AI794" s="8">
        <v>0</v>
      </c>
      <c r="AJ794" s="9">
        <v>0</v>
      </c>
      <c r="AK794" s="9">
        <v>0</v>
      </c>
      <c r="AL794" s="9">
        <v>0</v>
      </c>
      <c r="AM794" s="9">
        <v>0</v>
      </c>
      <c r="AN794" s="9">
        <v>0</v>
      </c>
      <c r="AO794" s="9">
        <v>0</v>
      </c>
      <c r="AP794" s="9">
        <v>0</v>
      </c>
      <c r="AQ794" s="9">
        <v>0</v>
      </c>
      <c r="AR794" s="9">
        <v>0</v>
      </c>
      <c r="AS794" s="9">
        <v>0</v>
      </c>
      <c r="AT794" s="9">
        <v>0</v>
      </c>
    </row>
    <row r="795" spans="1:46" x14ac:dyDescent="0.25">
      <c r="A795" s="4" t="s">
        <v>196</v>
      </c>
      <c r="B795" s="4" t="s">
        <v>207</v>
      </c>
      <c r="C795" s="4" t="s">
        <v>246</v>
      </c>
      <c r="D795" s="4" t="s">
        <v>259</v>
      </c>
      <c r="E795" s="4" t="s">
        <v>248</v>
      </c>
      <c r="F795" s="4" t="s">
        <v>195</v>
      </c>
      <c r="G795" s="4" t="s">
        <v>260</v>
      </c>
      <c r="H795" s="4" t="s">
        <v>205</v>
      </c>
      <c r="I795" s="10">
        <v>0</v>
      </c>
      <c r="J795" s="10">
        <v>0</v>
      </c>
      <c r="K795" s="10">
        <v>0</v>
      </c>
      <c r="L795" s="6">
        <v>1332.6990000000001</v>
      </c>
      <c r="M795" s="6">
        <v>0</v>
      </c>
      <c r="N795" s="6">
        <v>1133.4739999999999</v>
      </c>
      <c r="O795" s="6">
        <v>1653.4690000000001</v>
      </c>
      <c r="P795" s="6">
        <v>8908.2549999999992</v>
      </c>
      <c r="Q795" s="6">
        <v>3397.04</v>
      </c>
      <c r="R795" s="6">
        <v>555.67399999999998</v>
      </c>
      <c r="S795" s="6">
        <v>1186.4559999999999</v>
      </c>
      <c r="T795" s="6">
        <v>810.99400000000003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701.26900000000001</v>
      </c>
      <c r="AA795" s="6">
        <v>1622.9949999999999</v>
      </c>
      <c r="AB795" s="6">
        <v>4057.2840000000001</v>
      </c>
      <c r="AC795" s="6">
        <v>3082.6759999999999</v>
      </c>
      <c r="AD795" s="6">
        <v>1229.4190000000001</v>
      </c>
      <c r="AE795" s="6">
        <v>698.76700000000005</v>
      </c>
      <c r="AF795" s="6">
        <v>648.85599999999999</v>
      </c>
      <c r="AG795" s="6">
        <v>549.45500000000004</v>
      </c>
      <c r="AH795" s="6">
        <v>1122.4970000000001</v>
      </c>
      <c r="AI795" s="10">
        <v>0</v>
      </c>
      <c r="AJ795" s="9">
        <v>0</v>
      </c>
      <c r="AK795" s="9">
        <v>0</v>
      </c>
      <c r="AL795" s="9">
        <v>0</v>
      </c>
      <c r="AM795" s="9">
        <v>0</v>
      </c>
      <c r="AN795" s="9">
        <v>0</v>
      </c>
      <c r="AO795" s="9">
        <v>0</v>
      </c>
      <c r="AP795" s="9">
        <v>0</v>
      </c>
      <c r="AQ795" s="9">
        <v>0</v>
      </c>
      <c r="AR795" s="9">
        <v>0</v>
      </c>
      <c r="AS795" s="9">
        <v>0</v>
      </c>
      <c r="AT795" s="9">
        <v>0</v>
      </c>
    </row>
    <row r="796" spans="1:46" x14ac:dyDescent="0.25">
      <c r="A796" s="4" t="s">
        <v>196</v>
      </c>
      <c r="B796" s="4" t="s">
        <v>207</v>
      </c>
      <c r="C796" s="4" t="s">
        <v>246</v>
      </c>
      <c r="D796" s="4" t="s">
        <v>259</v>
      </c>
      <c r="E796" s="4" t="s">
        <v>248</v>
      </c>
      <c r="F796" s="4" t="s">
        <v>195</v>
      </c>
      <c r="G796" s="4" t="s">
        <v>260</v>
      </c>
      <c r="H796" s="4" t="s">
        <v>249</v>
      </c>
      <c r="I796" s="11">
        <v>0</v>
      </c>
      <c r="J796" s="11">
        <v>0</v>
      </c>
      <c r="K796" s="11">
        <v>0</v>
      </c>
      <c r="L796" s="7">
        <v>5.0000000000000001E-3</v>
      </c>
      <c r="M796" s="7">
        <v>0</v>
      </c>
      <c r="N796" s="7">
        <v>3.0000000000000001E-3</v>
      </c>
      <c r="O796" s="7">
        <v>6.0000000000000001E-3</v>
      </c>
      <c r="P796" s="7">
        <v>1.7000000000000001E-2</v>
      </c>
      <c r="Q796" s="7">
        <v>2.5999999999999999E-2</v>
      </c>
      <c r="R796" s="7">
        <v>7.0000000000000001E-3</v>
      </c>
      <c r="S796" s="7">
        <v>8.9999999999999993E-3</v>
      </c>
      <c r="T796" s="7">
        <v>7.0000000000000001E-3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1E-3</v>
      </c>
      <c r="AA796" s="7">
        <v>2E-3</v>
      </c>
      <c r="AB796" s="7">
        <v>6.0000000000000001E-3</v>
      </c>
      <c r="AC796" s="7">
        <v>6.0000000000000001E-3</v>
      </c>
      <c r="AD796" s="7">
        <v>3.0000000000000001E-3</v>
      </c>
      <c r="AE796" s="7">
        <v>2E-3</v>
      </c>
      <c r="AF796" s="7">
        <v>3.0000000000000001E-3</v>
      </c>
      <c r="AG796" s="7">
        <v>2E-3</v>
      </c>
      <c r="AH796" s="7">
        <v>3.0000000000000001E-3</v>
      </c>
      <c r="AI796" s="11">
        <v>0</v>
      </c>
      <c r="AJ796" s="9">
        <v>0</v>
      </c>
      <c r="AK796" s="9">
        <v>0</v>
      </c>
      <c r="AL796" s="9">
        <v>0</v>
      </c>
      <c r="AM796" s="9">
        <v>0</v>
      </c>
      <c r="AN796" s="9">
        <v>0</v>
      </c>
      <c r="AO796" s="9">
        <v>0</v>
      </c>
      <c r="AP796" s="9">
        <v>0</v>
      </c>
      <c r="AQ796" s="9">
        <v>0</v>
      </c>
      <c r="AR796" s="9">
        <v>0</v>
      </c>
      <c r="AS796" s="9">
        <v>0</v>
      </c>
      <c r="AT796" s="9">
        <v>0</v>
      </c>
    </row>
    <row r="797" spans="1:46" x14ac:dyDescent="0.25">
      <c r="A797" s="4" t="s">
        <v>196</v>
      </c>
      <c r="B797" s="4" t="s">
        <v>207</v>
      </c>
      <c r="C797" s="4" t="s">
        <v>246</v>
      </c>
      <c r="D797" s="4" t="s">
        <v>259</v>
      </c>
      <c r="E797" s="4" t="s">
        <v>248</v>
      </c>
      <c r="F797" s="4" t="s">
        <v>195</v>
      </c>
      <c r="G797" s="4" t="s">
        <v>260</v>
      </c>
      <c r="H797" s="4" t="s">
        <v>250</v>
      </c>
      <c r="I797" s="11">
        <v>0</v>
      </c>
      <c r="J797" s="11">
        <v>0</v>
      </c>
      <c r="K797" s="11">
        <v>0</v>
      </c>
      <c r="L797" s="7">
        <v>0.42399999999999999</v>
      </c>
      <c r="M797" s="7">
        <v>0.45300000000000001</v>
      </c>
      <c r="N797" s="7">
        <v>0.64</v>
      </c>
      <c r="O797" s="7">
        <v>0.83499999999999996</v>
      </c>
      <c r="P797" s="7">
        <v>2.2610000000000001</v>
      </c>
      <c r="Q797" s="7">
        <v>2.847</v>
      </c>
      <c r="R797" s="7">
        <v>2.0619999999999998</v>
      </c>
      <c r="S797" s="7">
        <v>4.1180000000000003</v>
      </c>
      <c r="T797" s="7">
        <v>4.5469999999999997</v>
      </c>
      <c r="U797" s="7">
        <v>1.214</v>
      </c>
      <c r="V797" s="7">
        <v>1.748</v>
      </c>
      <c r="W797" s="7">
        <v>0.90400000000000003</v>
      </c>
      <c r="X797" s="7">
        <v>0.58299999999999996</v>
      </c>
      <c r="Y797" s="7">
        <v>0.438</v>
      </c>
      <c r="Z797" s="7">
        <v>0.90300000000000002</v>
      </c>
      <c r="AA797" s="7">
        <v>0.73699999999999999</v>
      </c>
      <c r="AB797" s="7">
        <v>0.82199999999999995</v>
      </c>
      <c r="AC797" s="7">
        <v>0.76300000000000001</v>
      </c>
      <c r="AD797" s="7">
        <v>0.16200000000000001</v>
      </c>
      <c r="AE797" s="7">
        <v>4.2999999999999997E-2</v>
      </c>
      <c r="AF797" s="7">
        <v>2.4E-2</v>
      </c>
      <c r="AG797" s="7">
        <v>0.25900000000000001</v>
      </c>
      <c r="AH797" s="7">
        <v>1.2609999999999999</v>
      </c>
      <c r="AI797" s="11">
        <v>0</v>
      </c>
      <c r="AJ797" s="9">
        <v>0</v>
      </c>
      <c r="AK797" s="9">
        <v>0</v>
      </c>
      <c r="AL797" s="9">
        <v>0</v>
      </c>
      <c r="AM797" s="9">
        <v>0</v>
      </c>
      <c r="AN797" s="9">
        <v>0</v>
      </c>
      <c r="AO797" s="9">
        <v>0</v>
      </c>
      <c r="AP797" s="9">
        <v>0</v>
      </c>
      <c r="AQ797" s="9">
        <v>0</v>
      </c>
      <c r="AR797" s="9">
        <v>0</v>
      </c>
      <c r="AS797" s="9">
        <v>0</v>
      </c>
      <c r="AT797" s="9">
        <v>0</v>
      </c>
    </row>
    <row r="798" spans="1:46" x14ac:dyDescent="0.25">
      <c r="A798" s="4" t="s">
        <v>196</v>
      </c>
      <c r="B798" s="4" t="s">
        <v>207</v>
      </c>
      <c r="C798" s="4" t="s">
        <v>246</v>
      </c>
      <c r="D798" s="4" t="s">
        <v>259</v>
      </c>
      <c r="E798" s="4" t="s">
        <v>248</v>
      </c>
      <c r="F798" s="4" t="s">
        <v>195</v>
      </c>
      <c r="G798" s="4" t="s">
        <v>260</v>
      </c>
      <c r="H798" s="4" t="s">
        <v>251</v>
      </c>
      <c r="I798" s="7">
        <v>0</v>
      </c>
      <c r="J798" s="7">
        <v>0</v>
      </c>
      <c r="K798" s="7">
        <v>0</v>
      </c>
      <c r="L798" s="7">
        <v>0.98040959999999999</v>
      </c>
      <c r="M798" s="7">
        <v>0.97743590000000002</v>
      </c>
      <c r="N798" s="7">
        <v>1.1156782999999999</v>
      </c>
      <c r="O798" s="7">
        <v>1.3015871000000001</v>
      </c>
      <c r="P798" s="7">
        <v>2.0613750999999998</v>
      </c>
      <c r="Q798" s="7">
        <v>1.8942406000000001</v>
      </c>
      <c r="R798" s="7">
        <v>0.98478310000000002</v>
      </c>
      <c r="S798" s="7">
        <v>1.5139776</v>
      </c>
      <c r="T798" s="7">
        <v>1.5132464000000001</v>
      </c>
      <c r="U798" s="7">
        <v>0.5308081</v>
      </c>
      <c r="V798" s="7">
        <v>0.53017080000000005</v>
      </c>
      <c r="W798" s="7">
        <v>0.70664830000000001</v>
      </c>
      <c r="X798" s="7">
        <v>0.63725639999999995</v>
      </c>
      <c r="Y798" s="7">
        <v>0.47532370000000002</v>
      </c>
      <c r="Z798" s="7">
        <v>0.47481190000000001</v>
      </c>
      <c r="AA798" s="7">
        <v>0.47416740000000002</v>
      </c>
      <c r="AB798" s="7">
        <v>0.4737825</v>
      </c>
      <c r="AC798" s="7">
        <v>0.4736281</v>
      </c>
      <c r="AD798" s="7">
        <v>0.47344389999999997</v>
      </c>
      <c r="AE798" s="7">
        <v>0.4729835</v>
      </c>
      <c r="AF798" s="7">
        <v>0.42062270000000002</v>
      </c>
      <c r="AG798" s="7">
        <v>0.42033160000000003</v>
      </c>
      <c r="AH798" s="7">
        <v>0.33577780000000002</v>
      </c>
      <c r="AI798" s="7">
        <v>0</v>
      </c>
      <c r="AJ798" s="9">
        <v>0</v>
      </c>
      <c r="AK798" s="9">
        <v>0</v>
      </c>
      <c r="AL798" s="9">
        <v>0</v>
      </c>
      <c r="AM798" s="9">
        <v>0</v>
      </c>
      <c r="AN798" s="9">
        <v>0</v>
      </c>
      <c r="AO798" s="9">
        <v>0</v>
      </c>
      <c r="AP798" s="9">
        <v>0</v>
      </c>
      <c r="AQ798" s="9">
        <v>0</v>
      </c>
      <c r="AR798" s="9">
        <v>0</v>
      </c>
      <c r="AS798" s="9">
        <v>0</v>
      </c>
      <c r="AT798" s="9">
        <v>0</v>
      </c>
    </row>
    <row r="799" spans="1:46" x14ac:dyDescent="0.25">
      <c r="A799" s="4" t="s">
        <v>196</v>
      </c>
      <c r="B799" s="4" t="s">
        <v>207</v>
      </c>
      <c r="C799" s="4" t="s">
        <v>246</v>
      </c>
      <c r="D799" s="4" t="s">
        <v>259</v>
      </c>
      <c r="E799" s="4" t="s">
        <v>248</v>
      </c>
      <c r="F799" s="4" t="s">
        <v>195</v>
      </c>
      <c r="G799" s="4" t="s">
        <v>260</v>
      </c>
      <c r="H799" s="4" t="s">
        <v>252</v>
      </c>
      <c r="I799" s="17">
        <v>0</v>
      </c>
      <c r="J799" s="17">
        <v>0</v>
      </c>
      <c r="K799" s="17">
        <v>0</v>
      </c>
      <c r="L799" s="16">
        <v>5.2999999999999999E-2</v>
      </c>
      <c r="M799" s="16">
        <v>5.2999999999999999E-2</v>
      </c>
      <c r="N799" s="17">
        <v>0</v>
      </c>
      <c r="O799" s="17">
        <v>0</v>
      </c>
      <c r="P799" s="16">
        <v>0.40500000000000003</v>
      </c>
      <c r="Q799" s="17">
        <v>0</v>
      </c>
      <c r="R799" s="17">
        <v>0</v>
      </c>
      <c r="S799" s="16">
        <v>5.0999999999999997E-2</v>
      </c>
      <c r="T799" s="16">
        <v>0.05</v>
      </c>
      <c r="U799" s="16">
        <v>5.0999999999999997E-2</v>
      </c>
      <c r="V799" s="16">
        <v>4.9000000000000002E-2</v>
      </c>
      <c r="W799" s="16">
        <v>4.3999999999999997E-2</v>
      </c>
      <c r="X799" s="16">
        <v>3.9E-2</v>
      </c>
      <c r="Y799" s="16">
        <v>3.1E-2</v>
      </c>
      <c r="Z799" s="16">
        <v>1.7999999999999999E-2</v>
      </c>
      <c r="AA799" s="16">
        <v>0.27</v>
      </c>
      <c r="AB799" s="16">
        <v>0.20399999999999999</v>
      </c>
      <c r="AC799" s="16">
        <v>0.154</v>
      </c>
      <c r="AD799" s="16">
        <v>0.13900000000000001</v>
      </c>
      <c r="AE799" s="16">
        <v>0.13400000000000001</v>
      </c>
      <c r="AF799" s="16">
        <v>0.112</v>
      </c>
      <c r="AG799" s="16">
        <v>9.2999999999999999E-2</v>
      </c>
      <c r="AH799" s="17">
        <v>0</v>
      </c>
      <c r="AI799" s="17">
        <v>0</v>
      </c>
      <c r="AJ799" s="9">
        <v>0</v>
      </c>
      <c r="AK799" s="9">
        <v>0</v>
      </c>
      <c r="AL799" s="9">
        <v>0</v>
      </c>
      <c r="AM799" s="9">
        <v>0</v>
      </c>
      <c r="AN799" s="9">
        <v>0</v>
      </c>
      <c r="AO799" s="9">
        <v>0</v>
      </c>
      <c r="AP799" s="9">
        <v>0</v>
      </c>
      <c r="AQ799" s="9">
        <v>0</v>
      </c>
      <c r="AR799" s="9">
        <v>0</v>
      </c>
      <c r="AS799" s="9">
        <v>0</v>
      </c>
      <c r="AT799" s="9">
        <v>0</v>
      </c>
    </row>
    <row r="800" spans="1:46" x14ac:dyDescent="0.25">
      <c r="A800" s="4" t="s">
        <v>196</v>
      </c>
      <c r="B800" s="4" t="s">
        <v>207</v>
      </c>
      <c r="C800" s="4" t="s">
        <v>246</v>
      </c>
      <c r="D800" s="4" t="s">
        <v>259</v>
      </c>
      <c r="E800" s="4" t="s">
        <v>261</v>
      </c>
      <c r="F800" s="4" t="s">
        <v>195</v>
      </c>
      <c r="G800" s="4" t="s">
        <v>93</v>
      </c>
      <c r="H800" s="4" t="s">
        <v>151</v>
      </c>
      <c r="I800" s="5">
        <v>187.73599999999999</v>
      </c>
      <c r="J800" s="5">
        <v>404.488</v>
      </c>
      <c r="K800" s="5">
        <v>472.74900000000002</v>
      </c>
      <c r="L800" s="5">
        <v>419.38299999999998</v>
      </c>
      <c r="M800" s="5">
        <v>508.48899999999998</v>
      </c>
      <c r="N800" s="5">
        <v>434.63900000000001</v>
      </c>
      <c r="O800" s="5">
        <v>481.79199999999997</v>
      </c>
      <c r="P800" s="5">
        <v>439.22800000000001</v>
      </c>
      <c r="Q800" s="5">
        <v>337.29199999999997</v>
      </c>
      <c r="R800" s="5">
        <v>205.755</v>
      </c>
      <c r="S800" s="5">
        <v>236.392</v>
      </c>
      <c r="T800" s="5">
        <v>235.99600000000001</v>
      </c>
      <c r="U800" s="5">
        <v>257.82499999999999</v>
      </c>
      <c r="V800" s="5">
        <v>316.15199999999999</v>
      </c>
      <c r="W800" s="5">
        <v>479.06099999999998</v>
      </c>
      <c r="X800" s="5">
        <v>356.99400000000003</v>
      </c>
      <c r="Y800" s="5">
        <v>384.11599999999999</v>
      </c>
      <c r="Z800" s="5">
        <v>486.32799999999997</v>
      </c>
      <c r="AA800" s="5">
        <v>407.48500000000001</v>
      </c>
      <c r="AB800" s="5">
        <v>432.517</v>
      </c>
      <c r="AC800" s="5">
        <v>371.30700000000002</v>
      </c>
      <c r="AD800" s="5">
        <v>279.86200000000002</v>
      </c>
      <c r="AE800" s="5">
        <v>312.66500000000002</v>
      </c>
      <c r="AF800" s="5">
        <v>256.16399999999999</v>
      </c>
      <c r="AG800" s="5">
        <v>229.167</v>
      </c>
      <c r="AH800" s="5">
        <v>149.92699999999999</v>
      </c>
      <c r="AI800" s="5">
        <v>190.55699999999999</v>
      </c>
      <c r="AJ800" s="5">
        <v>344.11700000000002</v>
      </c>
      <c r="AK800" s="5">
        <v>452.79300000000001</v>
      </c>
      <c r="AL800" s="5">
        <v>417.89</v>
      </c>
      <c r="AM800" s="5">
        <v>538.15200000000004</v>
      </c>
      <c r="AN800" s="5">
        <v>630.06299999999999</v>
      </c>
      <c r="AO800" s="5">
        <v>575.54999999999995</v>
      </c>
      <c r="AP800" s="5">
        <v>328.46199999999999</v>
      </c>
      <c r="AQ800" s="5">
        <v>252.93799999999999</v>
      </c>
      <c r="AR800" s="5">
        <v>189.59299999999999</v>
      </c>
      <c r="AS800" s="5">
        <v>164.41499999999999</v>
      </c>
      <c r="AT800" s="5">
        <v>164.41499999999999</v>
      </c>
    </row>
    <row r="801" spans="1:46" x14ac:dyDescent="0.25">
      <c r="A801" s="4" t="s">
        <v>196</v>
      </c>
      <c r="B801" s="4" t="s">
        <v>207</v>
      </c>
      <c r="C801" s="4" t="s">
        <v>246</v>
      </c>
      <c r="D801" s="4" t="s">
        <v>259</v>
      </c>
      <c r="E801" s="4" t="s">
        <v>261</v>
      </c>
      <c r="F801" s="4" t="s">
        <v>195</v>
      </c>
      <c r="G801" s="4" t="s">
        <v>93</v>
      </c>
      <c r="H801" s="4" t="s">
        <v>205</v>
      </c>
      <c r="I801" s="6">
        <v>39301.798000000003</v>
      </c>
      <c r="J801" s="6">
        <v>81138.159</v>
      </c>
      <c r="K801" s="6">
        <v>98735.547999999995</v>
      </c>
      <c r="L801" s="6">
        <v>96012.697</v>
      </c>
      <c r="M801" s="6">
        <v>112827.799</v>
      </c>
      <c r="N801" s="6">
        <v>90847.839000000007</v>
      </c>
      <c r="O801" s="6">
        <v>99625.684999999998</v>
      </c>
      <c r="P801" s="6">
        <v>95640.07</v>
      </c>
      <c r="Q801" s="6">
        <v>73330.228000000003</v>
      </c>
      <c r="R801" s="6">
        <v>44818.646000000001</v>
      </c>
      <c r="S801" s="6">
        <v>52482.711000000003</v>
      </c>
      <c r="T801" s="6">
        <v>50704.544999999998</v>
      </c>
      <c r="U801" s="6">
        <v>61693.851999999999</v>
      </c>
      <c r="V801" s="6">
        <v>79434.187999999995</v>
      </c>
      <c r="W801" s="6">
        <v>117902.359</v>
      </c>
      <c r="X801" s="6">
        <v>92648.843999999997</v>
      </c>
      <c r="Y801" s="6">
        <v>88294.145000000004</v>
      </c>
      <c r="Z801" s="6">
        <v>116018.857</v>
      </c>
      <c r="AA801" s="6">
        <v>105273.88400000001</v>
      </c>
      <c r="AB801" s="6">
        <v>103198.35400000001</v>
      </c>
      <c r="AC801" s="6">
        <v>78689.725999999995</v>
      </c>
      <c r="AD801" s="6">
        <v>63693.07</v>
      </c>
      <c r="AE801" s="6">
        <v>71820.456000000006</v>
      </c>
      <c r="AF801" s="6">
        <v>60096.322</v>
      </c>
      <c r="AG801" s="6">
        <v>54564.839</v>
      </c>
      <c r="AH801" s="6">
        <v>41195.394</v>
      </c>
      <c r="AI801" s="6">
        <v>58723.533000000003</v>
      </c>
      <c r="AJ801" s="6">
        <v>102422.481</v>
      </c>
      <c r="AK801" s="6">
        <v>128193.75599999999</v>
      </c>
      <c r="AL801" s="6">
        <v>121860.772</v>
      </c>
      <c r="AM801" s="6">
        <v>160991.29399999999</v>
      </c>
      <c r="AN801" s="6">
        <v>183638.66200000001</v>
      </c>
      <c r="AO801" s="6">
        <v>163723.712</v>
      </c>
      <c r="AP801" s="6">
        <v>88338.06</v>
      </c>
      <c r="AQ801" s="6">
        <v>67927.654999999999</v>
      </c>
      <c r="AR801" s="6">
        <v>54249.148999999998</v>
      </c>
      <c r="AS801" s="6">
        <v>42193.17</v>
      </c>
      <c r="AT801" s="6">
        <v>42193.17</v>
      </c>
    </row>
    <row r="802" spans="1:46" x14ac:dyDescent="0.25">
      <c r="A802" s="4" t="s">
        <v>196</v>
      </c>
      <c r="B802" s="4" t="s">
        <v>207</v>
      </c>
      <c r="C802" s="4" t="s">
        <v>246</v>
      </c>
      <c r="D802" s="4" t="s">
        <v>259</v>
      </c>
      <c r="E802" s="4" t="s">
        <v>261</v>
      </c>
      <c r="F802" s="4" t="s">
        <v>195</v>
      </c>
      <c r="G802" s="4" t="s">
        <v>93</v>
      </c>
      <c r="H802" s="4" t="s">
        <v>249</v>
      </c>
      <c r="I802" s="7">
        <v>2.8140000000000001</v>
      </c>
      <c r="J802" s="7">
        <v>3.7309999999999999</v>
      </c>
      <c r="K802" s="7">
        <v>2.8559999999999999</v>
      </c>
      <c r="L802" s="7">
        <v>2.0470000000000002</v>
      </c>
      <c r="M802" s="7">
        <v>1.6459999999999999</v>
      </c>
      <c r="N802" s="7">
        <v>1.522</v>
      </c>
      <c r="O802" s="7">
        <v>2.1139999999999999</v>
      </c>
      <c r="P802" s="7">
        <v>2.88</v>
      </c>
      <c r="Q802" s="7">
        <v>3.2290000000000001</v>
      </c>
      <c r="R802" s="7">
        <v>2.9380000000000002</v>
      </c>
      <c r="S802" s="7">
        <v>3.903</v>
      </c>
      <c r="T802" s="7">
        <v>4.2629999999999999</v>
      </c>
      <c r="U802" s="7">
        <v>3.7069999999999999</v>
      </c>
      <c r="V802" s="7">
        <v>3.6619999999999999</v>
      </c>
      <c r="W802" s="7">
        <v>3.2080000000000002</v>
      </c>
      <c r="X802" s="7">
        <v>1.448</v>
      </c>
      <c r="Y802" s="7">
        <v>1.41</v>
      </c>
      <c r="Z802" s="7">
        <v>1.8560000000000001</v>
      </c>
      <c r="AA802" s="7">
        <v>1.532</v>
      </c>
      <c r="AB802" s="7">
        <v>2.258</v>
      </c>
      <c r="AC802" s="7">
        <v>2.589</v>
      </c>
      <c r="AD802" s="7">
        <v>2.746</v>
      </c>
      <c r="AE802" s="7">
        <v>3.6709999999999998</v>
      </c>
      <c r="AF802" s="7">
        <v>3.6480000000000001</v>
      </c>
      <c r="AG802" s="7">
        <v>3.194</v>
      </c>
      <c r="AH802" s="7">
        <v>1.5680000000000001</v>
      </c>
      <c r="AI802" s="7">
        <v>1.4059999999999999</v>
      </c>
      <c r="AJ802" s="7">
        <v>1.3</v>
      </c>
      <c r="AK802" s="7">
        <v>1.0469999999999999</v>
      </c>
      <c r="AL802" s="7">
        <v>1.1279999999999999</v>
      </c>
      <c r="AM802" s="7">
        <v>0.999</v>
      </c>
      <c r="AN802" s="7">
        <v>1.0249999999999999</v>
      </c>
      <c r="AO802" s="7">
        <v>1.5189999999999999</v>
      </c>
      <c r="AP802" s="7">
        <v>1.736</v>
      </c>
      <c r="AQ802" s="7">
        <v>2.1859999999999999</v>
      </c>
      <c r="AR802" s="7">
        <v>2.4900000000000002</v>
      </c>
      <c r="AS802" s="7">
        <v>2.2829999999999999</v>
      </c>
      <c r="AT802" s="7">
        <v>0.32400000000000001</v>
      </c>
    </row>
    <row r="803" spans="1:46" x14ac:dyDescent="0.25">
      <c r="A803" s="4" t="s">
        <v>196</v>
      </c>
      <c r="B803" s="4" t="s">
        <v>207</v>
      </c>
      <c r="C803" s="4" t="s">
        <v>246</v>
      </c>
      <c r="D803" s="4" t="s">
        <v>259</v>
      </c>
      <c r="E803" s="4" t="s">
        <v>261</v>
      </c>
      <c r="F803" s="4" t="s">
        <v>195</v>
      </c>
      <c r="G803" s="4" t="s">
        <v>93</v>
      </c>
      <c r="H803" s="4" t="s">
        <v>250</v>
      </c>
      <c r="I803" s="7">
        <v>44.27</v>
      </c>
      <c r="J803" s="7">
        <v>48.664000000000001</v>
      </c>
      <c r="K803" s="7">
        <v>56.167000000000002</v>
      </c>
      <c r="L803" s="7">
        <v>49.610999999999997</v>
      </c>
      <c r="M803" s="7">
        <v>46.667000000000002</v>
      </c>
      <c r="N803" s="7">
        <v>42.226999999999997</v>
      </c>
      <c r="O803" s="7">
        <v>39.195</v>
      </c>
      <c r="P803" s="7">
        <v>42.923000000000002</v>
      </c>
      <c r="Q803" s="7">
        <v>48.8</v>
      </c>
      <c r="R803" s="7">
        <v>46.203000000000003</v>
      </c>
      <c r="S803" s="7">
        <v>44.042000000000002</v>
      </c>
      <c r="T803" s="7">
        <v>45.511000000000003</v>
      </c>
      <c r="U803" s="7">
        <v>41.865000000000002</v>
      </c>
      <c r="V803" s="7">
        <v>48.991999999999997</v>
      </c>
      <c r="W803" s="7">
        <v>50.585999999999999</v>
      </c>
      <c r="X803" s="7">
        <v>50.884</v>
      </c>
      <c r="Y803" s="7">
        <v>40.573</v>
      </c>
      <c r="Z803" s="7">
        <v>42.600999999999999</v>
      </c>
      <c r="AA803" s="7">
        <v>45.448</v>
      </c>
      <c r="AB803" s="7">
        <v>40.417999999999999</v>
      </c>
      <c r="AC803" s="7">
        <v>39.448</v>
      </c>
      <c r="AD803" s="7">
        <v>39.734000000000002</v>
      </c>
      <c r="AE803" s="7">
        <v>42.609000000000002</v>
      </c>
      <c r="AF803" s="7">
        <v>38.411000000000001</v>
      </c>
      <c r="AG803" s="7">
        <v>39.35</v>
      </c>
      <c r="AH803" s="7">
        <v>36.527000000000001</v>
      </c>
      <c r="AI803" s="7">
        <v>40.112000000000002</v>
      </c>
      <c r="AJ803" s="7">
        <v>41.167999999999999</v>
      </c>
      <c r="AK803" s="7">
        <v>44.45</v>
      </c>
      <c r="AL803" s="7">
        <v>44.213000000000001</v>
      </c>
      <c r="AM803" s="7">
        <v>44.210999999999999</v>
      </c>
      <c r="AN803" s="7">
        <v>48.399000000000001</v>
      </c>
      <c r="AO803" s="7">
        <v>48.186999999999998</v>
      </c>
      <c r="AP803" s="7">
        <v>49.41</v>
      </c>
      <c r="AQ803" s="7">
        <v>41.048999999999999</v>
      </c>
      <c r="AR803" s="7">
        <v>41.863999999999997</v>
      </c>
      <c r="AS803" s="7">
        <v>28.19</v>
      </c>
      <c r="AT803" s="5">
        <v>496.77499999999998</v>
      </c>
    </row>
    <row r="804" spans="1:46" x14ac:dyDescent="0.25">
      <c r="A804" s="4" t="s">
        <v>196</v>
      </c>
      <c r="B804" s="4" t="s">
        <v>207</v>
      </c>
      <c r="C804" s="4" t="s">
        <v>246</v>
      </c>
      <c r="D804" s="4" t="s">
        <v>259</v>
      </c>
      <c r="E804" s="4" t="s">
        <v>261</v>
      </c>
      <c r="F804" s="4" t="s">
        <v>195</v>
      </c>
      <c r="G804" s="4" t="s">
        <v>93</v>
      </c>
      <c r="H804" s="4" t="s">
        <v>251</v>
      </c>
      <c r="I804" s="7">
        <v>24.333243199999998</v>
      </c>
      <c r="J804" s="7">
        <v>26.108962500000001</v>
      </c>
      <c r="K804" s="7">
        <v>28.0871128</v>
      </c>
      <c r="L804" s="7">
        <v>28.545605299999998</v>
      </c>
      <c r="M804" s="7">
        <v>29.299862699999998</v>
      </c>
      <c r="N804" s="7">
        <v>26.8850637</v>
      </c>
      <c r="O804" s="7">
        <v>25.9494972</v>
      </c>
      <c r="P804" s="7">
        <v>25.224419999999999</v>
      </c>
      <c r="Q804" s="7">
        <v>27.529672300000001</v>
      </c>
      <c r="R804" s="7">
        <v>26.512861300000001</v>
      </c>
      <c r="S804" s="7">
        <v>24.727905400000001</v>
      </c>
      <c r="T804" s="7">
        <v>24.4101927</v>
      </c>
      <c r="U804" s="7">
        <v>25.822877500000001</v>
      </c>
      <c r="V804" s="7">
        <v>28.9957879</v>
      </c>
      <c r="W804" s="7">
        <v>31.652333800000001</v>
      </c>
      <c r="X804" s="7">
        <v>32.224018600000001</v>
      </c>
      <c r="Y804" s="7">
        <v>30.043945300000001</v>
      </c>
      <c r="Z804" s="7">
        <v>29.5966062</v>
      </c>
      <c r="AA804" s="7">
        <v>32.476038699999997</v>
      </c>
      <c r="AB804" s="7">
        <v>29.017848999999998</v>
      </c>
      <c r="AC804" s="7">
        <v>26.560936000000002</v>
      </c>
      <c r="AD804" s="7">
        <v>26.142688400000001</v>
      </c>
      <c r="AE804" s="7">
        <v>23.356366600000001</v>
      </c>
      <c r="AF804" s="7">
        <v>22.2099774</v>
      </c>
      <c r="AG804" s="7">
        <v>23.020140999999999</v>
      </c>
      <c r="AH804" s="7">
        <v>25.076276499999999</v>
      </c>
      <c r="AI804" s="7">
        <v>26.7279616</v>
      </c>
      <c r="AJ804" s="7">
        <v>26.556186</v>
      </c>
      <c r="AK804" s="7">
        <v>28.1999277</v>
      </c>
      <c r="AL804" s="7">
        <v>25.466891100000002</v>
      </c>
      <c r="AM804" s="7">
        <v>24.481039800000001</v>
      </c>
      <c r="AN804" s="7">
        <v>25.339757599999999</v>
      </c>
      <c r="AO804" s="7">
        <v>23.700145200000001</v>
      </c>
      <c r="AP804" s="7">
        <v>22.5027726</v>
      </c>
      <c r="AQ804" s="7">
        <v>22.899434400000001</v>
      </c>
      <c r="AR804" s="7">
        <v>21.987803299999999</v>
      </c>
      <c r="AS804" s="7">
        <v>21.915987600000001</v>
      </c>
      <c r="AT804" s="7">
        <v>28.19</v>
      </c>
    </row>
    <row r="805" spans="1:46" x14ac:dyDescent="0.25">
      <c r="A805" s="4" t="s">
        <v>196</v>
      </c>
      <c r="B805" s="4" t="s">
        <v>207</v>
      </c>
      <c r="C805" s="4" t="s">
        <v>246</v>
      </c>
      <c r="D805" s="4" t="s">
        <v>259</v>
      </c>
      <c r="E805" s="4" t="s">
        <v>261</v>
      </c>
      <c r="F805" s="4" t="s">
        <v>195</v>
      </c>
      <c r="G805" s="4" t="s">
        <v>93</v>
      </c>
      <c r="H805" s="4" t="s">
        <v>252</v>
      </c>
      <c r="I805" s="16">
        <v>1.175</v>
      </c>
      <c r="J805" s="16">
        <v>1.173</v>
      </c>
      <c r="K805" s="16">
        <v>1.0529999999999999</v>
      </c>
      <c r="L805" s="16">
        <v>1.016</v>
      </c>
      <c r="M805" s="16">
        <v>1.0049999999999999</v>
      </c>
      <c r="N805" s="16">
        <v>1.161</v>
      </c>
      <c r="O805" s="16">
        <v>1.4850000000000001</v>
      </c>
      <c r="P805" s="16">
        <v>1.248</v>
      </c>
      <c r="Q805" s="16">
        <v>1.224</v>
      </c>
      <c r="R805" s="16">
        <v>1.2929999999999999</v>
      </c>
      <c r="S805" s="16">
        <v>1.278</v>
      </c>
      <c r="T805" s="16">
        <v>1.2230000000000001</v>
      </c>
      <c r="U805" s="16">
        <v>1.244</v>
      </c>
      <c r="V805" s="16">
        <v>1.2150000000000001</v>
      </c>
      <c r="W805" s="16">
        <v>1.4550000000000001</v>
      </c>
      <c r="X805" s="16">
        <v>1.5029999999999999</v>
      </c>
      <c r="Y805" s="16">
        <v>1.234</v>
      </c>
      <c r="Z805" s="16">
        <v>0.93700000000000006</v>
      </c>
      <c r="AA805" s="16">
        <v>1.1970000000000001</v>
      </c>
      <c r="AB805" s="16">
        <v>1.071</v>
      </c>
      <c r="AC805" s="16">
        <v>0.96199999999999997</v>
      </c>
      <c r="AD805" s="16">
        <v>1.0740000000000001</v>
      </c>
      <c r="AE805" s="16">
        <v>0.83</v>
      </c>
      <c r="AF805" s="16">
        <v>1.0169999999999999</v>
      </c>
      <c r="AG805" s="16">
        <v>0.95799999999999996</v>
      </c>
      <c r="AH805" s="16">
        <v>0.92900000000000005</v>
      </c>
      <c r="AI805" s="16">
        <v>0.97699999999999998</v>
      </c>
      <c r="AJ805" s="16">
        <v>0.74</v>
      </c>
      <c r="AK805" s="16">
        <v>0.92700000000000005</v>
      </c>
      <c r="AL805" s="16">
        <v>0.96199999999999997</v>
      </c>
      <c r="AM805" s="16">
        <v>1.1890000000000001</v>
      </c>
      <c r="AN805" s="16">
        <v>1.3120000000000001</v>
      </c>
      <c r="AO805" s="16">
        <v>1.1499999999999999</v>
      </c>
      <c r="AP805" s="16">
        <v>1.18</v>
      </c>
      <c r="AQ805" s="16">
        <v>1.1499999999999999</v>
      </c>
      <c r="AR805" s="16">
        <v>1.0760000000000001</v>
      </c>
      <c r="AS805" s="16">
        <v>0.94099999999999995</v>
      </c>
      <c r="AT805" s="7">
        <v>21.915987600000001</v>
      </c>
    </row>
    <row r="806" spans="1:46" x14ac:dyDescent="0.25">
      <c r="A806" s="4" t="s">
        <v>196</v>
      </c>
      <c r="B806" s="4" t="s">
        <v>207</v>
      </c>
      <c r="C806" s="4" t="s">
        <v>246</v>
      </c>
      <c r="D806" s="4" t="s">
        <v>259</v>
      </c>
      <c r="E806" s="4" t="s">
        <v>261</v>
      </c>
      <c r="F806" s="4" t="s">
        <v>195</v>
      </c>
      <c r="G806" s="4" t="s">
        <v>262</v>
      </c>
      <c r="H806" s="4" t="s">
        <v>151</v>
      </c>
      <c r="I806" s="5">
        <v>47.14</v>
      </c>
      <c r="J806" s="5">
        <v>58.786000000000001</v>
      </c>
      <c r="K806" s="5">
        <v>62.448999999999998</v>
      </c>
      <c r="L806" s="5">
        <v>132.49199999999999</v>
      </c>
      <c r="M806" s="5">
        <v>155.273</v>
      </c>
      <c r="N806" s="5">
        <v>60.146000000000001</v>
      </c>
      <c r="O806" s="5">
        <v>50.801000000000002</v>
      </c>
      <c r="P806" s="5">
        <v>42.073</v>
      </c>
      <c r="Q806" s="5">
        <v>54.39</v>
      </c>
      <c r="R806" s="5">
        <v>19.800999999999998</v>
      </c>
      <c r="S806" s="5">
        <v>19.126999999999999</v>
      </c>
      <c r="T806" s="5">
        <v>17.186</v>
      </c>
      <c r="U806" s="5">
        <v>57.204999999999998</v>
      </c>
      <c r="V806" s="5">
        <v>41.817</v>
      </c>
      <c r="W806" s="5">
        <v>90.605999999999995</v>
      </c>
      <c r="X806" s="5">
        <v>119.733</v>
      </c>
      <c r="Y806" s="5">
        <v>63.152999999999999</v>
      </c>
      <c r="Z806" s="5">
        <v>67.606999999999999</v>
      </c>
      <c r="AA806" s="5">
        <v>51.470999999999997</v>
      </c>
      <c r="AB806" s="5">
        <v>50.21</v>
      </c>
      <c r="AC806" s="5">
        <v>95.515000000000001</v>
      </c>
      <c r="AD806" s="5">
        <v>81.528999999999996</v>
      </c>
      <c r="AE806" s="5">
        <v>72.527000000000001</v>
      </c>
      <c r="AF806" s="5">
        <v>27.041</v>
      </c>
      <c r="AG806" s="5">
        <v>39.969000000000001</v>
      </c>
      <c r="AH806" s="5">
        <v>51.941000000000003</v>
      </c>
      <c r="AI806" s="5">
        <v>72.92</v>
      </c>
      <c r="AJ806" s="5">
        <v>100.91800000000001</v>
      </c>
      <c r="AK806" s="5">
        <v>25.388000000000002</v>
      </c>
      <c r="AL806" s="5">
        <v>65.361000000000004</v>
      </c>
      <c r="AM806" s="5">
        <v>13.571</v>
      </c>
      <c r="AN806" s="5">
        <v>4.4290000000000003</v>
      </c>
      <c r="AO806" s="5">
        <v>24.581</v>
      </c>
      <c r="AP806" s="5">
        <v>0.42899999999999999</v>
      </c>
      <c r="AQ806" s="5">
        <v>0</v>
      </c>
      <c r="AR806" s="5">
        <v>1</v>
      </c>
      <c r="AS806" s="5">
        <v>0</v>
      </c>
      <c r="AT806" s="5">
        <v>0</v>
      </c>
    </row>
    <row r="807" spans="1:46" x14ac:dyDescent="0.25">
      <c r="A807" s="4" t="s">
        <v>196</v>
      </c>
      <c r="B807" s="4" t="s">
        <v>207</v>
      </c>
      <c r="C807" s="4" t="s">
        <v>246</v>
      </c>
      <c r="D807" s="4" t="s">
        <v>259</v>
      </c>
      <c r="E807" s="4" t="s">
        <v>261</v>
      </c>
      <c r="F807" s="4" t="s">
        <v>195</v>
      </c>
      <c r="G807" s="4" t="s">
        <v>262</v>
      </c>
      <c r="H807" s="4" t="s">
        <v>205</v>
      </c>
      <c r="I807" s="6">
        <v>9134.1910000000007</v>
      </c>
      <c r="J807" s="6">
        <v>12206.843000000001</v>
      </c>
      <c r="K807" s="6">
        <v>13402.343000000001</v>
      </c>
      <c r="L807" s="6">
        <v>26102.038</v>
      </c>
      <c r="M807" s="6">
        <v>32176.919000000002</v>
      </c>
      <c r="N807" s="6">
        <v>12056.144</v>
      </c>
      <c r="O807" s="6">
        <v>11006.963</v>
      </c>
      <c r="P807" s="6">
        <v>9041.1749999999993</v>
      </c>
      <c r="Q807" s="6">
        <v>11028.173000000001</v>
      </c>
      <c r="R807" s="6">
        <v>4235.6679999999997</v>
      </c>
      <c r="S807" s="6">
        <v>4118.1940000000004</v>
      </c>
      <c r="T807" s="6">
        <v>4203.6099999999997</v>
      </c>
      <c r="U807" s="6">
        <v>13168.286</v>
      </c>
      <c r="V807" s="6">
        <v>10214.99</v>
      </c>
      <c r="W807" s="6">
        <v>18245.936000000002</v>
      </c>
      <c r="X807" s="6">
        <v>27799.877</v>
      </c>
      <c r="Y807" s="6">
        <v>13265.084000000001</v>
      </c>
      <c r="Z807" s="6">
        <v>14322.941000000001</v>
      </c>
      <c r="AA807" s="6">
        <v>13316</v>
      </c>
      <c r="AB807" s="6">
        <v>12545.348</v>
      </c>
      <c r="AC807" s="6">
        <v>24660.493999999999</v>
      </c>
      <c r="AD807" s="6">
        <v>20269.096000000001</v>
      </c>
      <c r="AE807" s="6">
        <v>18015.932000000001</v>
      </c>
      <c r="AF807" s="6">
        <v>6928.4350000000004</v>
      </c>
      <c r="AG807" s="6">
        <v>10010.374</v>
      </c>
      <c r="AH807" s="6">
        <v>13768.78</v>
      </c>
      <c r="AI807" s="6">
        <v>19528.829000000002</v>
      </c>
      <c r="AJ807" s="6">
        <v>26015.435000000001</v>
      </c>
      <c r="AK807" s="6">
        <v>6574.2659999999996</v>
      </c>
      <c r="AL807" s="6">
        <v>17005.218000000001</v>
      </c>
      <c r="AM807" s="6">
        <v>3842.1909999999998</v>
      </c>
      <c r="AN807" s="6">
        <v>1317.183</v>
      </c>
      <c r="AO807" s="6">
        <v>6168.2160000000003</v>
      </c>
      <c r="AP807" s="6">
        <v>124.294</v>
      </c>
      <c r="AQ807" s="6">
        <v>0</v>
      </c>
      <c r="AR807" s="6">
        <v>254</v>
      </c>
      <c r="AS807" s="6">
        <v>0</v>
      </c>
      <c r="AT807" s="6">
        <v>0</v>
      </c>
    </row>
    <row r="808" spans="1:46" x14ac:dyDescent="0.25">
      <c r="A808" s="4" t="s">
        <v>196</v>
      </c>
      <c r="B808" s="4" t="s">
        <v>207</v>
      </c>
      <c r="C808" s="4" t="s">
        <v>246</v>
      </c>
      <c r="D808" s="4" t="s">
        <v>259</v>
      </c>
      <c r="E808" s="4" t="s">
        <v>261</v>
      </c>
      <c r="F808" s="4" t="s">
        <v>195</v>
      </c>
      <c r="G808" s="4" t="s">
        <v>262</v>
      </c>
      <c r="H808" s="4" t="s">
        <v>249</v>
      </c>
      <c r="I808" s="7">
        <v>4.0000000000000001E-3</v>
      </c>
      <c r="J808" s="7">
        <v>3.0000000000000001E-3</v>
      </c>
      <c r="K808" s="7">
        <v>2E-3</v>
      </c>
      <c r="L808" s="7">
        <v>3.0000000000000001E-3</v>
      </c>
      <c r="M808" s="7">
        <v>3.0000000000000001E-3</v>
      </c>
      <c r="N808" s="7">
        <v>1E-3</v>
      </c>
      <c r="O808" s="7">
        <v>1E-3</v>
      </c>
      <c r="P808" s="7">
        <v>1E-3</v>
      </c>
      <c r="Q808" s="7">
        <v>3.0000000000000001E-3</v>
      </c>
      <c r="R808" s="7">
        <v>1E-3</v>
      </c>
      <c r="S808" s="7">
        <v>2E-3</v>
      </c>
      <c r="T808" s="7">
        <v>2E-3</v>
      </c>
      <c r="U808" s="7">
        <v>4.0000000000000001E-3</v>
      </c>
      <c r="V808" s="7">
        <v>3.0000000000000001E-3</v>
      </c>
      <c r="W808" s="7">
        <v>3.0000000000000001E-3</v>
      </c>
      <c r="X808" s="7">
        <v>3.0000000000000001E-3</v>
      </c>
      <c r="Y808" s="7">
        <v>1E-3</v>
      </c>
      <c r="Z808" s="7">
        <v>1E-3</v>
      </c>
      <c r="AA808" s="7">
        <v>1E-3</v>
      </c>
      <c r="AB808" s="7">
        <v>1E-3</v>
      </c>
      <c r="AC808" s="7">
        <v>3.0000000000000001E-3</v>
      </c>
      <c r="AD808" s="7">
        <v>4.0000000000000001E-3</v>
      </c>
      <c r="AE808" s="7">
        <v>4.0000000000000001E-3</v>
      </c>
      <c r="AF808" s="7">
        <v>2E-3</v>
      </c>
      <c r="AG808" s="7">
        <v>3.0000000000000001E-3</v>
      </c>
      <c r="AH808" s="7">
        <v>3.0000000000000001E-3</v>
      </c>
      <c r="AI808" s="7">
        <v>3.0000000000000001E-3</v>
      </c>
      <c r="AJ808" s="7">
        <v>2E-3</v>
      </c>
      <c r="AK808" s="7">
        <v>0</v>
      </c>
      <c r="AL808" s="7">
        <v>1E-3</v>
      </c>
      <c r="AM808" s="7">
        <v>0</v>
      </c>
      <c r="AN808" s="7">
        <v>0</v>
      </c>
      <c r="AO808" s="7">
        <v>0</v>
      </c>
      <c r="AP808" s="7">
        <v>0</v>
      </c>
      <c r="AQ808" s="7">
        <v>0</v>
      </c>
      <c r="AR808" s="7">
        <v>0</v>
      </c>
      <c r="AS808" s="7">
        <v>0</v>
      </c>
      <c r="AT808" s="7">
        <v>0</v>
      </c>
    </row>
    <row r="809" spans="1:46" x14ac:dyDescent="0.25">
      <c r="A809" s="4" t="s">
        <v>196</v>
      </c>
      <c r="B809" s="4" t="s">
        <v>207</v>
      </c>
      <c r="C809" s="4" t="s">
        <v>246</v>
      </c>
      <c r="D809" s="4" t="s">
        <v>259</v>
      </c>
      <c r="E809" s="4" t="s">
        <v>261</v>
      </c>
      <c r="F809" s="4" t="s">
        <v>195</v>
      </c>
      <c r="G809" s="4" t="s">
        <v>262</v>
      </c>
      <c r="H809" s="4" t="s">
        <v>250</v>
      </c>
      <c r="I809" s="7">
        <v>11.526</v>
      </c>
      <c r="J809" s="7">
        <v>14.888</v>
      </c>
      <c r="K809" s="7">
        <v>13.587</v>
      </c>
      <c r="L809" s="7">
        <v>14.776999999999999</v>
      </c>
      <c r="M809" s="7">
        <v>13.659000000000001</v>
      </c>
      <c r="N809" s="7">
        <v>9.1059999999999999</v>
      </c>
      <c r="O809" s="7">
        <v>11.368</v>
      </c>
      <c r="P809" s="7">
        <v>12.208</v>
      </c>
      <c r="Q809" s="7">
        <v>9.798</v>
      </c>
      <c r="R809" s="7">
        <v>4.1289999999999996</v>
      </c>
      <c r="S809" s="7">
        <v>7.1559999999999997</v>
      </c>
      <c r="T809" s="7">
        <v>7.7450000000000001</v>
      </c>
      <c r="U809" s="7">
        <v>9.8330000000000002</v>
      </c>
      <c r="V809" s="7">
        <v>12.32</v>
      </c>
      <c r="W809" s="7">
        <v>17.193999999999999</v>
      </c>
      <c r="X809" s="7">
        <v>20.443000000000001</v>
      </c>
      <c r="Y809" s="7">
        <v>15.226000000000001</v>
      </c>
      <c r="Z809" s="7">
        <v>13.724</v>
      </c>
      <c r="AA809" s="7">
        <v>8.5630000000000006</v>
      </c>
      <c r="AB809" s="7">
        <v>8.1029999999999998</v>
      </c>
      <c r="AC809" s="7">
        <v>11.875</v>
      </c>
      <c r="AD809" s="7">
        <v>12.827</v>
      </c>
      <c r="AE809" s="7">
        <v>16.370999999999999</v>
      </c>
      <c r="AF809" s="7">
        <v>12.581</v>
      </c>
      <c r="AG809" s="7">
        <v>11.869</v>
      </c>
      <c r="AH809" s="7">
        <v>16.004000000000001</v>
      </c>
      <c r="AI809" s="7">
        <v>15.282</v>
      </c>
      <c r="AJ809" s="7">
        <v>19.515999999999998</v>
      </c>
      <c r="AK809" s="7">
        <v>11.585000000000001</v>
      </c>
      <c r="AL809" s="7">
        <v>7.0679999999999996</v>
      </c>
      <c r="AM809" s="7">
        <v>6.0830000000000002</v>
      </c>
      <c r="AN809" s="7">
        <v>3.8570000000000002</v>
      </c>
      <c r="AO809" s="7">
        <v>5.8369999999999997</v>
      </c>
      <c r="AP809" s="7">
        <v>0.56799999999999995</v>
      </c>
      <c r="AQ809" s="7">
        <v>6.9000000000000006E-2</v>
      </c>
      <c r="AR809" s="7">
        <v>0.53700000000000003</v>
      </c>
      <c r="AS809" s="7">
        <v>0.14000000000000001</v>
      </c>
      <c r="AT809" s="5">
        <v>20.172000000000001</v>
      </c>
    </row>
    <row r="810" spans="1:46" x14ac:dyDescent="0.25">
      <c r="A810" s="4" t="s">
        <v>196</v>
      </c>
      <c r="B810" s="4" t="s">
        <v>207</v>
      </c>
      <c r="C810" s="4" t="s">
        <v>246</v>
      </c>
      <c r="D810" s="4" t="s">
        <v>259</v>
      </c>
      <c r="E810" s="4" t="s">
        <v>261</v>
      </c>
      <c r="F810" s="4" t="s">
        <v>195</v>
      </c>
      <c r="G810" s="4" t="s">
        <v>262</v>
      </c>
      <c r="H810" s="4" t="s">
        <v>251</v>
      </c>
      <c r="I810" s="7">
        <v>5.4090052000000002</v>
      </c>
      <c r="J810" s="7">
        <v>5.5911539000000001</v>
      </c>
      <c r="K810" s="7">
        <v>6.2109395000000003</v>
      </c>
      <c r="L810" s="7">
        <v>6.1928796999999998</v>
      </c>
      <c r="M810" s="7">
        <v>5.9315696999999998</v>
      </c>
      <c r="N810" s="7">
        <v>5.6190256999999999</v>
      </c>
      <c r="O810" s="7">
        <v>6.2901807999999999</v>
      </c>
      <c r="P810" s="7">
        <v>5.7410511</v>
      </c>
      <c r="Q810" s="7">
        <v>5.3942964</v>
      </c>
      <c r="R810" s="7">
        <v>3.1262954999999999</v>
      </c>
      <c r="S810" s="7">
        <v>3.3844422999999999</v>
      </c>
      <c r="T810" s="7">
        <v>3.3828076</v>
      </c>
      <c r="U810" s="7">
        <v>3.3853067000000001</v>
      </c>
      <c r="V810" s="7">
        <v>4.4727701</v>
      </c>
      <c r="W810" s="7">
        <v>4.6640161999999998</v>
      </c>
      <c r="X810" s="7">
        <v>5.2509930000000002</v>
      </c>
      <c r="Y810" s="7">
        <v>3.8596287</v>
      </c>
      <c r="Z810" s="7">
        <v>3.7451894000000001</v>
      </c>
      <c r="AA810" s="7">
        <v>3.1962674</v>
      </c>
      <c r="AB810" s="7">
        <v>3.4463568000000002</v>
      </c>
      <c r="AC810" s="7">
        <v>4.8696543999999999</v>
      </c>
      <c r="AD810" s="7">
        <v>3.8577471999999999</v>
      </c>
      <c r="AE810" s="7">
        <v>3.8970056</v>
      </c>
      <c r="AF810" s="7">
        <v>2.1192912000000002</v>
      </c>
      <c r="AG810" s="7">
        <v>2.7529135</v>
      </c>
      <c r="AH810" s="7">
        <v>3.7497989999999999</v>
      </c>
      <c r="AI810" s="7">
        <v>3.9092129999999998</v>
      </c>
      <c r="AJ810" s="7">
        <v>3.9704814000000002</v>
      </c>
      <c r="AK810" s="7">
        <v>3.0063989000000002</v>
      </c>
      <c r="AL810" s="7">
        <v>2.6294713999999999</v>
      </c>
      <c r="AM810" s="7">
        <v>2.4292691999999998</v>
      </c>
      <c r="AN810" s="7">
        <v>2.0944617000000001</v>
      </c>
      <c r="AO810" s="7">
        <v>1.9258842</v>
      </c>
      <c r="AP810" s="7">
        <v>0.45485009999999998</v>
      </c>
      <c r="AQ810" s="7">
        <v>0.3877679</v>
      </c>
      <c r="AR810" s="7">
        <v>0.52269710000000003</v>
      </c>
      <c r="AS810" s="7">
        <v>0.45331909999999997</v>
      </c>
      <c r="AT810" s="7">
        <v>0.14000000000000001</v>
      </c>
    </row>
    <row r="811" spans="1:46" x14ac:dyDescent="0.25">
      <c r="A811" s="4" t="s">
        <v>196</v>
      </c>
      <c r="B811" s="4" t="s">
        <v>207</v>
      </c>
      <c r="C811" s="4" t="s">
        <v>246</v>
      </c>
      <c r="D811" s="4" t="s">
        <v>259</v>
      </c>
      <c r="E811" s="4" t="s">
        <v>261</v>
      </c>
      <c r="F811" s="4" t="s">
        <v>195</v>
      </c>
      <c r="G811" s="4" t="s">
        <v>262</v>
      </c>
      <c r="H811" s="4" t="s">
        <v>252</v>
      </c>
      <c r="I811" s="16">
        <v>0.17100000000000001</v>
      </c>
      <c r="J811" s="16">
        <v>0.14899999999999999</v>
      </c>
      <c r="K811" s="16">
        <v>0.152</v>
      </c>
      <c r="L811" s="16">
        <v>0.156</v>
      </c>
      <c r="M811" s="16">
        <v>0.156</v>
      </c>
      <c r="N811" s="16">
        <v>0.20200000000000001</v>
      </c>
      <c r="O811" s="16">
        <v>0.193</v>
      </c>
      <c r="P811" s="16">
        <v>0.188</v>
      </c>
      <c r="Q811" s="16">
        <v>9.2999999999999999E-2</v>
      </c>
      <c r="R811" s="16">
        <v>9.7000000000000003E-2</v>
      </c>
      <c r="S811" s="16">
        <v>0.107</v>
      </c>
      <c r="T811" s="16">
        <v>0.10100000000000001</v>
      </c>
      <c r="U811" s="16">
        <v>0.13200000000000001</v>
      </c>
      <c r="V811" s="16">
        <v>0.127</v>
      </c>
      <c r="W811" s="16">
        <v>6.3E-2</v>
      </c>
      <c r="X811" s="16">
        <v>0.17100000000000001</v>
      </c>
      <c r="Y811" s="16">
        <v>0.122</v>
      </c>
      <c r="Z811" s="16">
        <v>0.113</v>
      </c>
      <c r="AA811" s="16">
        <v>0.11</v>
      </c>
      <c r="AB811" s="16">
        <v>9.6000000000000002E-2</v>
      </c>
      <c r="AC811" s="16">
        <v>0.10299999999999999</v>
      </c>
      <c r="AD811" s="16">
        <v>0.107</v>
      </c>
      <c r="AE811" s="16">
        <v>0.113</v>
      </c>
      <c r="AF811" s="16">
        <v>7.9000000000000001E-2</v>
      </c>
      <c r="AG811" s="16">
        <v>8.1000000000000003E-2</v>
      </c>
      <c r="AH811" s="16">
        <v>5.1999999999999998E-2</v>
      </c>
      <c r="AI811" s="16">
        <v>4.2000000000000003E-2</v>
      </c>
      <c r="AJ811" s="16">
        <v>4.2000000000000003E-2</v>
      </c>
      <c r="AK811" s="16">
        <v>5.5E-2</v>
      </c>
      <c r="AL811" s="16">
        <v>5.8000000000000003E-2</v>
      </c>
      <c r="AM811" s="16">
        <v>6.2E-2</v>
      </c>
      <c r="AN811" s="16">
        <v>5.6000000000000001E-2</v>
      </c>
      <c r="AO811" s="16">
        <v>1.4999999999999999E-2</v>
      </c>
      <c r="AP811" s="16">
        <v>1.4999999999999999E-2</v>
      </c>
      <c r="AQ811" s="16">
        <v>1.7000000000000001E-2</v>
      </c>
      <c r="AR811" s="16">
        <v>2.1000000000000001E-2</v>
      </c>
      <c r="AS811" s="16">
        <v>0.02</v>
      </c>
      <c r="AT811" s="7">
        <v>0.45331909999999997</v>
      </c>
    </row>
    <row r="812" spans="1:46" x14ac:dyDescent="0.25">
      <c r="A812" s="4" t="s">
        <v>196</v>
      </c>
      <c r="B812" s="4" t="s">
        <v>207</v>
      </c>
      <c r="C812" s="4" t="s">
        <v>246</v>
      </c>
      <c r="D812" s="4" t="s">
        <v>263</v>
      </c>
      <c r="E812" s="4" t="s">
        <v>248</v>
      </c>
      <c r="F812" s="4" t="s">
        <v>201</v>
      </c>
      <c r="G812" s="4" t="s">
        <v>71</v>
      </c>
      <c r="H812" s="4" t="s">
        <v>151</v>
      </c>
      <c r="I812" s="8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9">
        <v>0</v>
      </c>
      <c r="AE812" s="9">
        <v>0</v>
      </c>
      <c r="AF812" s="9">
        <v>0</v>
      </c>
      <c r="AG812" s="9">
        <v>0</v>
      </c>
      <c r="AH812" s="9">
        <v>0</v>
      </c>
      <c r="AI812" s="9">
        <v>0</v>
      </c>
      <c r="AJ812" s="9">
        <v>0</v>
      </c>
      <c r="AK812" s="9">
        <v>0</v>
      </c>
      <c r="AL812" s="9">
        <v>0</v>
      </c>
      <c r="AM812" s="9">
        <v>0</v>
      </c>
      <c r="AN812" s="9">
        <v>0</v>
      </c>
      <c r="AO812" s="9">
        <v>0</v>
      </c>
      <c r="AP812" s="9">
        <v>0</v>
      </c>
      <c r="AQ812" s="9">
        <v>0</v>
      </c>
      <c r="AR812" s="9">
        <v>0</v>
      </c>
      <c r="AS812" s="9">
        <v>0</v>
      </c>
      <c r="AT812" s="9">
        <v>0</v>
      </c>
    </row>
    <row r="813" spans="1:46" x14ac:dyDescent="0.25">
      <c r="A813" s="4" t="s">
        <v>196</v>
      </c>
      <c r="B813" s="4" t="s">
        <v>207</v>
      </c>
      <c r="C813" s="4" t="s">
        <v>246</v>
      </c>
      <c r="D813" s="4" t="s">
        <v>263</v>
      </c>
      <c r="E813" s="4" t="s">
        <v>248</v>
      </c>
      <c r="F813" s="4" t="s">
        <v>201</v>
      </c>
      <c r="G813" s="4" t="s">
        <v>71</v>
      </c>
      <c r="H813" s="4" t="s">
        <v>205</v>
      </c>
      <c r="I813" s="10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0</v>
      </c>
      <c r="AB813" s="9">
        <v>0</v>
      </c>
      <c r="AC813" s="9">
        <v>0</v>
      </c>
      <c r="AD813" s="9">
        <v>0</v>
      </c>
      <c r="AE813" s="9">
        <v>0</v>
      </c>
      <c r="AF813" s="9">
        <v>0</v>
      </c>
      <c r="AG813" s="9">
        <v>0</v>
      </c>
      <c r="AH813" s="9">
        <v>0</v>
      </c>
      <c r="AI813" s="9">
        <v>0</v>
      </c>
      <c r="AJ813" s="9">
        <v>0</v>
      </c>
      <c r="AK813" s="9">
        <v>0</v>
      </c>
      <c r="AL813" s="9">
        <v>0</v>
      </c>
      <c r="AM813" s="9">
        <v>0</v>
      </c>
      <c r="AN813" s="9">
        <v>0</v>
      </c>
      <c r="AO813" s="9">
        <v>0</v>
      </c>
      <c r="AP813" s="9">
        <v>0</v>
      </c>
      <c r="AQ813" s="9">
        <v>0</v>
      </c>
      <c r="AR813" s="9">
        <v>0</v>
      </c>
      <c r="AS813" s="9">
        <v>0</v>
      </c>
      <c r="AT813" s="9">
        <v>0</v>
      </c>
    </row>
    <row r="814" spans="1:46" x14ac:dyDescent="0.25">
      <c r="A814" s="4" t="s">
        <v>196</v>
      </c>
      <c r="B814" s="4" t="s">
        <v>207</v>
      </c>
      <c r="C814" s="4" t="s">
        <v>246</v>
      </c>
      <c r="D814" s="4" t="s">
        <v>263</v>
      </c>
      <c r="E814" s="4" t="s">
        <v>248</v>
      </c>
      <c r="F814" s="4" t="s">
        <v>201</v>
      </c>
      <c r="G814" s="4" t="s">
        <v>71</v>
      </c>
      <c r="H814" s="4" t="s">
        <v>249</v>
      </c>
      <c r="I814" s="11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0</v>
      </c>
      <c r="AE814" s="9">
        <v>0</v>
      </c>
      <c r="AF814" s="9">
        <v>0</v>
      </c>
      <c r="AG814" s="9">
        <v>0</v>
      </c>
      <c r="AH814" s="9">
        <v>0</v>
      </c>
      <c r="AI814" s="9">
        <v>0</v>
      </c>
      <c r="AJ814" s="9">
        <v>0</v>
      </c>
      <c r="AK814" s="9">
        <v>0</v>
      </c>
      <c r="AL814" s="9">
        <v>0</v>
      </c>
      <c r="AM814" s="9">
        <v>0</v>
      </c>
      <c r="AN814" s="9">
        <v>0</v>
      </c>
      <c r="AO814" s="9">
        <v>0</v>
      </c>
      <c r="AP814" s="9">
        <v>0</v>
      </c>
      <c r="AQ814" s="9">
        <v>0</v>
      </c>
      <c r="AR814" s="9">
        <v>0</v>
      </c>
      <c r="AS814" s="9">
        <v>0</v>
      </c>
      <c r="AT814" s="9">
        <v>0</v>
      </c>
    </row>
    <row r="815" spans="1:46" x14ac:dyDescent="0.25">
      <c r="A815" s="4" t="s">
        <v>196</v>
      </c>
      <c r="B815" s="4" t="s">
        <v>207</v>
      </c>
      <c r="C815" s="4" t="s">
        <v>246</v>
      </c>
      <c r="D815" s="4" t="s">
        <v>263</v>
      </c>
      <c r="E815" s="4" t="s">
        <v>248</v>
      </c>
      <c r="F815" s="4" t="s">
        <v>201</v>
      </c>
      <c r="G815" s="4" t="s">
        <v>71</v>
      </c>
      <c r="H815" s="4" t="s">
        <v>250</v>
      </c>
      <c r="I815" s="11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9">
        <v>0</v>
      </c>
      <c r="AE815" s="9">
        <v>0</v>
      </c>
      <c r="AF815" s="9">
        <v>0</v>
      </c>
      <c r="AG815" s="9">
        <v>0</v>
      </c>
      <c r="AH815" s="9">
        <v>0</v>
      </c>
      <c r="AI815" s="9">
        <v>0</v>
      </c>
      <c r="AJ815" s="9">
        <v>0</v>
      </c>
      <c r="AK815" s="9">
        <v>0</v>
      </c>
      <c r="AL815" s="9">
        <v>0</v>
      </c>
      <c r="AM815" s="9">
        <v>0</v>
      </c>
      <c r="AN815" s="9">
        <v>0</v>
      </c>
      <c r="AO815" s="9">
        <v>0</v>
      </c>
      <c r="AP815" s="9">
        <v>0</v>
      </c>
      <c r="AQ815" s="9">
        <v>0</v>
      </c>
      <c r="AR815" s="9">
        <v>0</v>
      </c>
      <c r="AS815" s="9">
        <v>0</v>
      </c>
      <c r="AT815" s="9">
        <v>0</v>
      </c>
    </row>
    <row r="816" spans="1:46" x14ac:dyDescent="0.25">
      <c r="A816" s="4" t="s">
        <v>196</v>
      </c>
      <c r="B816" s="4" t="s">
        <v>207</v>
      </c>
      <c r="C816" s="4" t="s">
        <v>246</v>
      </c>
      <c r="D816" s="4" t="s">
        <v>263</v>
      </c>
      <c r="E816" s="4" t="s">
        <v>248</v>
      </c>
      <c r="F816" s="4" t="s">
        <v>201</v>
      </c>
      <c r="G816" s="4" t="s">
        <v>71</v>
      </c>
      <c r="H816" s="4" t="s">
        <v>251</v>
      </c>
      <c r="I816" s="7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9">
        <v>0</v>
      </c>
      <c r="AE816" s="9">
        <v>0</v>
      </c>
      <c r="AF816" s="9">
        <v>0</v>
      </c>
      <c r="AG816" s="9">
        <v>0</v>
      </c>
      <c r="AH816" s="9">
        <v>0</v>
      </c>
      <c r="AI816" s="9">
        <v>0</v>
      </c>
      <c r="AJ816" s="9">
        <v>0</v>
      </c>
      <c r="AK816" s="9">
        <v>0</v>
      </c>
      <c r="AL816" s="9">
        <v>0</v>
      </c>
      <c r="AM816" s="9">
        <v>0</v>
      </c>
      <c r="AN816" s="9">
        <v>0</v>
      </c>
      <c r="AO816" s="9">
        <v>0</v>
      </c>
      <c r="AP816" s="9">
        <v>0</v>
      </c>
      <c r="AQ816" s="9">
        <v>0</v>
      </c>
      <c r="AR816" s="9">
        <v>0</v>
      </c>
      <c r="AS816" s="9">
        <v>0</v>
      </c>
      <c r="AT816" s="9">
        <v>0</v>
      </c>
    </row>
    <row r="817" spans="1:46" x14ac:dyDescent="0.25">
      <c r="A817" s="4" t="s">
        <v>196</v>
      </c>
      <c r="B817" s="4" t="s">
        <v>207</v>
      </c>
      <c r="C817" s="4" t="s">
        <v>246</v>
      </c>
      <c r="D817" s="4" t="s">
        <v>263</v>
      </c>
      <c r="E817" s="4" t="s">
        <v>248</v>
      </c>
      <c r="F817" s="4" t="s">
        <v>201</v>
      </c>
      <c r="G817" s="4" t="s">
        <v>71</v>
      </c>
      <c r="H817" s="4" t="s">
        <v>252</v>
      </c>
      <c r="I817" s="17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9">
        <v>0</v>
      </c>
      <c r="AE817" s="9">
        <v>0</v>
      </c>
      <c r="AF817" s="9">
        <v>0</v>
      </c>
      <c r="AG817" s="9">
        <v>0</v>
      </c>
      <c r="AH817" s="9">
        <v>0</v>
      </c>
      <c r="AI817" s="9">
        <v>0</v>
      </c>
      <c r="AJ817" s="9">
        <v>0</v>
      </c>
      <c r="AK817" s="9">
        <v>0</v>
      </c>
      <c r="AL817" s="9">
        <v>0</v>
      </c>
      <c r="AM817" s="9">
        <v>0</v>
      </c>
      <c r="AN817" s="9">
        <v>0</v>
      </c>
      <c r="AO817" s="9">
        <v>0</v>
      </c>
      <c r="AP817" s="9">
        <v>0</v>
      </c>
      <c r="AQ817" s="9">
        <v>0</v>
      </c>
      <c r="AR817" s="9">
        <v>0</v>
      </c>
      <c r="AS817" s="9">
        <v>0</v>
      </c>
      <c r="AT817" s="9">
        <v>0</v>
      </c>
    </row>
    <row r="818" spans="1:46" x14ac:dyDescent="0.25">
      <c r="A818" s="4" t="s">
        <v>196</v>
      </c>
      <c r="B818" s="4" t="s">
        <v>207</v>
      </c>
      <c r="C818" s="4" t="s">
        <v>246</v>
      </c>
      <c r="D818" s="4" t="s">
        <v>263</v>
      </c>
      <c r="E818" s="4" t="s">
        <v>248</v>
      </c>
      <c r="F818" s="4" t="s">
        <v>201</v>
      </c>
      <c r="G818" s="4" t="s">
        <v>76</v>
      </c>
      <c r="H818" s="4" t="s">
        <v>151</v>
      </c>
      <c r="I818" s="5">
        <v>102.151</v>
      </c>
      <c r="J818" s="5">
        <v>177.07</v>
      </c>
      <c r="K818" s="5">
        <v>327.82400000000001</v>
      </c>
      <c r="L818" s="5">
        <v>438.81099999999998</v>
      </c>
      <c r="M818" s="5">
        <v>620.60299999999995</v>
      </c>
      <c r="N818" s="5">
        <v>434.77600000000001</v>
      </c>
      <c r="O818" s="5">
        <v>346.55</v>
      </c>
      <c r="P818" s="5">
        <v>216.75</v>
      </c>
      <c r="Q818" s="5">
        <v>137.91300000000001</v>
      </c>
      <c r="R818" s="5">
        <v>129.24100000000001</v>
      </c>
      <c r="S818" s="5">
        <v>34.316000000000003</v>
      </c>
      <c r="T818" s="5">
        <v>22.864999999999998</v>
      </c>
      <c r="U818" s="5">
        <v>23.033999999999999</v>
      </c>
      <c r="V818" s="5">
        <v>72.397999999999996</v>
      </c>
      <c r="W818" s="5">
        <v>191.05699999999999</v>
      </c>
      <c r="X818" s="5">
        <v>401.44799999999998</v>
      </c>
      <c r="Y818" s="5">
        <v>387.71899999999999</v>
      </c>
      <c r="Z818" s="5">
        <v>399.923</v>
      </c>
      <c r="AA818" s="5">
        <v>440.01299999999998</v>
      </c>
      <c r="AB818" s="5">
        <v>240.87200000000001</v>
      </c>
      <c r="AC818" s="5">
        <v>241.63800000000001</v>
      </c>
      <c r="AD818" s="5">
        <v>190.24799999999999</v>
      </c>
      <c r="AE818" s="5">
        <v>97.48</v>
      </c>
      <c r="AF818" s="5">
        <v>88.510999999999996</v>
      </c>
      <c r="AG818" s="5">
        <v>32.978000000000002</v>
      </c>
      <c r="AH818" s="5">
        <v>71.572000000000003</v>
      </c>
      <c r="AI818" s="5">
        <v>188.72800000000001</v>
      </c>
      <c r="AJ818" s="5">
        <v>376.77100000000002</v>
      </c>
      <c r="AK818" s="5">
        <v>664.18299999999999</v>
      </c>
      <c r="AL818" s="5">
        <v>465.786</v>
      </c>
      <c r="AM818" s="5">
        <v>575.36</v>
      </c>
      <c r="AN818" s="5">
        <v>431.44900000000001</v>
      </c>
      <c r="AO818" s="5">
        <v>201.357</v>
      </c>
      <c r="AP818" s="5">
        <v>112.41200000000001</v>
      </c>
      <c r="AQ818" s="5">
        <v>92.861999999999995</v>
      </c>
      <c r="AR818" s="5">
        <v>49.606999999999999</v>
      </c>
      <c r="AS818" s="5">
        <v>72.730999999999995</v>
      </c>
      <c r="AT818" s="5">
        <v>72.730999999999995</v>
      </c>
    </row>
    <row r="819" spans="1:46" x14ac:dyDescent="0.25">
      <c r="A819" s="4" t="s">
        <v>196</v>
      </c>
      <c r="B819" s="4" t="s">
        <v>207</v>
      </c>
      <c r="C819" s="4" t="s">
        <v>246</v>
      </c>
      <c r="D819" s="4" t="s">
        <v>263</v>
      </c>
      <c r="E819" s="4" t="s">
        <v>248</v>
      </c>
      <c r="F819" s="4" t="s">
        <v>201</v>
      </c>
      <c r="G819" s="4" t="s">
        <v>76</v>
      </c>
      <c r="H819" s="4" t="s">
        <v>205</v>
      </c>
      <c r="I819" s="6">
        <v>26762.998</v>
      </c>
      <c r="J819" s="6">
        <v>45297.802000000003</v>
      </c>
      <c r="K819" s="6">
        <v>79795.808000000005</v>
      </c>
      <c r="L819" s="6">
        <v>98326.047000000006</v>
      </c>
      <c r="M819" s="6">
        <v>151608.01</v>
      </c>
      <c r="N819" s="6">
        <v>95881.274000000005</v>
      </c>
      <c r="O819" s="6">
        <v>75983.678</v>
      </c>
      <c r="P819" s="6">
        <v>45103.841</v>
      </c>
      <c r="Q819" s="6">
        <v>32587.173999999999</v>
      </c>
      <c r="R819" s="6">
        <v>32186.983</v>
      </c>
      <c r="S819" s="6">
        <v>6420.8040000000001</v>
      </c>
      <c r="T819" s="6">
        <v>8564.4130000000005</v>
      </c>
      <c r="U819" s="6">
        <v>5635.6729999999998</v>
      </c>
      <c r="V819" s="6">
        <v>16465.654999999999</v>
      </c>
      <c r="W819" s="6">
        <v>42149.915000000001</v>
      </c>
      <c r="X819" s="6">
        <v>91251.066999999995</v>
      </c>
      <c r="Y819" s="6">
        <v>99656.395000000004</v>
      </c>
      <c r="Z819" s="6">
        <v>104521.183</v>
      </c>
      <c r="AA819" s="6">
        <v>119270.91099999999</v>
      </c>
      <c r="AB819" s="6">
        <v>66104.657999999996</v>
      </c>
      <c r="AC819" s="6">
        <v>68630.070000000007</v>
      </c>
      <c r="AD819" s="6">
        <v>55774.574999999997</v>
      </c>
      <c r="AE819" s="6">
        <v>30456.361000000001</v>
      </c>
      <c r="AF819" s="6">
        <v>27751.537</v>
      </c>
      <c r="AG819" s="6">
        <v>7613.308</v>
      </c>
      <c r="AH819" s="6">
        <v>17714.704000000002</v>
      </c>
      <c r="AI819" s="6">
        <v>52910.862000000001</v>
      </c>
      <c r="AJ819" s="6">
        <v>101104.34600000001</v>
      </c>
      <c r="AK819" s="6">
        <v>168393.353</v>
      </c>
      <c r="AL819" s="6">
        <v>126096.548</v>
      </c>
      <c r="AM819" s="6">
        <v>161392.829</v>
      </c>
      <c r="AN819" s="6">
        <v>117198.929</v>
      </c>
      <c r="AO819" s="6">
        <v>56475.421999999999</v>
      </c>
      <c r="AP819" s="6">
        <v>35445.582000000002</v>
      </c>
      <c r="AQ819" s="6">
        <v>29456.772000000001</v>
      </c>
      <c r="AR819" s="6">
        <v>14918.078</v>
      </c>
      <c r="AS819" s="6">
        <v>22663.588</v>
      </c>
      <c r="AT819" s="6">
        <v>22663.588</v>
      </c>
    </row>
    <row r="820" spans="1:46" x14ac:dyDescent="0.25">
      <c r="A820" s="4" t="s">
        <v>196</v>
      </c>
      <c r="B820" s="4" t="s">
        <v>207</v>
      </c>
      <c r="C820" s="4" t="s">
        <v>246</v>
      </c>
      <c r="D820" s="4" t="s">
        <v>263</v>
      </c>
      <c r="E820" s="4" t="s">
        <v>248</v>
      </c>
      <c r="F820" s="4" t="s">
        <v>201</v>
      </c>
      <c r="G820" s="4" t="s">
        <v>76</v>
      </c>
      <c r="H820" s="4" t="s">
        <v>249</v>
      </c>
      <c r="I820" s="7">
        <v>0.17699999999999999</v>
      </c>
      <c r="J820" s="7">
        <v>0.19</v>
      </c>
      <c r="K820" s="7">
        <v>0.23</v>
      </c>
      <c r="L820" s="7">
        <v>0.25</v>
      </c>
      <c r="M820" s="7">
        <v>0.23400000000000001</v>
      </c>
      <c r="N820" s="7">
        <v>0.17799999999999999</v>
      </c>
      <c r="O820" s="7">
        <v>0.17799999999999999</v>
      </c>
      <c r="P820" s="7">
        <v>0.16600000000000001</v>
      </c>
      <c r="Q820" s="7">
        <v>0.154</v>
      </c>
      <c r="R820" s="7">
        <v>0.215</v>
      </c>
      <c r="S820" s="7">
        <v>6.6000000000000003E-2</v>
      </c>
      <c r="T820" s="7">
        <v>4.8000000000000001E-2</v>
      </c>
      <c r="U820" s="7">
        <v>3.9E-2</v>
      </c>
      <c r="V820" s="7">
        <v>0.1</v>
      </c>
      <c r="W820" s="7">
        <v>0.153</v>
      </c>
      <c r="X820" s="7">
        <v>0.2</v>
      </c>
      <c r="Y820" s="7">
        <v>0.16900000000000001</v>
      </c>
      <c r="Z820" s="7">
        <v>0.183</v>
      </c>
      <c r="AA820" s="7">
        <v>0.2</v>
      </c>
      <c r="AB820" s="7">
        <v>0.153</v>
      </c>
      <c r="AC820" s="7">
        <v>0.19900000000000001</v>
      </c>
      <c r="AD820" s="7">
        <v>0.221</v>
      </c>
      <c r="AE820" s="7">
        <v>0.13500000000000001</v>
      </c>
      <c r="AF820" s="7">
        <v>0.15</v>
      </c>
      <c r="AG820" s="7">
        <v>5.5E-2</v>
      </c>
      <c r="AH820" s="7">
        <v>9.1999999999999998E-2</v>
      </c>
      <c r="AI820" s="7">
        <v>0.17100000000000001</v>
      </c>
      <c r="AJ820" s="7">
        <v>0.17299999999999999</v>
      </c>
      <c r="AK820" s="7">
        <v>0.185</v>
      </c>
      <c r="AL820" s="7">
        <v>0.152</v>
      </c>
      <c r="AM820" s="7">
        <v>0.13100000000000001</v>
      </c>
      <c r="AN820" s="7">
        <v>8.6999999999999994E-2</v>
      </c>
      <c r="AO820" s="7">
        <v>6.5000000000000002E-2</v>
      </c>
      <c r="AP820" s="7">
        <v>7.2999999999999995E-2</v>
      </c>
      <c r="AQ820" s="7">
        <v>0.1</v>
      </c>
      <c r="AR820" s="7">
        <v>8.1000000000000003E-2</v>
      </c>
      <c r="AS820" s="7">
        <v>0.126</v>
      </c>
      <c r="AT820" s="7">
        <v>0.14399999999999999</v>
      </c>
    </row>
    <row r="821" spans="1:46" x14ac:dyDescent="0.25">
      <c r="A821" s="4" t="s">
        <v>196</v>
      </c>
      <c r="B821" s="4" t="s">
        <v>207</v>
      </c>
      <c r="C821" s="4" t="s">
        <v>246</v>
      </c>
      <c r="D821" s="4" t="s">
        <v>263</v>
      </c>
      <c r="E821" s="4" t="s">
        <v>248</v>
      </c>
      <c r="F821" s="4" t="s">
        <v>201</v>
      </c>
      <c r="G821" s="4" t="s">
        <v>76</v>
      </c>
      <c r="H821" s="4" t="s">
        <v>250</v>
      </c>
      <c r="I821" s="7">
        <v>14.585000000000001</v>
      </c>
      <c r="J821" s="7">
        <v>19.968</v>
      </c>
      <c r="K821" s="7">
        <v>33.512999999999998</v>
      </c>
      <c r="L821" s="7">
        <v>36.473999999999997</v>
      </c>
      <c r="M821" s="7">
        <v>42.959000000000003</v>
      </c>
      <c r="N821" s="7">
        <v>36.274000000000001</v>
      </c>
      <c r="O821" s="7">
        <v>28.091999999999999</v>
      </c>
      <c r="P821" s="7">
        <v>25.370999999999999</v>
      </c>
      <c r="Q821" s="7">
        <v>16.321999999999999</v>
      </c>
      <c r="R821" s="7">
        <v>18.247</v>
      </c>
      <c r="S821" s="7">
        <v>10.199</v>
      </c>
      <c r="T821" s="7">
        <v>12.617000000000001</v>
      </c>
      <c r="U821" s="7">
        <v>13.51</v>
      </c>
      <c r="V821" s="7">
        <v>19.95</v>
      </c>
      <c r="W821" s="7">
        <v>35.414999999999999</v>
      </c>
      <c r="X821" s="7">
        <v>38.436</v>
      </c>
      <c r="Y821" s="7">
        <v>41.253</v>
      </c>
      <c r="Z821" s="7">
        <v>34.619999999999997</v>
      </c>
      <c r="AA821" s="7">
        <v>32.564999999999998</v>
      </c>
      <c r="AB821" s="7">
        <v>26.291</v>
      </c>
      <c r="AC821" s="7">
        <v>22.225999999999999</v>
      </c>
      <c r="AD821" s="7">
        <v>19.094999999999999</v>
      </c>
      <c r="AE821" s="7">
        <v>19.91</v>
      </c>
      <c r="AF821" s="7">
        <v>20.027999999999999</v>
      </c>
      <c r="AG821" s="7">
        <v>20.951000000000001</v>
      </c>
      <c r="AH821" s="7">
        <v>17.922000000000001</v>
      </c>
      <c r="AI821" s="7">
        <v>32.423000000000002</v>
      </c>
      <c r="AJ821" s="7">
        <v>43.115000000000002</v>
      </c>
      <c r="AK821" s="7">
        <v>54.569000000000003</v>
      </c>
      <c r="AL821" s="7">
        <v>45.198999999999998</v>
      </c>
      <c r="AM821" s="7">
        <v>46.835999999999999</v>
      </c>
      <c r="AN821" s="7">
        <v>46.052999999999997</v>
      </c>
      <c r="AO821" s="7">
        <v>26.113</v>
      </c>
      <c r="AP821" s="7">
        <v>18.173999999999999</v>
      </c>
      <c r="AQ821" s="7">
        <v>19.675000000000001</v>
      </c>
      <c r="AR821" s="7">
        <v>15.516999999999999</v>
      </c>
      <c r="AS821" s="7">
        <v>15.026</v>
      </c>
      <c r="AT821" s="5">
        <v>399.57900000000001</v>
      </c>
    </row>
    <row r="822" spans="1:46" x14ac:dyDescent="0.25">
      <c r="A822" s="4" t="s">
        <v>196</v>
      </c>
      <c r="B822" s="4" t="s">
        <v>207</v>
      </c>
      <c r="C822" s="4" t="s">
        <v>246</v>
      </c>
      <c r="D822" s="4" t="s">
        <v>263</v>
      </c>
      <c r="E822" s="4" t="s">
        <v>248</v>
      </c>
      <c r="F822" s="4" t="s">
        <v>201</v>
      </c>
      <c r="G822" s="4" t="s">
        <v>76</v>
      </c>
      <c r="H822" s="4" t="s">
        <v>251</v>
      </c>
      <c r="I822" s="7">
        <v>8.3084044000000006</v>
      </c>
      <c r="J822" s="7">
        <v>9.9369709999999998</v>
      </c>
      <c r="K822" s="7">
        <v>12.275677099999999</v>
      </c>
      <c r="L822" s="7">
        <v>12.610824600000001</v>
      </c>
      <c r="M822" s="7">
        <v>15.6247404</v>
      </c>
      <c r="N822" s="7">
        <v>15.1779466</v>
      </c>
      <c r="O822" s="7">
        <v>13.408611000000001</v>
      </c>
      <c r="P822" s="7">
        <v>14.2802057</v>
      </c>
      <c r="Q822" s="7">
        <v>10.682953599999999</v>
      </c>
      <c r="R822" s="7">
        <v>8.3802851</v>
      </c>
      <c r="S822" s="7">
        <v>6.6465801999999998</v>
      </c>
      <c r="T822" s="7">
        <v>7.0801832999999998</v>
      </c>
      <c r="U822" s="7">
        <v>7.460102</v>
      </c>
      <c r="V822" s="7">
        <v>8.7549282000000002</v>
      </c>
      <c r="W822" s="7">
        <v>12.8281647</v>
      </c>
      <c r="X822" s="7">
        <v>15.0043302</v>
      </c>
      <c r="Y822" s="7">
        <v>16.976725600000002</v>
      </c>
      <c r="Z822" s="7">
        <v>15.715766199999999</v>
      </c>
      <c r="AA822" s="7">
        <v>16.355992199999999</v>
      </c>
      <c r="AB822" s="7">
        <v>14.296227699999999</v>
      </c>
      <c r="AC822" s="7">
        <v>12.9654106</v>
      </c>
      <c r="AD822" s="7">
        <v>11.6978519</v>
      </c>
      <c r="AE822" s="7">
        <v>11.185176800000001</v>
      </c>
      <c r="AF822" s="7">
        <v>10.498483200000001</v>
      </c>
      <c r="AG822" s="7">
        <v>10.719749999999999</v>
      </c>
      <c r="AH822" s="7">
        <v>12.1054368</v>
      </c>
      <c r="AI822" s="7">
        <v>15.7220494</v>
      </c>
      <c r="AJ822" s="7">
        <v>18.447612500000002</v>
      </c>
      <c r="AK822" s="7">
        <v>21.290423799999999</v>
      </c>
      <c r="AL822" s="7">
        <v>18.9225271</v>
      </c>
      <c r="AM822" s="7">
        <v>18.813480599999998</v>
      </c>
      <c r="AN822" s="7">
        <v>19.152161799999998</v>
      </c>
      <c r="AO822" s="7">
        <v>14.233488100000001</v>
      </c>
      <c r="AP822" s="7">
        <v>10.438141099999999</v>
      </c>
      <c r="AQ822" s="7">
        <v>11.8837498</v>
      </c>
      <c r="AR822" s="7">
        <v>10.853873800000001</v>
      </c>
      <c r="AS822" s="7">
        <v>11.7323796</v>
      </c>
      <c r="AT822" s="7">
        <v>15.026</v>
      </c>
    </row>
    <row r="823" spans="1:46" x14ac:dyDescent="0.25">
      <c r="A823" s="4" t="s">
        <v>196</v>
      </c>
      <c r="B823" s="4" t="s">
        <v>207</v>
      </c>
      <c r="C823" s="4" t="s">
        <v>246</v>
      </c>
      <c r="D823" s="4" t="s">
        <v>263</v>
      </c>
      <c r="E823" s="4" t="s">
        <v>248</v>
      </c>
      <c r="F823" s="4" t="s">
        <v>201</v>
      </c>
      <c r="G823" s="4" t="s">
        <v>76</v>
      </c>
      <c r="H823" s="4" t="s">
        <v>252</v>
      </c>
      <c r="I823" s="16">
        <v>0.91900000000000004</v>
      </c>
      <c r="J823" s="16">
        <v>1.032</v>
      </c>
      <c r="K823" s="16">
        <v>0.89700000000000002</v>
      </c>
      <c r="L823" s="16">
        <v>0.89400000000000002</v>
      </c>
      <c r="M823" s="16">
        <v>0.95299999999999996</v>
      </c>
      <c r="N823" s="16">
        <v>0.88200000000000001</v>
      </c>
      <c r="O823" s="16">
        <v>0.77200000000000002</v>
      </c>
      <c r="P823" s="16">
        <v>0.92900000000000005</v>
      </c>
      <c r="Q823" s="16">
        <v>0.79</v>
      </c>
      <c r="R823" s="16">
        <v>0.5</v>
      </c>
      <c r="S823" s="16">
        <v>0.60699999999999998</v>
      </c>
      <c r="T823" s="16">
        <v>0.64800000000000002</v>
      </c>
      <c r="U823" s="16">
        <v>0.65700000000000003</v>
      </c>
      <c r="V823" s="16">
        <v>0.626</v>
      </c>
      <c r="W823" s="16">
        <v>0.63600000000000001</v>
      </c>
      <c r="X823" s="16">
        <v>0.67200000000000004</v>
      </c>
      <c r="Y823" s="16">
        <v>0.69399999999999995</v>
      </c>
      <c r="Z823" s="16">
        <v>0.57399999999999995</v>
      </c>
      <c r="AA823" s="16">
        <v>0.625</v>
      </c>
      <c r="AB823" s="16">
        <v>0.63600000000000001</v>
      </c>
      <c r="AC823" s="16">
        <v>0.64100000000000001</v>
      </c>
      <c r="AD823" s="16">
        <v>0.70399999999999996</v>
      </c>
      <c r="AE823" s="16">
        <v>0.68</v>
      </c>
      <c r="AF823" s="16">
        <v>0.74099999999999999</v>
      </c>
      <c r="AG823" s="16">
        <v>0.74099999999999999</v>
      </c>
      <c r="AH823" s="16">
        <v>0.74399999999999999</v>
      </c>
      <c r="AI823" s="16">
        <v>0.73799999999999999</v>
      </c>
      <c r="AJ823" s="16">
        <v>0.81</v>
      </c>
      <c r="AK823" s="16">
        <v>0.69499999999999995</v>
      </c>
      <c r="AL823" s="16">
        <v>0.7</v>
      </c>
      <c r="AM823" s="16">
        <v>0.67900000000000005</v>
      </c>
      <c r="AN823" s="16">
        <v>0.63600000000000001</v>
      </c>
      <c r="AO823" s="16">
        <v>0.61899999999999999</v>
      </c>
      <c r="AP823" s="16">
        <v>0.63200000000000001</v>
      </c>
      <c r="AQ823" s="16">
        <v>0.76200000000000001</v>
      </c>
      <c r="AR823" s="16">
        <v>0.83599999999999997</v>
      </c>
      <c r="AS823" s="16">
        <v>0.80100000000000005</v>
      </c>
      <c r="AT823" s="7">
        <v>11.7323796</v>
      </c>
    </row>
    <row r="824" spans="1:46" x14ac:dyDescent="0.25">
      <c r="A824" s="4" t="s">
        <v>196</v>
      </c>
      <c r="B824" s="4" t="s">
        <v>207</v>
      </c>
      <c r="C824" s="4" t="s">
        <v>246</v>
      </c>
      <c r="D824" s="4" t="s">
        <v>263</v>
      </c>
      <c r="E824" s="4" t="s">
        <v>248</v>
      </c>
      <c r="F824" s="4" t="s">
        <v>201</v>
      </c>
      <c r="G824" s="4" t="s">
        <v>85</v>
      </c>
      <c r="H824" s="4" t="s">
        <v>151</v>
      </c>
      <c r="I824" s="5">
        <v>286.06599999999997</v>
      </c>
      <c r="J824" s="5">
        <v>707.18899999999996</v>
      </c>
      <c r="K824" s="5">
        <v>998.43100000000004</v>
      </c>
      <c r="L824" s="5">
        <v>1779.76</v>
      </c>
      <c r="M824" s="5">
        <v>1737.0129999999999</v>
      </c>
      <c r="N824" s="5">
        <v>1967.441</v>
      </c>
      <c r="O824" s="5">
        <v>1704.5619999999999</v>
      </c>
      <c r="P824" s="5">
        <v>1472.7339999999999</v>
      </c>
      <c r="Q824" s="5">
        <v>1165.6199999999999</v>
      </c>
      <c r="R824" s="5">
        <v>628.00800000000004</v>
      </c>
      <c r="S824" s="5">
        <v>651.30600000000004</v>
      </c>
      <c r="T824" s="5">
        <v>537.95399999999995</v>
      </c>
      <c r="U824" s="5">
        <v>556.19399999999996</v>
      </c>
      <c r="V824" s="5">
        <v>425.02600000000001</v>
      </c>
      <c r="W824" s="5">
        <v>711.40700000000004</v>
      </c>
      <c r="X824" s="5">
        <v>1038.4839999999999</v>
      </c>
      <c r="Y824" s="5">
        <v>1395.1559999999999</v>
      </c>
      <c r="Z824" s="5">
        <v>1632.09</v>
      </c>
      <c r="AA824" s="5">
        <v>1674.9870000000001</v>
      </c>
      <c r="AB824" s="5">
        <v>1338.2070000000001</v>
      </c>
      <c r="AC824" s="5">
        <v>981.63400000000001</v>
      </c>
      <c r="AD824" s="5">
        <v>532.17999999999995</v>
      </c>
      <c r="AE824" s="5">
        <v>369.57600000000002</v>
      </c>
      <c r="AF824" s="5">
        <v>372.55900000000003</v>
      </c>
      <c r="AG824" s="5">
        <v>405.87299999999999</v>
      </c>
      <c r="AH824" s="5">
        <v>430.46699999999998</v>
      </c>
      <c r="AI824" s="5">
        <v>742.69500000000005</v>
      </c>
      <c r="AJ824" s="5">
        <v>1727.8</v>
      </c>
      <c r="AK824" s="5">
        <v>2823.8710000000001</v>
      </c>
      <c r="AL824" s="5">
        <v>2749.43</v>
      </c>
      <c r="AM824" s="5">
        <v>2978.9259999999999</v>
      </c>
      <c r="AN824" s="5">
        <v>2855.877</v>
      </c>
      <c r="AO824" s="5">
        <v>1936.0260000000001</v>
      </c>
      <c r="AP824" s="5">
        <v>1236.72</v>
      </c>
      <c r="AQ824" s="5">
        <v>822.99199999999996</v>
      </c>
      <c r="AR824" s="5">
        <v>348.98500000000001</v>
      </c>
      <c r="AS824" s="5">
        <v>289.24700000000001</v>
      </c>
      <c r="AT824" s="5">
        <v>5944.817</v>
      </c>
    </row>
    <row r="825" spans="1:46" x14ac:dyDescent="0.25">
      <c r="A825" s="4" t="s">
        <v>196</v>
      </c>
      <c r="B825" s="4" t="s">
        <v>207</v>
      </c>
      <c r="C825" s="4" t="s">
        <v>246</v>
      </c>
      <c r="D825" s="4" t="s">
        <v>263</v>
      </c>
      <c r="E825" s="4" t="s">
        <v>248</v>
      </c>
      <c r="F825" s="4" t="s">
        <v>201</v>
      </c>
      <c r="G825" s="4" t="s">
        <v>85</v>
      </c>
      <c r="H825" s="4" t="s">
        <v>205</v>
      </c>
      <c r="I825" s="6">
        <v>43811.847000000002</v>
      </c>
      <c r="J825" s="6">
        <v>134332.92199999999</v>
      </c>
      <c r="K825" s="6">
        <v>179464.53700000001</v>
      </c>
      <c r="L825" s="6">
        <v>325037.11300000001</v>
      </c>
      <c r="M825" s="6">
        <v>302840.20699999999</v>
      </c>
      <c r="N825" s="6">
        <v>315898.62800000003</v>
      </c>
      <c r="O825" s="6">
        <v>273547.42</v>
      </c>
      <c r="P825" s="6">
        <v>239232.44099999999</v>
      </c>
      <c r="Q825" s="6">
        <v>343938.92</v>
      </c>
      <c r="R825" s="6">
        <v>95940.331999999995</v>
      </c>
      <c r="S825" s="6">
        <v>83569.956999999995</v>
      </c>
      <c r="T825" s="6">
        <v>74374.273000000001</v>
      </c>
      <c r="U825" s="6">
        <v>73534.936000000002</v>
      </c>
      <c r="V825" s="6">
        <v>68590.173999999999</v>
      </c>
      <c r="W825" s="6">
        <v>107691.694</v>
      </c>
      <c r="X825" s="6">
        <v>177115.696</v>
      </c>
      <c r="Y825" s="6">
        <v>232612.24799999999</v>
      </c>
      <c r="Z825" s="6">
        <v>258877.74299999999</v>
      </c>
      <c r="AA825" s="6">
        <v>254281.62</v>
      </c>
      <c r="AB825" s="6">
        <v>203925.39499999999</v>
      </c>
      <c r="AC825" s="6">
        <v>157868.18799999999</v>
      </c>
      <c r="AD825" s="6">
        <v>89029.542000000001</v>
      </c>
      <c r="AE825" s="6">
        <v>58950.623</v>
      </c>
      <c r="AF825" s="6">
        <v>52307.116000000002</v>
      </c>
      <c r="AG825" s="6">
        <v>61799.114999999998</v>
      </c>
      <c r="AH825" s="6">
        <v>61927.368999999999</v>
      </c>
      <c r="AI825" s="6">
        <v>99372.293000000005</v>
      </c>
      <c r="AJ825" s="6">
        <v>248365.72200000001</v>
      </c>
      <c r="AK825" s="6">
        <v>422489.36800000002</v>
      </c>
      <c r="AL825" s="6">
        <v>431446.03600000002</v>
      </c>
      <c r="AM825" s="6">
        <v>502811.01799999998</v>
      </c>
      <c r="AN825" s="6">
        <v>505237</v>
      </c>
      <c r="AO825" s="6">
        <v>380945.326</v>
      </c>
      <c r="AP825" s="6">
        <v>256783.59400000001</v>
      </c>
      <c r="AQ825" s="6">
        <v>175412.18700000001</v>
      </c>
      <c r="AR825" s="6">
        <v>78757.554999999993</v>
      </c>
      <c r="AS825" s="6">
        <v>58233.004000000001</v>
      </c>
      <c r="AT825" s="6">
        <v>58233.004000000001</v>
      </c>
    </row>
    <row r="826" spans="1:46" x14ac:dyDescent="0.25">
      <c r="A826" s="4" t="s">
        <v>196</v>
      </c>
      <c r="B826" s="4" t="s">
        <v>207</v>
      </c>
      <c r="C826" s="4" t="s">
        <v>246</v>
      </c>
      <c r="D826" s="4" t="s">
        <v>263</v>
      </c>
      <c r="E826" s="4" t="s">
        <v>248</v>
      </c>
      <c r="F826" s="4" t="s">
        <v>201</v>
      </c>
      <c r="G826" s="4" t="s">
        <v>85</v>
      </c>
      <c r="H826" s="4" t="s">
        <v>249</v>
      </c>
      <c r="I826" s="7">
        <v>0.254</v>
      </c>
      <c r="J826" s="7">
        <v>0.40899999999999997</v>
      </c>
      <c r="K826" s="7">
        <v>0.372</v>
      </c>
      <c r="L826" s="7">
        <v>0.52600000000000002</v>
      </c>
      <c r="M826" s="7">
        <v>0.33800000000000002</v>
      </c>
      <c r="N826" s="7">
        <v>0.374</v>
      </c>
      <c r="O826" s="7">
        <v>0.41199999999999998</v>
      </c>
      <c r="P826" s="7">
        <v>0.53800000000000003</v>
      </c>
      <c r="Q826" s="7">
        <v>0.55900000000000005</v>
      </c>
      <c r="R826" s="7">
        <v>0.438</v>
      </c>
      <c r="S826" s="7">
        <v>0.41599999999999998</v>
      </c>
      <c r="T826" s="7">
        <v>0.434</v>
      </c>
      <c r="U826" s="7">
        <v>0.33800000000000002</v>
      </c>
      <c r="V826" s="7">
        <v>0.23899999999999999</v>
      </c>
      <c r="W826" s="7">
        <v>0.22700000000000001</v>
      </c>
      <c r="X826" s="7">
        <v>0.23599999999999999</v>
      </c>
      <c r="Y826" s="7">
        <v>0.247</v>
      </c>
      <c r="Z826" s="7">
        <v>0.29899999999999999</v>
      </c>
      <c r="AA826" s="7">
        <v>0.29899999999999999</v>
      </c>
      <c r="AB826" s="7">
        <v>0.33300000000000002</v>
      </c>
      <c r="AC826" s="7">
        <v>0.35099999999999998</v>
      </c>
      <c r="AD826" s="7">
        <v>0.254</v>
      </c>
      <c r="AE826" s="7">
        <v>0.182</v>
      </c>
      <c r="AF826" s="7">
        <v>0.22700000000000001</v>
      </c>
      <c r="AG826" s="7">
        <v>0.252</v>
      </c>
      <c r="AH826" s="7">
        <v>0.19900000000000001</v>
      </c>
      <c r="AI826" s="7">
        <v>0.23300000000000001</v>
      </c>
      <c r="AJ826" s="7">
        <v>0.29799999999999999</v>
      </c>
      <c r="AK826" s="7">
        <v>0.29699999999999999</v>
      </c>
      <c r="AL826" s="7">
        <v>0.34100000000000003</v>
      </c>
      <c r="AM826" s="7">
        <v>0.27700000000000002</v>
      </c>
      <c r="AN826" s="7">
        <v>0.23699999999999999</v>
      </c>
      <c r="AO826" s="7">
        <v>0.28000000000000003</v>
      </c>
      <c r="AP826" s="7">
        <v>0.35</v>
      </c>
      <c r="AQ826" s="7">
        <v>0.378</v>
      </c>
      <c r="AR826" s="7">
        <v>0.27800000000000002</v>
      </c>
      <c r="AS826" s="7">
        <v>0.22900000000000001</v>
      </c>
      <c r="AT826" s="7">
        <v>11.731999999999999</v>
      </c>
    </row>
    <row r="827" spans="1:46" x14ac:dyDescent="0.25">
      <c r="A827" s="4" t="s">
        <v>196</v>
      </c>
      <c r="B827" s="4" t="s">
        <v>207</v>
      </c>
      <c r="C827" s="4" t="s">
        <v>246</v>
      </c>
      <c r="D827" s="4" t="s">
        <v>263</v>
      </c>
      <c r="E827" s="4" t="s">
        <v>248</v>
      </c>
      <c r="F827" s="4" t="s">
        <v>201</v>
      </c>
      <c r="G827" s="4" t="s">
        <v>85</v>
      </c>
      <c r="H827" s="4" t="s">
        <v>250</v>
      </c>
      <c r="I827" s="7">
        <v>40.463999999999999</v>
      </c>
      <c r="J827" s="7">
        <v>53.070999999999998</v>
      </c>
      <c r="K827" s="7">
        <v>58.122</v>
      </c>
      <c r="L827" s="7">
        <v>60.744999999999997</v>
      </c>
      <c r="M827" s="7">
        <v>60.923999999999999</v>
      </c>
      <c r="N827" s="7">
        <v>58.234999999999999</v>
      </c>
      <c r="O827" s="7">
        <v>56.945</v>
      </c>
      <c r="P827" s="7">
        <v>57.631999999999998</v>
      </c>
      <c r="Q827" s="7">
        <v>50.786999999999999</v>
      </c>
      <c r="R827" s="7">
        <v>46.768000000000001</v>
      </c>
      <c r="S827" s="7">
        <v>43.491999999999997</v>
      </c>
      <c r="T827" s="7">
        <v>44.222000000000001</v>
      </c>
      <c r="U827" s="7">
        <v>48.363</v>
      </c>
      <c r="V827" s="7">
        <v>41.372999999999998</v>
      </c>
      <c r="W827" s="7">
        <v>52.408000000000001</v>
      </c>
      <c r="X827" s="7">
        <v>51.698999999999998</v>
      </c>
      <c r="Y827" s="7">
        <v>58.220999999999997</v>
      </c>
      <c r="Z827" s="7">
        <v>59.055</v>
      </c>
      <c r="AA827" s="7">
        <v>56.753999999999998</v>
      </c>
      <c r="AB827" s="7">
        <v>57.780999999999999</v>
      </c>
      <c r="AC827" s="7">
        <v>52.475000000000001</v>
      </c>
      <c r="AD827" s="7">
        <v>55.74</v>
      </c>
      <c r="AE827" s="7">
        <v>49.031999999999996</v>
      </c>
      <c r="AF827" s="7">
        <v>46.015000000000001</v>
      </c>
      <c r="AG827" s="7">
        <v>48.387</v>
      </c>
      <c r="AH827" s="7">
        <v>51.149000000000001</v>
      </c>
      <c r="AI827" s="7">
        <v>61.652000000000001</v>
      </c>
      <c r="AJ827" s="7">
        <v>65.275000000000006</v>
      </c>
      <c r="AK827" s="7">
        <v>70.691000000000003</v>
      </c>
      <c r="AL827" s="7">
        <v>67.736000000000004</v>
      </c>
      <c r="AM827" s="7">
        <v>70.527000000000001</v>
      </c>
      <c r="AN827" s="7">
        <v>67.626000000000005</v>
      </c>
      <c r="AO827" s="7">
        <v>59.061999999999998</v>
      </c>
      <c r="AP827" s="7">
        <v>57.161000000000001</v>
      </c>
      <c r="AQ827" s="7">
        <v>52.956000000000003</v>
      </c>
      <c r="AR827" s="7">
        <v>39.871000000000002</v>
      </c>
      <c r="AS827" s="7">
        <v>41.561</v>
      </c>
      <c r="AT827" s="5">
        <v>37499.067999999999</v>
      </c>
    </row>
    <row r="828" spans="1:46" x14ac:dyDescent="0.25">
      <c r="A828" s="4" t="s">
        <v>196</v>
      </c>
      <c r="B828" s="4" t="s">
        <v>207</v>
      </c>
      <c r="C828" s="4" t="s">
        <v>246</v>
      </c>
      <c r="D828" s="4" t="s">
        <v>263</v>
      </c>
      <c r="E828" s="4" t="s">
        <v>248</v>
      </c>
      <c r="F828" s="4" t="s">
        <v>201</v>
      </c>
      <c r="G828" s="4" t="s">
        <v>85</v>
      </c>
      <c r="H828" s="4" t="s">
        <v>251</v>
      </c>
      <c r="I828" s="7">
        <v>22.290350499999999</v>
      </c>
      <c r="J828" s="7">
        <v>28.2125302</v>
      </c>
      <c r="K828" s="7">
        <v>32.514341000000002</v>
      </c>
      <c r="L828" s="7">
        <v>33.826213799999998</v>
      </c>
      <c r="M828" s="7">
        <v>37.113363</v>
      </c>
      <c r="N828" s="7">
        <v>39.196267499999998</v>
      </c>
      <c r="O828" s="7">
        <v>39.017900599999997</v>
      </c>
      <c r="P828" s="7">
        <v>39.538792800000003</v>
      </c>
      <c r="Q828" s="7">
        <v>35.141826999999999</v>
      </c>
      <c r="R828" s="7">
        <v>29.103372199999999</v>
      </c>
      <c r="S828" s="7">
        <v>27.903762199999999</v>
      </c>
      <c r="T828" s="7">
        <v>29.157355800000001</v>
      </c>
      <c r="U828" s="7">
        <v>29.876252999999998</v>
      </c>
      <c r="V828" s="7">
        <v>28.4914396</v>
      </c>
      <c r="W828" s="7">
        <v>35.984070000000003</v>
      </c>
      <c r="X828" s="7">
        <v>38.971990699999999</v>
      </c>
      <c r="Y828" s="7">
        <v>43.072125</v>
      </c>
      <c r="Z828" s="7">
        <v>41.0698334</v>
      </c>
      <c r="AA828" s="7">
        <v>40.200794100000003</v>
      </c>
      <c r="AB828" s="7">
        <v>42.9107299</v>
      </c>
      <c r="AC828" s="7">
        <v>39.287322400000001</v>
      </c>
      <c r="AD828" s="7">
        <v>36.272304699999999</v>
      </c>
      <c r="AE828" s="7">
        <v>34.493172999999999</v>
      </c>
      <c r="AF828" s="7">
        <v>32.5177567</v>
      </c>
      <c r="AG828" s="7">
        <v>33.5936156</v>
      </c>
      <c r="AH828" s="7">
        <v>35.307685499999998</v>
      </c>
      <c r="AI828" s="7">
        <v>39.7819717</v>
      </c>
      <c r="AJ828" s="7">
        <v>40.660304500000002</v>
      </c>
      <c r="AK828" s="7">
        <v>44.174720499999999</v>
      </c>
      <c r="AL828" s="7">
        <v>47.132604000000001</v>
      </c>
      <c r="AM828" s="7">
        <v>47.692585399999999</v>
      </c>
      <c r="AN828" s="7">
        <v>48.188460800000001</v>
      </c>
      <c r="AO828" s="7">
        <v>41.992701699999998</v>
      </c>
      <c r="AP828" s="7">
        <v>36.205131999999999</v>
      </c>
      <c r="AQ828" s="7">
        <v>35.304665200000002</v>
      </c>
      <c r="AR828" s="7">
        <v>30.614299800000001</v>
      </c>
      <c r="AS828" s="7">
        <v>32.853959799999998</v>
      </c>
      <c r="AT828" s="7">
        <v>41.561</v>
      </c>
    </row>
    <row r="829" spans="1:46" x14ac:dyDescent="0.25">
      <c r="A829" s="4" t="s">
        <v>196</v>
      </c>
      <c r="B829" s="4" t="s">
        <v>207</v>
      </c>
      <c r="C829" s="4" t="s">
        <v>246</v>
      </c>
      <c r="D829" s="4" t="s">
        <v>263</v>
      </c>
      <c r="E829" s="4" t="s">
        <v>248</v>
      </c>
      <c r="F829" s="4" t="s">
        <v>201</v>
      </c>
      <c r="G829" s="4" t="s">
        <v>85</v>
      </c>
      <c r="H829" s="4" t="s">
        <v>252</v>
      </c>
      <c r="I829" s="16">
        <v>1.367</v>
      </c>
      <c r="J829" s="16">
        <v>1.897</v>
      </c>
      <c r="K829" s="16">
        <v>1.9650000000000001</v>
      </c>
      <c r="L829" s="16">
        <v>2.2909999999999999</v>
      </c>
      <c r="M829" s="16">
        <v>2.46</v>
      </c>
      <c r="N829" s="16">
        <v>2.585</v>
      </c>
      <c r="O829" s="16">
        <v>3.2490000000000001</v>
      </c>
      <c r="P829" s="16">
        <v>3.1819999999999999</v>
      </c>
      <c r="Q829" s="16">
        <v>3.4630000000000001</v>
      </c>
      <c r="R829" s="16">
        <v>3.1030000000000002</v>
      </c>
      <c r="S829" s="16">
        <v>2.9769999999999999</v>
      </c>
      <c r="T829" s="16">
        <v>3.403</v>
      </c>
      <c r="U829" s="16">
        <v>3.52</v>
      </c>
      <c r="V829" s="16">
        <v>3.1480000000000001</v>
      </c>
      <c r="W829" s="16">
        <v>2.3159999999999998</v>
      </c>
      <c r="X829" s="16">
        <v>2.746</v>
      </c>
      <c r="Y829" s="16">
        <v>3.298</v>
      </c>
      <c r="Z829" s="16">
        <v>2.9340000000000002</v>
      </c>
      <c r="AA829" s="16">
        <v>2.65</v>
      </c>
      <c r="AB829" s="16">
        <v>3.1219999999999999</v>
      </c>
      <c r="AC829" s="16">
        <v>3.0070000000000001</v>
      </c>
      <c r="AD829" s="16">
        <v>2.9220000000000002</v>
      </c>
      <c r="AE829" s="16">
        <v>2.5779999999999998</v>
      </c>
      <c r="AF829" s="16">
        <v>2.7040000000000002</v>
      </c>
      <c r="AG829" s="16">
        <v>2.698</v>
      </c>
      <c r="AH829" s="16">
        <v>2.5</v>
      </c>
      <c r="AI829" s="16">
        <v>2.7490000000000001</v>
      </c>
      <c r="AJ829" s="16">
        <v>2.7330000000000001</v>
      </c>
      <c r="AK829" s="16">
        <v>2.6070000000000002</v>
      </c>
      <c r="AL829" s="16">
        <v>2.5790000000000002</v>
      </c>
      <c r="AM829" s="16">
        <v>2.996</v>
      </c>
      <c r="AN829" s="16">
        <v>2.8769999999999998</v>
      </c>
      <c r="AO829" s="16">
        <v>2.7440000000000002</v>
      </c>
      <c r="AP829" s="16">
        <v>2.6579999999999999</v>
      </c>
      <c r="AQ829" s="16">
        <v>2.6989999999999998</v>
      </c>
      <c r="AR829" s="16">
        <v>3.4049999999999998</v>
      </c>
      <c r="AS829" s="16">
        <v>3.3460000000000001</v>
      </c>
      <c r="AT829" s="7">
        <v>32.853959799999998</v>
      </c>
    </row>
    <row r="830" spans="1:46" x14ac:dyDescent="0.25">
      <c r="A830" s="4" t="s">
        <v>196</v>
      </c>
      <c r="B830" s="4" t="s">
        <v>207</v>
      </c>
      <c r="C830" s="4" t="s">
        <v>246</v>
      </c>
      <c r="D830" s="4" t="s">
        <v>263</v>
      </c>
      <c r="E830" s="4" t="s">
        <v>248</v>
      </c>
      <c r="F830" s="4" t="s">
        <v>195</v>
      </c>
      <c r="G830" s="4" t="s">
        <v>264</v>
      </c>
      <c r="H830" s="4" t="s">
        <v>151</v>
      </c>
      <c r="I830" s="5">
        <v>34.020000000000003</v>
      </c>
      <c r="J830" s="5">
        <v>60.957000000000001</v>
      </c>
      <c r="K830" s="5">
        <v>120.899</v>
      </c>
      <c r="L830" s="5">
        <v>173.16900000000001</v>
      </c>
      <c r="M830" s="5">
        <v>70.763000000000005</v>
      </c>
      <c r="N830" s="5">
        <v>45.021000000000001</v>
      </c>
      <c r="O830" s="5">
        <v>42.317999999999998</v>
      </c>
      <c r="P830" s="5">
        <v>38.325000000000003</v>
      </c>
      <c r="Q830" s="5">
        <v>10.103999999999999</v>
      </c>
      <c r="R830" s="5">
        <v>0</v>
      </c>
      <c r="S830" s="5">
        <v>0</v>
      </c>
      <c r="T830" s="5">
        <v>0</v>
      </c>
      <c r="U830" s="5">
        <v>0</v>
      </c>
      <c r="V830" s="5">
        <v>19.856000000000002</v>
      </c>
      <c r="W830" s="5">
        <v>62.728999999999999</v>
      </c>
      <c r="X830" s="5">
        <v>0</v>
      </c>
      <c r="Y830" s="5">
        <v>0</v>
      </c>
      <c r="Z830" s="5">
        <v>16.376999999999999</v>
      </c>
      <c r="AA830" s="5">
        <v>22.154</v>
      </c>
      <c r="AB830" s="5">
        <v>43.682000000000002</v>
      </c>
      <c r="AC830" s="5">
        <v>0</v>
      </c>
      <c r="AD830" s="5">
        <v>37.901000000000003</v>
      </c>
      <c r="AE830" s="5">
        <v>0</v>
      </c>
      <c r="AF830" s="5">
        <v>0</v>
      </c>
      <c r="AG830" s="5">
        <v>0</v>
      </c>
      <c r="AH830" s="5">
        <v>6.3470000000000004</v>
      </c>
      <c r="AI830" s="5">
        <v>0</v>
      </c>
      <c r="AJ830" s="5">
        <v>0</v>
      </c>
      <c r="AK830" s="5">
        <v>0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  <c r="AR830" s="5">
        <v>10.029</v>
      </c>
      <c r="AS830" s="5">
        <v>0</v>
      </c>
      <c r="AT830" s="5">
        <v>0</v>
      </c>
    </row>
    <row r="831" spans="1:46" x14ac:dyDescent="0.25">
      <c r="A831" s="4" t="s">
        <v>196</v>
      </c>
      <c r="B831" s="4" t="s">
        <v>207</v>
      </c>
      <c r="C831" s="4" t="s">
        <v>246</v>
      </c>
      <c r="D831" s="4" t="s">
        <v>263</v>
      </c>
      <c r="E831" s="4" t="s">
        <v>248</v>
      </c>
      <c r="F831" s="4" t="s">
        <v>195</v>
      </c>
      <c r="G831" s="4" t="s">
        <v>264</v>
      </c>
      <c r="H831" s="4" t="s">
        <v>205</v>
      </c>
      <c r="I831" s="6">
        <v>12854.174000000001</v>
      </c>
      <c r="J831" s="6">
        <v>34003.686000000002</v>
      </c>
      <c r="K831" s="6">
        <v>59784.048000000003</v>
      </c>
      <c r="L831" s="6">
        <v>81060.183999999994</v>
      </c>
      <c r="M831" s="6">
        <v>34312.019</v>
      </c>
      <c r="N831" s="6">
        <v>20158.63</v>
      </c>
      <c r="O831" s="6">
        <v>18771.601999999999</v>
      </c>
      <c r="P831" s="6">
        <v>16748.828000000001</v>
      </c>
      <c r="Q831" s="6">
        <v>4546.598</v>
      </c>
      <c r="R831" s="6">
        <v>0</v>
      </c>
      <c r="S831" s="6">
        <v>0</v>
      </c>
      <c r="T831" s="6">
        <v>0</v>
      </c>
      <c r="U831" s="6">
        <v>0</v>
      </c>
      <c r="V831" s="6">
        <v>5261.8890000000001</v>
      </c>
      <c r="W831" s="6">
        <v>22235.83</v>
      </c>
      <c r="X831" s="6">
        <v>0</v>
      </c>
      <c r="Y831" s="6">
        <v>0</v>
      </c>
      <c r="Z831" s="6">
        <v>4644.0249999999996</v>
      </c>
      <c r="AA831" s="6">
        <v>10680.267</v>
      </c>
      <c r="AB831" s="6">
        <v>15552.502</v>
      </c>
      <c r="AC831" s="6">
        <v>0</v>
      </c>
      <c r="AD831" s="6">
        <v>10645.245000000001</v>
      </c>
      <c r="AE831" s="6">
        <v>0</v>
      </c>
      <c r="AF831" s="6">
        <v>0</v>
      </c>
      <c r="AG831" s="6">
        <v>0</v>
      </c>
      <c r="AH831" s="6">
        <v>3452.5320000000002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2507.3609999999999</v>
      </c>
      <c r="AS831" s="6">
        <v>0</v>
      </c>
      <c r="AT831" s="6">
        <v>0</v>
      </c>
    </row>
    <row r="832" spans="1:46" x14ac:dyDescent="0.25">
      <c r="A832" s="4" t="s">
        <v>196</v>
      </c>
      <c r="B832" s="4" t="s">
        <v>207</v>
      </c>
      <c r="C832" s="4" t="s">
        <v>246</v>
      </c>
      <c r="D832" s="4" t="s">
        <v>263</v>
      </c>
      <c r="E832" s="4" t="s">
        <v>248</v>
      </c>
      <c r="F832" s="4" t="s">
        <v>195</v>
      </c>
      <c r="G832" s="4" t="s">
        <v>264</v>
      </c>
      <c r="H832" s="4" t="s">
        <v>249</v>
      </c>
      <c r="I832" s="7">
        <v>0.38</v>
      </c>
      <c r="J832" s="7">
        <v>0.42199999999999999</v>
      </c>
      <c r="K832" s="7">
        <v>0.54900000000000004</v>
      </c>
      <c r="L832" s="7">
        <v>0.63700000000000001</v>
      </c>
      <c r="M832" s="7">
        <v>0.17299999999999999</v>
      </c>
      <c r="N832" s="7">
        <v>0.11899999999999999</v>
      </c>
      <c r="O832" s="7">
        <v>0.14000000000000001</v>
      </c>
      <c r="P832" s="7">
        <v>0.19</v>
      </c>
      <c r="Q832" s="7">
        <v>7.2999999999999995E-2</v>
      </c>
      <c r="R832" s="7">
        <v>0</v>
      </c>
      <c r="S832" s="7">
        <v>0</v>
      </c>
      <c r="T832" s="7">
        <v>0</v>
      </c>
      <c r="U832" s="7">
        <v>0</v>
      </c>
      <c r="V832" s="7">
        <v>0.17799999999999999</v>
      </c>
      <c r="W832" s="7">
        <v>0.32600000000000001</v>
      </c>
      <c r="X832" s="7">
        <v>0</v>
      </c>
      <c r="Y832" s="7">
        <v>0</v>
      </c>
      <c r="Z832" s="7">
        <v>4.8000000000000001E-2</v>
      </c>
      <c r="AA832" s="7">
        <v>6.5000000000000002E-2</v>
      </c>
      <c r="AB832" s="7">
        <v>0.17899999999999999</v>
      </c>
      <c r="AC832" s="7">
        <v>0</v>
      </c>
      <c r="AD832" s="7">
        <v>0.28399999999999997</v>
      </c>
      <c r="AE832" s="7">
        <v>0</v>
      </c>
      <c r="AF832" s="7">
        <v>0</v>
      </c>
      <c r="AG832" s="7">
        <v>0</v>
      </c>
      <c r="AH832" s="7">
        <v>5.2999999999999999E-2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0</v>
      </c>
      <c r="AQ832" s="7">
        <v>0</v>
      </c>
      <c r="AR832" s="7">
        <v>0.106</v>
      </c>
      <c r="AS832" s="7">
        <v>0</v>
      </c>
      <c r="AT832" s="7">
        <v>0</v>
      </c>
    </row>
    <row r="833" spans="1:46" x14ac:dyDescent="0.25">
      <c r="A833" s="4" t="s">
        <v>196</v>
      </c>
      <c r="B833" s="4" t="s">
        <v>207</v>
      </c>
      <c r="C833" s="4" t="s">
        <v>246</v>
      </c>
      <c r="D833" s="4" t="s">
        <v>263</v>
      </c>
      <c r="E833" s="4" t="s">
        <v>248</v>
      </c>
      <c r="F833" s="4" t="s">
        <v>195</v>
      </c>
      <c r="G833" s="4" t="s">
        <v>264</v>
      </c>
      <c r="H833" s="4" t="s">
        <v>250</v>
      </c>
      <c r="I833" s="7">
        <v>8.3040000000000003</v>
      </c>
      <c r="J833" s="7">
        <v>12.709</v>
      </c>
      <c r="K833" s="7">
        <v>11.895</v>
      </c>
      <c r="L833" s="7">
        <v>13.404999999999999</v>
      </c>
      <c r="M833" s="7">
        <v>8.3580000000000005</v>
      </c>
      <c r="N833" s="7">
        <v>7.4020000000000001</v>
      </c>
      <c r="O833" s="7">
        <v>6.6020000000000003</v>
      </c>
      <c r="P833" s="7">
        <v>5.3250000000000002</v>
      </c>
      <c r="Q833" s="7">
        <v>4.657</v>
      </c>
      <c r="R833" s="7">
        <v>5.8449999999999998</v>
      </c>
      <c r="S833" s="7">
        <v>4.492</v>
      </c>
      <c r="T833" s="7">
        <v>4.3239999999999998</v>
      </c>
      <c r="U833" s="7">
        <v>3.0579999999999998</v>
      </c>
      <c r="V833" s="7">
        <v>5.2649999999999997</v>
      </c>
      <c r="W833" s="7">
        <v>4.7910000000000004</v>
      </c>
      <c r="X833" s="7">
        <v>3.2410000000000001</v>
      </c>
      <c r="Y833" s="7">
        <v>3.0670000000000002</v>
      </c>
      <c r="Z833" s="7">
        <v>3.3410000000000002</v>
      </c>
      <c r="AA833" s="7">
        <v>4.899</v>
      </c>
      <c r="AB833" s="7">
        <v>6.1529999999999996</v>
      </c>
      <c r="AC833" s="7">
        <v>6.149</v>
      </c>
      <c r="AD833" s="7">
        <v>7.8789999999999996</v>
      </c>
      <c r="AE833" s="7">
        <v>7.8010000000000002</v>
      </c>
      <c r="AF833" s="7">
        <v>6.093</v>
      </c>
      <c r="AG833" s="7">
        <v>3.972</v>
      </c>
      <c r="AH833" s="7">
        <v>2.63</v>
      </c>
      <c r="AI833" s="7">
        <v>0.318</v>
      </c>
      <c r="AJ833" s="7">
        <v>0.59899999999999998</v>
      </c>
      <c r="AK833" s="7">
        <v>0.79800000000000004</v>
      </c>
      <c r="AL833" s="7">
        <v>1.153</v>
      </c>
      <c r="AM833" s="7">
        <v>0.90200000000000002</v>
      </c>
      <c r="AN833" s="7">
        <v>2.3420000000000001</v>
      </c>
      <c r="AO833" s="7">
        <v>4.6639999999999997</v>
      </c>
      <c r="AP833" s="7">
        <v>6.181</v>
      </c>
      <c r="AQ833" s="7">
        <v>2.9580000000000002</v>
      </c>
      <c r="AR833" s="7">
        <v>2.16</v>
      </c>
      <c r="AS833" s="7">
        <v>1.3220000000000001</v>
      </c>
      <c r="AT833" s="5">
        <v>194.58500000000001</v>
      </c>
    </row>
    <row r="834" spans="1:46" x14ac:dyDescent="0.25">
      <c r="A834" s="4" t="s">
        <v>196</v>
      </c>
      <c r="B834" s="4" t="s">
        <v>207</v>
      </c>
      <c r="C834" s="4" t="s">
        <v>246</v>
      </c>
      <c r="D834" s="4" t="s">
        <v>263</v>
      </c>
      <c r="E834" s="4" t="s">
        <v>248</v>
      </c>
      <c r="F834" s="4" t="s">
        <v>195</v>
      </c>
      <c r="G834" s="4" t="s">
        <v>264</v>
      </c>
      <c r="H834" s="4" t="s">
        <v>251</v>
      </c>
      <c r="I834" s="7">
        <v>5.6968743999999996</v>
      </c>
      <c r="J834" s="7">
        <v>6.6792902999999999</v>
      </c>
      <c r="K834" s="7">
        <v>6.6038015999999997</v>
      </c>
      <c r="L834" s="7">
        <v>6.5039759000000004</v>
      </c>
      <c r="M834" s="7">
        <v>7.1882467999999999</v>
      </c>
      <c r="N834" s="7">
        <v>5.8659441000000001</v>
      </c>
      <c r="O834" s="7">
        <v>5.8659584000000002</v>
      </c>
      <c r="P834" s="7">
        <v>5.7439187</v>
      </c>
      <c r="Q834" s="7">
        <v>5.0115031999999999</v>
      </c>
      <c r="R834" s="7">
        <v>4.1762305</v>
      </c>
      <c r="S834" s="7">
        <v>3.3024689999999999</v>
      </c>
      <c r="T834" s="7">
        <v>3.3008739</v>
      </c>
      <c r="U834" s="7">
        <v>3.3033125000000001</v>
      </c>
      <c r="V834" s="7">
        <v>3.2993462999999998</v>
      </c>
      <c r="W834" s="7">
        <v>3.2387476999999998</v>
      </c>
      <c r="X834" s="7">
        <v>3.129184</v>
      </c>
      <c r="Y834" s="7">
        <v>3.1120394999999998</v>
      </c>
      <c r="Z834" s="7">
        <v>3.2276444</v>
      </c>
      <c r="AA834" s="7">
        <v>4.0392105000000003</v>
      </c>
      <c r="AB834" s="7">
        <v>3.7380803999999999</v>
      </c>
      <c r="AC834" s="7">
        <v>3.7368622999999999</v>
      </c>
      <c r="AD834" s="7">
        <v>3.9322987999999999</v>
      </c>
      <c r="AE834" s="7">
        <v>1.9432685000000001</v>
      </c>
      <c r="AF834" s="7">
        <v>1.8142427000000001</v>
      </c>
      <c r="AG834" s="7">
        <v>1.9954113</v>
      </c>
      <c r="AH834" s="7">
        <v>1.9925185999999999</v>
      </c>
      <c r="AI834" s="7">
        <v>1.3597402999999999</v>
      </c>
      <c r="AJ834" s="7">
        <v>1.3586195999999999</v>
      </c>
      <c r="AK834" s="7">
        <v>1.3542841000000001</v>
      </c>
      <c r="AL834" s="7">
        <v>1.3726624999999999</v>
      </c>
      <c r="AM834" s="7">
        <v>1.3728617000000001</v>
      </c>
      <c r="AN834" s="7">
        <v>1.3725331999999999</v>
      </c>
      <c r="AO834" s="7">
        <v>1.4711616000000001</v>
      </c>
      <c r="AP834" s="7">
        <v>3.0903051000000001</v>
      </c>
      <c r="AQ834" s="7">
        <v>3.0887720999999999</v>
      </c>
      <c r="AR834" s="7">
        <v>2.8839812</v>
      </c>
      <c r="AS834" s="7">
        <v>2.8801562000000001</v>
      </c>
      <c r="AT834" s="7">
        <v>1.3220000000000001</v>
      </c>
    </row>
    <row r="835" spans="1:46" x14ac:dyDescent="0.25">
      <c r="A835" s="4" t="s">
        <v>196</v>
      </c>
      <c r="B835" s="4" t="s">
        <v>207</v>
      </c>
      <c r="C835" s="4" t="s">
        <v>246</v>
      </c>
      <c r="D835" s="4" t="s">
        <v>263</v>
      </c>
      <c r="E835" s="4" t="s">
        <v>248</v>
      </c>
      <c r="F835" s="4" t="s">
        <v>195</v>
      </c>
      <c r="G835" s="4" t="s">
        <v>264</v>
      </c>
      <c r="H835" s="4" t="s">
        <v>252</v>
      </c>
      <c r="I835" s="16">
        <v>0.58599999999999997</v>
      </c>
      <c r="J835" s="16">
        <v>0.52200000000000002</v>
      </c>
      <c r="K835" s="16">
        <v>0.40799999999999997</v>
      </c>
      <c r="L835" s="16">
        <v>0.46600000000000003</v>
      </c>
      <c r="M835" s="16">
        <v>0.46500000000000002</v>
      </c>
      <c r="N835" s="16">
        <v>0.47099999999999997</v>
      </c>
      <c r="O835" s="16">
        <v>0.40799999999999997</v>
      </c>
      <c r="P835" s="16">
        <v>0.40300000000000002</v>
      </c>
      <c r="Q835" s="16">
        <v>0.39</v>
      </c>
      <c r="R835" s="16">
        <v>0.40799999999999997</v>
      </c>
      <c r="S835" s="16">
        <v>0.42499999999999999</v>
      </c>
      <c r="T835" s="16">
        <v>0.41599999999999998</v>
      </c>
      <c r="U835" s="16">
        <v>0.42599999999999999</v>
      </c>
      <c r="V835" s="16">
        <v>0.377</v>
      </c>
      <c r="W835" s="16">
        <v>0.35699999999999998</v>
      </c>
      <c r="X835" s="16">
        <v>0.33400000000000002</v>
      </c>
      <c r="Y835" s="16">
        <v>0.32500000000000001</v>
      </c>
      <c r="Z835" s="16">
        <v>0.30499999999999999</v>
      </c>
      <c r="AA835" s="16">
        <v>0.36</v>
      </c>
      <c r="AB835" s="16">
        <v>0.38800000000000001</v>
      </c>
      <c r="AC835" s="16">
        <v>0.39100000000000001</v>
      </c>
      <c r="AD835" s="16">
        <v>0.34</v>
      </c>
      <c r="AE835" s="16">
        <v>0.36</v>
      </c>
      <c r="AF835" s="16">
        <v>0.40200000000000002</v>
      </c>
      <c r="AG835" s="16">
        <v>0.432</v>
      </c>
      <c r="AH835" s="16">
        <v>0.41799999999999998</v>
      </c>
      <c r="AI835" s="16">
        <v>0.33300000000000002</v>
      </c>
      <c r="AJ835" s="16">
        <v>0.33600000000000002</v>
      </c>
      <c r="AK835" s="16">
        <v>0.30399999999999999</v>
      </c>
      <c r="AL835" s="16">
        <v>0.316</v>
      </c>
      <c r="AM835" s="16">
        <v>0.33900000000000002</v>
      </c>
      <c r="AN835" s="16">
        <v>0.32500000000000001</v>
      </c>
      <c r="AO835" s="16">
        <v>0.34399999999999997</v>
      </c>
      <c r="AP835" s="16">
        <v>0.36699999999999999</v>
      </c>
      <c r="AQ835" s="16">
        <v>0.40200000000000002</v>
      </c>
      <c r="AR835" s="16">
        <v>0.38</v>
      </c>
      <c r="AS835" s="16">
        <v>0.39</v>
      </c>
      <c r="AT835" s="7">
        <v>2.8801562000000001</v>
      </c>
    </row>
    <row r="836" spans="1:46" x14ac:dyDescent="0.25">
      <c r="A836" s="4" t="s">
        <v>196</v>
      </c>
      <c r="B836" s="4" t="s">
        <v>207</v>
      </c>
      <c r="C836" s="4" t="s">
        <v>246</v>
      </c>
      <c r="D836" s="4" t="s">
        <v>263</v>
      </c>
      <c r="E836" s="4" t="s">
        <v>248</v>
      </c>
      <c r="F836" s="4" t="s">
        <v>195</v>
      </c>
      <c r="G836" s="4" t="s">
        <v>71</v>
      </c>
      <c r="H836" s="4" t="s">
        <v>151</v>
      </c>
      <c r="I836" s="5">
        <v>135.30600000000001</v>
      </c>
      <c r="J836" s="5">
        <v>243.17599999999999</v>
      </c>
      <c r="K836" s="5">
        <v>460.72199999999998</v>
      </c>
      <c r="L836" s="5">
        <v>664.35599999999999</v>
      </c>
      <c r="M836" s="5">
        <v>1500.41</v>
      </c>
      <c r="N836" s="5">
        <v>1307.8779999999999</v>
      </c>
      <c r="O836" s="5">
        <v>1047.607</v>
      </c>
      <c r="P836" s="5">
        <v>941.75900000000001</v>
      </c>
      <c r="Q836" s="5">
        <v>512.85599999999999</v>
      </c>
      <c r="R836" s="5">
        <v>302.56799999999998</v>
      </c>
      <c r="S836" s="5">
        <v>217.08699999999999</v>
      </c>
      <c r="T836" s="5">
        <v>158.489</v>
      </c>
      <c r="U836" s="5">
        <v>60.145000000000003</v>
      </c>
      <c r="V836" s="5">
        <v>138.24600000000001</v>
      </c>
      <c r="W836" s="5">
        <v>447.79399999999998</v>
      </c>
      <c r="X836" s="5">
        <v>989.26199999999994</v>
      </c>
      <c r="Y836" s="5">
        <v>921.06500000000005</v>
      </c>
      <c r="Z836" s="5">
        <v>904.63800000000003</v>
      </c>
      <c r="AA836" s="5">
        <v>943.45799999999997</v>
      </c>
      <c r="AB836" s="5">
        <v>622.56600000000003</v>
      </c>
      <c r="AC836" s="5">
        <v>515.375</v>
      </c>
      <c r="AD836" s="5">
        <v>239</v>
      </c>
      <c r="AE836" s="5">
        <v>244.18700000000001</v>
      </c>
      <c r="AF836" s="5">
        <v>251.358</v>
      </c>
      <c r="AG836" s="5">
        <v>339.71699999999998</v>
      </c>
      <c r="AH836" s="5">
        <v>415.851</v>
      </c>
      <c r="AI836" s="5">
        <v>300.35599999999999</v>
      </c>
      <c r="AJ836" s="5">
        <v>906.34400000000005</v>
      </c>
      <c r="AK836" s="5">
        <v>1423.6130000000001</v>
      </c>
      <c r="AL836" s="5">
        <v>1291.374</v>
      </c>
      <c r="AM836" s="5">
        <v>1818.153</v>
      </c>
      <c r="AN836" s="5">
        <v>2541.3069999999998</v>
      </c>
      <c r="AO836" s="5">
        <v>1780.9390000000001</v>
      </c>
      <c r="AP836" s="5">
        <v>929.45899999999995</v>
      </c>
      <c r="AQ836" s="5">
        <v>698.83799999999997</v>
      </c>
      <c r="AR836" s="5">
        <v>305.84300000000002</v>
      </c>
      <c r="AS836" s="5">
        <v>152.65199999999999</v>
      </c>
      <c r="AT836" s="5">
        <v>1703.7760000000001</v>
      </c>
    </row>
    <row r="837" spans="1:46" x14ac:dyDescent="0.25">
      <c r="A837" s="4" t="s">
        <v>196</v>
      </c>
      <c r="B837" s="4" t="s">
        <v>207</v>
      </c>
      <c r="C837" s="4" t="s">
        <v>246</v>
      </c>
      <c r="D837" s="4" t="s">
        <v>263</v>
      </c>
      <c r="E837" s="4" t="s">
        <v>248</v>
      </c>
      <c r="F837" s="4" t="s">
        <v>195</v>
      </c>
      <c r="G837" s="4" t="s">
        <v>71</v>
      </c>
      <c r="H837" s="4" t="s">
        <v>205</v>
      </c>
      <c r="I837" s="6">
        <v>15454.235000000001</v>
      </c>
      <c r="J837" s="6">
        <v>29499.912</v>
      </c>
      <c r="K837" s="6">
        <v>55470.540999999997</v>
      </c>
      <c r="L837" s="6">
        <v>80671.343999999997</v>
      </c>
      <c r="M837" s="6">
        <v>188824.64600000001</v>
      </c>
      <c r="N837" s="6">
        <v>167234.48499999999</v>
      </c>
      <c r="O837" s="6">
        <v>138157.658</v>
      </c>
      <c r="P837" s="6">
        <v>133198.92800000001</v>
      </c>
      <c r="Q837" s="6">
        <v>73872.406000000003</v>
      </c>
      <c r="R837" s="6">
        <v>45050.163999999997</v>
      </c>
      <c r="S837" s="6">
        <v>32161.796999999999</v>
      </c>
      <c r="T837" s="6">
        <v>23263.74</v>
      </c>
      <c r="U837" s="6">
        <v>7982.8680000000004</v>
      </c>
      <c r="V837" s="6">
        <v>19334.098000000002</v>
      </c>
      <c r="W837" s="6">
        <v>59925.618000000002</v>
      </c>
      <c r="X837" s="6">
        <v>133868.98000000001</v>
      </c>
      <c r="Y837" s="6">
        <v>130501.057</v>
      </c>
      <c r="Z837" s="6">
        <v>119371.554</v>
      </c>
      <c r="AA837" s="6">
        <v>128777.077</v>
      </c>
      <c r="AB837" s="6">
        <v>87728.437000000005</v>
      </c>
      <c r="AC837" s="6">
        <v>70102.486000000004</v>
      </c>
      <c r="AD837" s="6">
        <v>34584.803999999996</v>
      </c>
      <c r="AE837" s="6">
        <v>33157.271000000001</v>
      </c>
      <c r="AF837" s="6">
        <v>34743.716</v>
      </c>
      <c r="AG837" s="6">
        <v>47563.934000000001</v>
      </c>
      <c r="AH837" s="6">
        <v>56354.718000000001</v>
      </c>
      <c r="AI837" s="6">
        <v>43129.398999999998</v>
      </c>
      <c r="AJ837" s="6">
        <v>138433.58300000001</v>
      </c>
      <c r="AK837" s="6">
        <v>218390.58499999999</v>
      </c>
      <c r="AL837" s="6">
        <v>196209.791</v>
      </c>
      <c r="AM837" s="6">
        <v>276634.141</v>
      </c>
      <c r="AN837" s="6">
        <v>390856.98100000003</v>
      </c>
      <c r="AO837" s="6">
        <v>258378.329</v>
      </c>
      <c r="AP837" s="6">
        <v>129321.568</v>
      </c>
      <c r="AQ837" s="6">
        <v>107266.48299999999</v>
      </c>
      <c r="AR837" s="6">
        <v>45570.845000000001</v>
      </c>
      <c r="AS837" s="6">
        <v>19463.004000000001</v>
      </c>
      <c r="AT837" s="6">
        <v>19463.004000000001</v>
      </c>
    </row>
    <row r="838" spans="1:46" x14ac:dyDescent="0.25">
      <c r="A838" s="4" t="s">
        <v>196</v>
      </c>
      <c r="B838" s="4" t="s">
        <v>207</v>
      </c>
      <c r="C838" s="4" t="s">
        <v>246</v>
      </c>
      <c r="D838" s="4" t="s">
        <v>263</v>
      </c>
      <c r="E838" s="4" t="s">
        <v>248</v>
      </c>
      <c r="F838" s="4" t="s">
        <v>195</v>
      </c>
      <c r="G838" s="4" t="s">
        <v>71</v>
      </c>
      <c r="H838" s="4" t="s">
        <v>249</v>
      </c>
      <c r="I838" s="7">
        <v>6.2E-2</v>
      </c>
      <c r="J838" s="7">
        <v>6.9000000000000006E-2</v>
      </c>
      <c r="K838" s="7">
        <v>8.5999999999999993E-2</v>
      </c>
      <c r="L838" s="7">
        <v>0.10100000000000001</v>
      </c>
      <c r="M838" s="7">
        <v>0.151</v>
      </c>
      <c r="N838" s="7">
        <v>0.14299999999999999</v>
      </c>
      <c r="O838" s="7">
        <v>0.14299999999999999</v>
      </c>
      <c r="P838" s="7">
        <v>0.192</v>
      </c>
      <c r="Q838" s="7">
        <v>0.153</v>
      </c>
      <c r="R838" s="7">
        <v>0.13400000000000001</v>
      </c>
      <c r="S838" s="7">
        <v>0.112</v>
      </c>
      <c r="T838" s="7">
        <v>8.8999999999999996E-2</v>
      </c>
      <c r="U838" s="7">
        <v>2.7E-2</v>
      </c>
      <c r="V838" s="7">
        <v>5.0999999999999997E-2</v>
      </c>
      <c r="W838" s="7">
        <v>9.5000000000000001E-2</v>
      </c>
      <c r="X838" s="7">
        <v>0.129</v>
      </c>
      <c r="Y838" s="7">
        <v>0.10299999999999999</v>
      </c>
      <c r="Z838" s="7">
        <v>0.10299999999999999</v>
      </c>
      <c r="AA838" s="7">
        <v>0.111</v>
      </c>
      <c r="AB838" s="7">
        <v>0.10299999999999999</v>
      </c>
      <c r="AC838" s="7">
        <v>0.112</v>
      </c>
      <c r="AD838" s="7">
        <v>7.3999999999999996E-2</v>
      </c>
      <c r="AE838" s="7">
        <v>8.6999999999999994E-2</v>
      </c>
      <c r="AF838" s="7">
        <v>0.114</v>
      </c>
      <c r="AG838" s="7">
        <v>0.15</v>
      </c>
      <c r="AH838" s="7">
        <v>0.14199999999999999</v>
      </c>
      <c r="AI838" s="7">
        <v>7.1999999999999995E-2</v>
      </c>
      <c r="AJ838" s="7">
        <v>0.111</v>
      </c>
      <c r="AK838" s="7">
        <v>0.106</v>
      </c>
      <c r="AL838" s="7">
        <v>0.112</v>
      </c>
      <c r="AM838" s="7">
        <v>0.109</v>
      </c>
      <c r="AN838" s="7">
        <v>0.13400000000000001</v>
      </c>
      <c r="AO838" s="7">
        <v>0.14699999999999999</v>
      </c>
      <c r="AP838" s="7">
        <v>0.15</v>
      </c>
      <c r="AQ838" s="7">
        <v>0.20100000000000001</v>
      </c>
      <c r="AR838" s="7">
        <v>0.13300000000000001</v>
      </c>
      <c r="AS838" s="7">
        <v>6.6000000000000003E-2</v>
      </c>
      <c r="AT838" s="7">
        <v>3.3620000000000001</v>
      </c>
    </row>
    <row r="839" spans="1:46" x14ac:dyDescent="0.25">
      <c r="A839" s="4" t="s">
        <v>196</v>
      </c>
      <c r="B839" s="4" t="s">
        <v>207</v>
      </c>
      <c r="C839" s="4" t="s">
        <v>246</v>
      </c>
      <c r="D839" s="4" t="s">
        <v>263</v>
      </c>
      <c r="E839" s="4" t="s">
        <v>248</v>
      </c>
      <c r="F839" s="4" t="s">
        <v>195</v>
      </c>
      <c r="G839" s="4" t="s">
        <v>71</v>
      </c>
      <c r="H839" s="4" t="s">
        <v>250</v>
      </c>
      <c r="I839" s="7">
        <v>29.614999999999998</v>
      </c>
      <c r="J839" s="7">
        <v>35.613999999999997</v>
      </c>
      <c r="K839" s="7">
        <v>51.174999999999997</v>
      </c>
      <c r="L839" s="7">
        <v>54.045999999999999</v>
      </c>
      <c r="M839" s="7">
        <v>58.616</v>
      </c>
      <c r="N839" s="7">
        <v>49.231000000000002</v>
      </c>
      <c r="O839" s="7">
        <v>45.137</v>
      </c>
      <c r="P839" s="7">
        <v>42.436999999999998</v>
      </c>
      <c r="Q839" s="7">
        <v>29.01</v>
      </c>
      <c r="R839" s="7">
        <v>31.271000000000001</v>
      </c>
      <c r="S839" s="7">
        <v>31.7</v>
      </c>
      <c r="T839" s="7">
        <v>34.423000000000002</v>
      </c>
      <c r="U839" s="7">
        <v>22.242000000000001</v>
      </c>
      <c r="V839" s="7">
        <v>31.419</v>
      </c>
      <c r="W839" s="7">
        <v>41.731000000000002</v>
      </c>
      <c r="X839" s="7">
        <v>48.954999999999998</v>
      </c>
      <c r="Y839" s="7">
        <v>51.081000000000003</v>
      </c>
      <c r="Z839" s="7">
        <v>49.276000000000003</v>
      </c>
      <c r="AA839" s="7">
        <v>43.890999999999998</v>
      </c>
      <c r="AB839" s="7">
        <v>37.383000000000003</v>
      </c>
      <c r="AC839" s="7">
        <v>33.284999999999997</v>
      </c>
      <c r="AD839" s="7">
        <v>33.662999999999997</v>
      </c>
      <c r="AE839" s="7">
        <v>31.3</v>
      </c>
      <c r="AF839" s="7">
        <v>34.014000000000003</v>
      </c>
      <c r="AG839" s="7">
        <v>34.756999999999998</v>
      </c>
      <c r="AH839" s="7">
        <v>28.498999999999999</v>
      </c>
      <c r="AI839" s="7">
        <v>35.469000000000001</v>
      </c>
      <c r="AJ839" s="7">
        <v>47.542000000000002</v>
      </c>
      <c r="AK839" s="7">
        <v>56.854999999999997</v>
      </c>
      <c r="AL839" s="7">
        <v>53.201000000000001</v>
      </c>
      <c r="AM839" s="7">
        <v>51.545000000000002</v>
      </c>
      <c r="AN839" s="7">
        <v>55.725999999999999</v>
      </c>
      <c r="AO839" s="7">
        <v>45.415999999999997</v>
      </c>
      <c r="AP839" s="7">
        <v>42.101999999999997</v>
      </c>
      <c r="AQ839" s="7">
        <v>41.587000000000003</v>
      </c>
      <c r="AR839" s="7">
        <v>33.798999999999999</v>
      </c>
      <c r="AS839" s="7">
        <v>27.334</v>
      </c>
      <c r="AT839" s="5">
        <v>19671.595000000001</v>
      </c>
    </row>
    <row r="840" spans="1:46" x14ac:dyDescent="0.25">
      <c r="A840" s="4" t="s">
        <v>196</v>
      </c>
      <c r="B840" s="4" t="s">
        <v>207</v>
      </c>
      <c r="C840" s="4" t="s">
        <v>246</v>
      </c>
      <c r="D840" s="4" t="s">
        <v>263</v>
      </c>
      <c r="E840" s="4" t="s">
        <v>248</v>
      </c>
      <c r="F840" s="4" t="s">
        <v>195</v>
      </c>
      <c r="G840" s="4" t="s">
        <v>71</v>
      </c>
      <c r="H840" s="4" t="s">
        <v>251</v>
      </c>
      <c r="I840" s="7">
        <v>20.750751399999999</v>
      </c>
      <c r="J840" s="7">
        <v>22.717185199999999</v>
      </c>
      <c r="K840" s="7">
        <v>24.631376199999998</v>
      </c>
      <c r="L840" s="7">
        <v>24.811899199999999</v>
      </c>
      <c r="M840" s="7">
        <v>29.529804500000001</v>
      </c>
      <c r="N840" s="7">
        <v>26.603307000000001</v>
      </c>
      <c r="O840" s="7">
        <v>25.553035699999999</v>
      </c>
      <c r="P840" s="7">
        <v>25.524846499999999</v>
      </c>
      <c r="Q840" s="7">
        <v>21.342487500000001</v>
      </c>
      <c r="R840" s="7">
        <v>18.163776599999998</v>
      </c>
      <c r="S840" s="7">
        <v>17.416298900000001</v>
      </c>
      <c r="T840" s="7">
        <v>17.251882200000001</v>
      </c>
      <c r="U840" s="7">
        <v>16.608923099999998</v>
      </c>
      <c r="V840" s="7">
        <v>18.7444059</v>
      </c>
      <c r="W840" s="7">
        <v>23.250432700000001</v>
      </c>
      <c r="X840" s="7">
        <v>24.720069200000001</v>
      </c>
      <c r="Y840" s="7">
        <v>27.089269600000002</v>
      </c>
      <c r="Z840" s="7">
        <v>27.724391300000001</v>
      </c>
      <c r="AA840" s="7">
        <v>26.9585641</v>
      </c>
      <c r="AB840" s="7">
        <v>23.9641062</v>
      </c>
      <c r="AC840" s="7">
        <v>19.871413100000002</v>
      </c>
      <c r="AD840" s="7">
        <v>20.101670500000001</v>
      </c>
      <c r="AE840" s="7">
        <v>20.2802711</v>
      </c>
      <c r="AF840" s="7">
        <v>19.011239</v>
      </c>
      <c r="AG840" s="7">
        <v>20.415960200000001</v>
      </c>
      <c r="AH840" s="7">
        <v>21.651988200000002</v>
      </c>
      <c r="AI840" s="7">
        <v>21.8050912</v>
      </c>
      <c r="AJ840" s="7">
        <v>27.3698616</v>
      </c>
      <c r="AK840" s="7">
        <v>33.5523296</v>
      </c>
      <c r="AL840" s="7">
        <v>33.7820854</v>
      </c>
      <c r="AM840" s="7">
        <v>33.830112300000003</v>
      </c>
      <c r="AN840" s="7">
        <v>34.8841204</v>
      </c>
      <c r="AO840" s="7">
        <v>28.317586299999999</v>
      </c>
      <c r="AP840" s="7">
        <v>23.179495899999999</v>
      </c>
      <c r="AQ840" s="7">
        <v>23.25939</v>
      </c>
      <c r="AR840" s="7">
        <v>19.9518293</v>
      </c>
      <c r="AS840" s="7">
        <v>20.586938400000001</v>
      </c>
      <c r="AT840" s="7">
        <v>27.334</v>
      </c>
    </row>
    <row r="841" spans="1:46" x14ac:dyDescent="0.25">
      <c r="A841" s="4" t="s">
        <v>196</v>
      </c>
      <c r="B841" s="4" t="s">
        <v>207</v>
      </c>
      <c r="C841" s="4" t="s">
        <v>246</v>
      </c>
      <c r="D841" s="4" t="s">
        <v>263</v>
      </c>
      <c r="E841" s="4" t="s">
        <v>248</v>
      </c>
      <c r="F841" s="4" t="s">
        <v>195</v>
      </c>
      <c r="G841" s="4" t="s">
        <v>71</v>
      </c>
      <c r="H841" s="4" t="s">
        <v>252</v>
      </c>
      <c r="I841" s="16">
        <v>2.1949999999999998</v>
      </c>
      <c r="J841" s="16">
        <v>1.9990000000000001</v>
      </c>
      <c r="K841" s="16">
        <v>2.1480000000000001</v>
      </c>
      <c r="L841" s="16">
        <v>2.06</v>
      </c>
      <c r="M841" s="16">
        <v>2.5129999999999999</v>
      </c>
      <c r="N841" s="16">
        <v>2.4260000000000002</v>
      </c>
      <c r="O841" s="16">
        <v>2.351</v>
      </c>
      <c r="P841" s="16">
        <v>2.3730000000000002</v>
      </c>
      <c r="Q841" s="16">
        <v>2.1059999999999999</v>
      </c>
      <c r="R841" s="16">
        <v>2.04</v>
      </c>
      <c r="S841" s="16">
        <v>2.2429999999999999</v>
      </c>
      <c r="T841" s="16">
        <v>2.173</v>
      </c>
      <c r="U841" s="16">
        <v>2.3090000000000002</v>
      </c>
      <c r="V841" s="16">
        <v>2.4790000000000001</v>
      </c>
      <c r="W841" s="16">
        <v>2.2240000000000002</v>
      </c>
      <c r="X841" s="16">
        <v>2.306</v>
      </c>
      <c r="Y841" s="16">
        <v>2.3959999999999999</v>
      </c>
      <c r="Z841" s="16">
        <v>2.1110000000000002</v>
      </c>
      <c r="AA841" s="16">
        <v>2.2189999999999999</v>
      </c>
      <c r="AB841" s="16">
        <v>1.8480000000000001</v>
      </c>
      <c r="AC841" s="16">
        <v>1.87</v>
      </c>
      <c r="AD841" s="16">
        <v>2.0230000000000001</v>
      </c>
      <c r="AE841" s="16">
        <v>2.0990000000000002</v>
      </c>
      <c r="AF841" s="16">
        <v>2.23</v>
      </c>
      <c r="AG841" s="16">
        <v>2.58</v>
      </c>
      <c r="AH841" s="16">
        <v>2.59</v>
      </c>
      <c r="AI841" s="16">
        <v>2.3519999999999999</v>
      </c>
      <c r="AJ841" s="16">
        <v>2.2309999999999999</v>
      </c>
      <c r="AK841" s="16">
        <v>2.7629999999999999</v>
      </c>
      <c r="AL841" s="16">
        <v>2.649</v>
      </c>
      <c r="AM841" s="16">
        <v>2.7389999999999999</v>
      </c>
      <c r="AN841" s="16">
        <v>2.1339999999999999</v>
      </c>
      <c r="AO841" s="16">
        <v>1.8520000000000001</v>
      </c>
      <c r="AP841" s="16">
        <v>1.978</v>
      </c>
      <c r="AQ841" s="16">
        <v>2.044</v>
      </c>
      <c r="AR841" s="16">
        <v>2.2629999999999999</v>
      </c>
      <c r="AS841" s="16">
        <v>3.39</v>
      </c>
      <c r="AT841" s="7">
        <v>20.586938400000001</v>
      </c>
    </row>
    <row r="842" spans="1:46" x14ac:dyDescent="0.25">
      <c r="A842" s="4" t="s">
        <v>196</v>
      </c>
      <c r="B842" s="4" t="s">
        <v>207</v>
      </c>
      <c r="C842" s="4" t="s">
        <v>246</v>
      </c>
      <c r="D842" s="4" t="s">
        <v>263</v>
      </c>
      <c r="E842" s="4" t="s">
        <v>248</v>
      </c>
      <c r="F842" s="4" t="s">
        <v>195</v>
      </c>
      <c r="G842" s="4" t="s">
        <v>76</v>
      </c>
      <c r="H842" s="4" t="s">
        <v>151</v>
      </c>
      <c r="I842" s="5">
        <v>214.99199999999999</v>
      </c>
      <c r="J842" s="5">
        <v>585.01400000000001</v>
      </c>
      <c r="K842" s="5">
        <v>755.89599999999996</v>
      </c>
      <c r="L842" s="5">
        <v>1089.654</v>
      </c>
      <c r="M842" s="5">
        <v>1648.2149999999999</v>
      </c>
      <c r="N842" s="5">
        <v>1386.0070000000001</v>
      </c>
      <c r="O842" s="5">
        <v>1441.6089999999999</v>
      </c>
      <c r="P842" s="5">
        <v>531.35599999999999</v>
      </c>
      <c r="Q842" s="5">
        <v>289.35700000000003</v>
      </c>
      <c r="R842" s="5">
        <v>181.88900000000001</v>
      </c>
      <c r="S842" s="5">
        <v>109.1</v>
      </c>
      <c r="T842" s="5">
        <v>92.710999999999999</v>
      </c>
      <c r="U842" s="5">
        <v>181.55799999999999</v>
      </c>
      <c r="V842" s="5">
        <v>445.85399999999998</v>
      </c>
      <c r="W842" s="5">
        <v>1049.3679999999999</v>
      </c>
      <c r="X842" s="5">
        <v>1698.644</v>
      </c>
      <c r="Y842" s="5">
        <v>1710.547</v>
      </c>
      <c r="Z842" s="5">
        <v>1762.7449999999999</v>
      </c>
      <c r="AA842" s="5">
        <v>2049.0940000000001</v>
      </c>
      <c r="AB842" s="5">
        <v>1243.4490000000001</v>
      </c>
      <c r="AC842" s="5">
        <v>737.72799999999995</v>
      </c>
      <c r="AD842" s="5">
        <v>581.40599999999995</v>
      </c>
      <c r="AE842" s="5">
        <v>370.16500000000002</v>
      </c>
      <c r="AF842" s="5">
        <v>189.619</v>
      </c>
      <c r="AG842" s="5">
        <v>410.23599999999999</v>
      </c>
      <c r="AH842" s="5">
        <v>706.25099999999998</v>
      </c>
      <c r="AI842" s="5">
        <v>1131.7139999999999</v>
      </c>
      <c r="AJ842" s="5">
        <v>2619.973</v>
      </c>
      <c r="AK842" s="5">
        <v>3346.8919999999998</v>
      </c>
      <c r="AL842" s="5">
        <v>2420.866</v>
      </c>
      <c r="AM842" s="5">
        <v>2995.9589999999998</v>
      </c>
      <c r="AN842" s="5">
        <v>2729.1689999999999</v>
      </c>
      <c r="AO842" s="5">
        <v>1672.037</v>
      </c>
      <c r="AP842" s="5">
        <v>396.726</v>
      </c>
      <c r="AQ842" s="5">
        <v>390.38400000000001</v>
      </c>
      <c r="AR842" s="5">
        <v>180.18899999999999</v>
      </c>
      <c r="AS842" s="5">
        <v>284.20699999999999</v>
      </c>
      <c r="AT842" s="5">
        <v>284.20699999999999</v>
      </c>
    </row>
    <row r="843" spans="1:46" x14ac:dyDescent="0.25">
      <c r="A843" s="4" t="s">
        <v>196</v>
      </c>
      <c r="B843" s="4" t="s">
        <v>207</v>
      </c>
      <c r="C843" s="4" t="s">
        <v>246</v>
      </c>
      <c r="D843" s="4" t="s">
        <v>263</v>
      </c>
      <c r="E843" s="4" t="s">
        <v>248</v>
      </c>
      <c r="F843" s="4" t="s">
        <v>195</v>
      </c>
      <c r="G843" s="4" t="s">
        <v>76</v>
      </c>
      <c r="H843" s="4" t="s">
        <v>205</v>
      </c>
      <c r="I843" s="6">
        <v>57368.887999999999</v>
      </c>
      <c r="J843" s="6">
        <v>175021.174</v>
      </c>
      <c r="K843" s="6">
        <v>224787.609</v>
      </c>
      <c r="L843" s="6">
        <v>331436.20699999999</v>
      </c>
      <c r="M843" s="6">
        <v>491739.97499999998</v>
      </c>
      <c r="N843" s="6">
        <v>414316.01199999999</v>
      </c>
      <c r="O843" s="6">
        <v>404642.06199999998</v>
      </c>
      <c r="P843" s="6">
        <v>148403.24100000001</v>
      </c>
      <c r="Q843" s="6">
        <v>85961.558999999994</v>
      </c>
      <c r="R843" s="6">
        <v>52293.817000000003</v>
      </c>
      <c r="S843" s="6">
        <v>35806.785000000003</v>
      </c>
      <c r="T843" s="6">
        <v>29907.208999999999</v>
      </c>
      <c r="U843" s="6">
        <v>55163.728999999999</v>
      </c>
      <c r="V843" s="6">
        <v>130799.45</v>
      </c>
      <c r="W843" s="6">
        <v>306722.40999999997</v>
      </c>
      <c r="X843" s="6">
        <v>463874.14299999998</v>
      </c>
      <c r="Y843" s="6">
        <v>508410.13099999999</v>
      </c>
      <c r="Z843" s="6">
        <v>543727.30799999996</v>
      </c>
      <c r="AA843" s="6">
        <v>614734.06499999994</v>
      </c>
      <c r="AB843" s="6">
        <v>400415.652</v>
      </c>
      <c r="AC843" s="6">
        <v>251037.304</v>
      </c>
      <c r="AD843" s="6">
        <v>204574.875</v>
      </c>
      <c r="AE843" s="6">
        <v>119066.59699999999</v>
      </c>
      <c r="AF843" s="6">
        <v>62606.968000000001</v>
      </c>
      <c r="AG843" s="6">
        <v>134137.93700000001</v>
      </c>
      <c r="AH843" s="6">
        <v>234181.80799999999</v>
      </c>
      <c r="AI843" s="6">
        <v>383500.16600000003</v>
      </c>
      <c r="AJ843" s="6">
        <v>869673.59400000004</v>
      </c>
      <c r="AK843" s="6">
        <v>1119347.023</v>
      </c>
      <c r="AL843" s="6">
        <v>820486.87600000005</v>
      </c>
      <c r="AM843" s="6">
        <v>1027622.201</v>
      </c>
      <c r="AN843" s="6">
        <v>955970.79399999999</v>
      </c>
      <c r="AO843" s="6">
        <v>593485.29200000002</v>
      </c>
      <c r="AP843" s="6">
        <v>134118.35800000001</v>
      </c>
      <c r="AQ843" s="6">
        <v>126171.583</v>
      </c>
      <c r="AR843" s="6">
        <v>60560.828999999998</v>
      </c>
      <c r="AS843" s="6">
        <v>95121.46</v>
      </c>
      <c r="AT843" s="6">
        <v>95121.46</v>
      </c>
    </row>
    <row r="844" spans="1:46" x14ac:dyDescent="0.25">
      <c r="A844" s="4" t="s">
        <v>196</v>
      </c>
      <c r="B844" s="4" t="s">
        <v>207</v>
      </c>
      <c r="C844" s="4" t="s">
        <v>246</v>
      </c>
      <c r="D844" s="4" t="s">
        <v>263</v>
      </c>
      <c r="E844" s="4" t="s">
        <v>248</v>
      </c>
      <c r="F844" s="4" t="s">
        <v>195</v>
      </c>
      <c r="G844" s="4" t="s">
        <v>76</v>
      </c>
      <c r="H844" s="4" t="s">
        <v>249</v>
      </c>
      <c r="I844" s="7">
        <v>0.37</v>
      </c>
      <c r="J844" s="7">
        <v>0.627</v>
      </c>
      <c r="K844" s="7">
        <v>0.53100000000000003</v>
      </c>
      <c r="L844" s="7">
        <v>0.62</v>
      </c>
      <c r="M844" s="7">
        <v>0.622</v>
      </c>
      <c r="N844" s="7">
        <v>0.56799999999999995</v>
      </c>
      <c r="O844" s="7">
        <v>0.74</v>
      </c>
      <c r="P844" s="7">
        <v>0.40699999999999997</v>
      </c>
      <c r="Q844" s="7">
        <v>0.32400000000000001</v>
      </c>
      <c r="R844" s="7">
        <v>0.30199999999999999</v>
      </c>
      <c r="S844" s="7">
        <v>0.21</v>
      </c>
      <c r="T844" s="7">
        <v>0.19500000000000001</v>
      </c>
      <c r="U844" s="7">
        <v>0.31</v>
      </c>
      <c r="V844" s="7">
        <v>0.61699999999999999</v>
      </c>
      <c r="W844" s="7">
        <v>0.84199999999999997</v>
      </c>
      <c r="X844" s="7">
        <v>0.84399999999999997</v>
      </c>
      <c r="Y844" s="7">
        <v>0.747</v>
      </c>
      <c r="Z844" s="7">
        <v>0.80400000000000005</v>
      </c>
      <c r="AA844" s="7">
        <v>0.93</v>
      </c>
      <c r="AB844" s="7">
        <v>0.78800000000000003</v>
      </c>
      <c r="AC844" s="7">
        <v>0.60799999999999998</v>
      </c>
      <c r="AD844" s="7">
        <v>0.67500000000000004</v>
      </c>
      <c r="AE844" s="7">
        <v>0.51200000000000001</v>
      </c>
      <c r="AF844" s="7">
        <v>0.32100000000000001</v>
      </c>
      <c r="AG844" s="7">
        <v>0.67800000000000005</v>
      </c>
      <c r="AH844" s="7">
        <v>0.90500000000000003</v>
      </c>
      <c r="AI844" s="7">
        <v>1.024</v>
      </c>
      <c r="AJ844" s="7">
        <v>1.206</v>
      </c>
      <c r="AK844" s="7">
        <v>0.93300000000000005</v>
      </c>
      <c r="AL844" s="7">
        <v>0.78800000000000003</v>
      </c>
      <c r="AM844" s="7">
        <v>0.68400000000000005</v>
      </c>
      <c r="AN844" s="7">
        <v>0.54800000000000004</v>
      </c>
      <c r="AO844" s="7">
        <v>0.54</v>
      </c>
      <c r="AP844" s="7">
        <v>0.25800000000000001</v>
      </c>
      <c r="AQ844" s="7">
        <v>0.42</v>
      </c>
      <c r="AR844" s="7">
        <v>0.29399999999999998</v>
      </c>
      <c r="AS844" s="7">
        <v>0.49299999999999999</v>
      </c>
      <c r="AT844" s="7">
        <v>0.56100000000000005</v>
      </c>
    </row>
    <row r="845" spans="1:46" x14ac:dyDescent="0.25">
      <c r="A845" s="4" t="s">
        <v>196</v>
      </c>
      <c r="B845" s="4" t="s">
        <v>207</v>
      </c>
      <c r="C845" s="4" t="s">
        <v>246</v>
      </c>
      <c r="D845" s="4" t="s">
        <v>263</v>
      </c>
      <c r="E845" s="4" t="s">
        <v>248</v>
      </c>
      <c r="F845" s="4" t="s">
        <v>195</v>
      </c>
      <c r="G845" s="4" t="s">
        <v>76</v>
      </c>
      <c r="H845" s="4" t="s">
        <v>250</v>
      </c>
      <c r="I845" s="7">
        <v>45.905999999999999</v>
      </c>
      <c r="J845" s="7">
        <v>59.228000000000002</v>
      </c>
      <c r="K845" s="7">
        <v>68.147999999999996</v>
      </c>
      <c r="L845" s="7">
        <v>62.673000000000002</v>
      </c>
      <c r="M845" s="7">
        <v>72.498000000000005</v>
      </c>
      <c r="N845" s="7">
        <v>62.154000000000003</v>
      </c>
      <c r="O845" s="7">
        <v>58.984999999999999</v>
      </c>
      <c r="P845" s="7">
        <v>57.482999999999997</v>
      </c>
      <c r="Q845" s="7">
        <v>55.933999999999997</v>
      </c>
      <c r="R845" s="7">
        <v>48.712000000000003</v>
      </c>
      <c r="S845" s="7">
        <v>39.53</v>
      </c>
      <c r="T845" s="7">
        <v>44.664999999999999</v>
      </c>
      <c r="U845" s="7">
        <v>45.927999999999997</v>
      </c>
      <c r="V845" s="7">
        <v>62.164000000000001</v>
      </c>
      <c r="W845" s="7">
        <v>74.596000000000004</v>
      </c>
      <c r="X845" s="7">
        <v>74.942999999999998</v>
      </c>
      <c r="Y845" s="7">
        <v>72.734999999999999</v>
      </c>
      <c r="Z845" s="7">
        <v>74.102999999999994</v>
      </c>
      <c r="AA845" s="7">
        <v>74.685000000000002</v>
      </c>
      <c r="AB845" s="7">
        <v>70.792000000000002</v>
      </c>
      <c r="AC845" s="7">
        <v>65.019000000000005</v>
      </c>
      <c r="AD845" s="7">
        <v>64.290000000000006</v>
      </c>
      <c r="AE845" s="7">
        <v>62.679000000000002</v>
      </c>
      <c r="AF845" s="7">
        <v>60.261000000000003</v>
      </c>
      <c r="AG845" s="7">
        <v>60.98</v>
      </c>
      <c r="AH845" s="7">
        <v>68.084000000000003</v>
      </c>
      <c r="AI845" s="7">
        <v>75.210999999999999</v>
      </c>
      <c r="AJ845" s="7">
        <v>80.305000000000007</v>
      </c>
      <c r="AK845" s="7">
        <v>85.376999999999995</v>
      </c>
      <c r="AL845" s="7">
        <v>83.414000000000001</v>
      </c>
      <c r="AM845" s="7">
        <v>86.856999999999999</v>
      </c>
      <c r="AN845" s="7">
        <v>81.89</v>
      </c>
      <c r="AO845" s="7">
        <v>70.843000000000004</v>
      </c>
      <c r="AP845" s="7">
        <v>60.942</v>
      </c>
      <c r="AQ845" s="7">
        <v>54.945</v>
      </c>
      <c r="AR845" s="7">
        <v>41.152000000000001</v>
      </c>
      <c r="AS845" s="7">
        <v>45.664999999999999</v>
      </c>
      <c r="AT845" s="5">
        <v>1708.441</v>
      </c>
    </row>
    <row r="846" spans="1:46" x14ac:dyDescent="0.25">
      <c r="A846" s="4" t="s">
        <v>196</v>
      </c>
      <c r="B846" s="4" t="s">
        <v>207</v>
      </c>
      <c r="C846" s="4" t="s">
        <v>246</v>
      </c>
      <c r="D846" s="4" t="s">
        <v>263</v>
      </c>
      <c r="E846" s="4" t="s">
        <v>248</v>
      </c>
      <c r="F846" s="4" t="s">
        <v>195</v>
      </c>
      <c r="G846" s="4" t="s">
        <v>76</v>
      </c>
      <c r="H846" s="4" t="s">
        <v>251</v>
      </c>
      <c r="I846" s="7">
        <v>33.605806600000001</v>
      </c>
      <c r="J846" s="7">
        <v>37.113169399999997</v>
      </c>
      <c r="K846" s="7">
        <v>40.225439700000003</v>
      </c>
      <c r="L846" s="7">
        <v>38.297494299999997</v>
      </c>
      <c r="M846" s="7">
        <v>40.865250699999997</v>
      </c>
      <c r="N846" s="7">
        <v>40.846844099999998</v>
      </c>
      <c r="O846" s="7">
        <v>40.182635900000001</v>
      </c>
      <c r="P846" s="7">
        <v>37.683335499999998</v>
      </c>
      <c r="Q846" s="7">
        <v>36.131403300000002</v>
      </c>
      <c r="R846" s="7">
        <v>32.626457100000003</v>
      </c>
      <c r="S846" s="7">
        <v>29.898154600000002</v>
      </c>
      <c r="T846" s="7">
        <v>30.170762799999999</v>
      </c>
      <c r="U846" s="7">
        <v>31.181791199999999</v>
      </c>
      <c r="V846" s="7">
        <v>36.697672300000001</v>
      </c>
      <c r="W846" s="7">
        <v>42.055708799999998</v>
      </c>
      <c r="X846" s="7">
        <v>46.773984900000002</v>
      </c>
      <c r="Y846" s="7">
        <v>45.939404500000002</v>
      </c>
      <c r="Z846" s="7">
        <v>46.816006600000001</v>
      </c>
      <c r="AA846" s="7">
        <v>48.9867992</v>
      </c>
      <c r="AB846" s="7">
        <v>43.575983700000002</v>
      </c>
      <c r="AC846" s="7">
        <v>39.2252455</v>
      </c>
      <c r="AD846" s="7">
        <v>35.346374699999998</v>
      </c>
      <c r="AE846" s="7">
        <v>34.890794399999997</v>
      </c>
      <c r="AF846" s="7">
        <v>34.900228300000002</v>
      </c>
      <c r="AG846" s="7">
        <v>37.360175099999999</v>
      </c>
      <c r="AH846" s="7">
        <v>44.462732899999999</v>
      </c>
      <c r="AI846" s="7">
        <v>45.204667800000003</v>
      </c>
      <c r="AJ846" s="7">
        <v>47.124501299999999</v>
      </c>
      <c r="AK846" s="7">
        <v>51.161751700000003</v>
      </c>
      <c r="AL846" s="7">
        <v>53.809267200000001</v>
      </c>
      <c r="AM846" s="7">
        <v>55.982241700000003</v>
      </c>
      <c r="AN846" s="7">
        <v>55.809953700000001</v>
      </c>
      <c r="AO846" s="7">
        <v>51.043688799999998</v>
      </c>
      <c r="AP846" s="7">
        <v>41.382396499999999</v>
      </c>
      <c r="AQ846" s="7">
        <v>38.718828100000003</v>
      </c>
      <c r="AR846" s="7">
        <v>36.732194100000001</v>
      </c>
      <c r="AS846" s="7">
        <v>35.2007105</v>
      </c>
      <c r="AT846" s="7">
        <v>45.664999999999999</v>
      </c>
    </row>
    <row r="847" spans="1:46" x14ac:dyDescent="0.25">
      <c r="A847" s="4" t="s">
        <v>196</v>
      </c>
      <c r="B847" s="4" t="s">
        <v>207</v>
      </c>
      <c r="C847" s="4" t="s">
        <v>246</v>
      </c>
      <c r="D847" s="4" t="s">
        <v>263</v>
      </c>
      <c r="E847" s="4" t="s">
        <v>248</v>
      </c>
      <c r="F847" s="4" t="s">
        <v>195</v>
      </c>
      <c r="G847" s="4" t="s">
        <v>76</v>
      </c>
      <c r="H847" s="4" t="s">
        <v>252</v>
      </c>
      <c r="I847" s="16">
        <v>3.7090000000000001</v>
      </c>
      <c r="J847" s="16">
        <v>3.5449999999999999</v>
      </c>
      <c r="K847" s="16">
        <v>3.036</v>
      </c>
      <c r="L847" s="16">
        <v>2.8159999999999998</v>
      </c>
      <c r="M847" s="16">
        <v>2.8580000000000001</v>
      </c>
      <c r="N847" s="16">
        <v>3.1419999999999999</v>
      </c>
      <c r="O847" s="16">
        <v>2.714</v>
      </c>
      <c r="P847" s="16">
        <v>2.9990000000000001</v>
      </c>
      <c r="Q847" s="16">
        <v>3.0990000000000002</v>
      </c>
      <c r="R847" s="16">
        <v>3.0579999999999998</v>
      </c>
      <c r="S847" s="16">
        <v>3.1379999999999999</v>
      </c>
      <c r="T847" s="16">
        <v>3.1240000000000001</v>
      </c>
      <c r="U847" s="16">
        <v>2.9649999999999999</v>
      </c>
      <c r="V847" s="16">
        <v>3.1619999999999999</v>
      </c>
      <c r="W847" s="16">
        <v>3.0179999999999998</v>
      </c>
      <c r="X847" s="16">
        <v>2.9359999999999999</v>
      </c>
      <c r="Y847" s="16">
        <v>3.1880000000000002</v>
      </c>
      <c r="Z847" s="16">
        <v>3.6</v>
      </c>
      <c r="AA847" s="16">
        <v>3.87</v>
      </c>
      <c r="AB847" s="16">
        <v>4.01</v>
      </c>
      <c r="AC847" s="16">
        <v>4.1680000000000001</v>
      </c>
      <c r="AD847" s="16">
        <v>4.0410000000000004</v>
      </c>
      <c r="AE847" s="16">
        <v>4.2169999999999996</v>
      </c>
      <c r="AF847" s="16">
        <v>4.13</v>
      </c>
      <c r="AG847" s="16">
        <v>4.1680000000000001</v>
      </c>
      <c r="AH847" s="16">
        <v>4.4909999999999997</v>
      </c>
      <c r="AI847" s="16">
        <v>4.1539999999999999</v>
      </c>
      <c r="AJ847" s="16">
        <v>3.5830000000000002</v>
      </c>
      <c r="AK847" s="16">
        <v>3.5739999999999998</v>
      </c>
      <c r="AL847" s="16">
        <v>3.6560000000000001</v>
      </c>
      <c r="AM847" s="16">
        <v>3.42</v>
      </c>
      <c r="AN847" s="16">
        <v>3.5579999999999998</v>
      </c>
      <c r="AO847" s="16">
        <v>3.3490000000000002</v>
      </c>
      <c r="AP847" s="16">
        <v>3.3149999999999999</v>
      </c>
      <c r="AQ847" s="16">
        <v>3.105</v>
      </c>
      <c r="AR847" s="16">
        <v>3.4609999999999999</v>
      </c>
      <c r="AS847" s="16">
        <v>3.3420000000000001</v>
      </c>
      <c r="AT847" s="7">
        <v>35.2007105</v>
      </c>
    </row>
    <row r="848" spans="1:46" x14ac:dyDescent="0.25">
      <c r="A848" s="4" t="s">
        <v>196</v>
      </c>
      <c r="B848" s="4" t="s">
        <v>207</v>
      </c>
      <c r="C848" s="4" t="s">
        <v>246</v>
      </c>
      <c r="D848" s="4" t="s">
        <v>263</v>
      </c>
      <c r="E848" s="4" t="s">
        <v>248</v>
      </c>
      <c r="F848" s="4" t="s">
        <v>195</v>
      </c>
      <c r="G848" s="4" t="s">
        <v>85</v>
      </c>
      <c r="H848" s="4" t="s">
        <v>151</v>
      </c>
      <c r="I848" s="5">
        <v>828.25800000000004</v>
      </c>
      <c r="J848" s="5">
        <v>1482.2059999999999</v>
      </c>
      <c r="K848" s="5">
        <v>2520.3989999999999</v>
      </c>
      <c r="L848" s="5">
        <v>3845.0749999999998</v>
      </c>
      <c r="M848" s="5">
        <v>6650.5079999999998</v>
      </c>
      <c r="N848" s="5">
        <v>5303.9160000000002</v>
      </c>
      <c r="O848" s="5">
        <v>3977.0709999999999</v>
      </c>
      <c r="P848" s="5">
        <v>2591.35</v>
      </c>
      <c r="Q848" s="5">
        <v>1336.184</v>
      </c>
      <c r="R848" s="5">
        <v>643.13699999999994</v>
      </c>
      <c r="S848" s="5">
        <v>635.76400000000001</v>
      </c>
      <c r="T848" s="5">
        <v>637.77599999999995</v>
      </c>
      <c r="U848" s="5">
        <v>739.90099999999995</v>
      </c>
      <c r="V848" s="5">
        <v>1140.838</v>
      </c>
      <c r="W848" s="5">
        <v>2552.902</v>
      </c>
      <c r="X848" s="5">
        <v>4455.3149999999996</v>
      </c>
      <c r="Y848" s="5">
        <v>4491.7820000000002</v>
      </c>
      <c r="Z848" s="5">
        <v>3997.1979999999999</v>
      </c>
      <c r="AA848" s="5">
        <v>3847.4560000000001</v>
      </c>
      <c r="AB848" s="5">
        <v>2667.402</v>
      </c>
      <c r="AC848" s="5">
        <v>1994.366</v>
      </c>
      <c r="AD848" s="5">
        <v>1142.5840000000001</v>
      </c>
      <c r="AE848" s="5">
        <v>1281.7850000000001</v>
      </c>
      <c r="AF848" s="5">
        <v>715.26400000000001</v>
      </c>
      <c r="AG848" s="5">
        <v>653.92600000000004</v>
      </c>
      <c r="AH848" s="5">
        <v>1126.52</v>
      </c>
      <c r="AI848" s="5">
        <v>1893.471</v>
      </c>
      <c r="AJ848" s="5">
        <v>4036.136</v>
      </c>
      <c r="AK848" s="5">
        <v>6082.875</v>
      </c>
      <c r="AL848" s="5">
        <v>4875.6459999999997</v>
      </c>
      <c r="AM848" s="5">
        <v>7045.4709999999995</v>
      </c>
      <c r="AN848" s="5">
        <v>6181.665</v>
      </c>
      <c r="AO848" s="5">
        <v>4572.0789999999997</v>
      </c>
      <c r="AP848" s="5">
        <v>3180.1570000000002</v>
      </c>
      <c r="AQ848" s="5">
        <v>2429.4169999999999</v>
      </c>
      <c r="AR848" s="5">
        <v>1964.819</v>
      </c>
      <c r="AS848" s="5">
        <v>1192.2639999999999</v>
      </c>
      <c r="AT848" s="5">
        <v>13559.546</v>
      </c>
    </row>
    <row r="849" spans="1:46" x14ac:dyDescent="0.25">
      <c r="A849" s="4" t="s">
        <v>196</v>
      </c>
      <c r="B849" s="4" t="s">
        <v>207</v>
      </c>
      <c r="C849" s="4" t="s">
        <v>246</v>
      </c>
      <c r="D849" s="4" t="s">
        <v>263</v>
      </c>
      <c r="E849" s="4" t="s">
        <v>248</v>
      </c>
      <c r="F849" s="4" t="s">
        <v>195</v>
      </c>
      <c r="G849" s="4" t="s">
        <v>85</v>
      </c>
      <c r="H849" s="4" t="s">
        <v>205</v>
      </c>
      <c r="I849" s="6">
        <v>166298.962</v>
      </c>
      <c r="J849" s="6">
        <v>300147.91800000001</v>
      </c>
      <c r="K849" s="6">
        <v>509811.01400000002</v>
      </c>
      <c r="L849" s="6">
        <v>671465.71799999999</v>
      </c>
      <c r="M849" s="6">
        <v>1201693.527</v>
      </c>
      <c r="N849" s="6">
        <v>981970.32900000003</v>
      </c>
      <c r="O849" s="6">
        <v>744185.81499999994</v>
      </c>
      <c r="P849" s="6">
        <v>516795.97600000002</v>
      </c>
      <c r="Q849" s="6">
        <v>275819.09100000001</v>
      </c>
      <c r="R849" s="6">
        <v>143934.818</v>
      </c>
      <c r="S849" s="6">
        <v>134058.14300000001</v>
      </c>
      <c r="T849" s="6">
        <v>140282.674</v>
      </c>
      <c r="U849" s="6">
        <v>159202.74299999999</v>
      </c>
      <c r="V849" s="6">
        <v>236373.595</v>
      </c>
      <c r="W849" s="6">
        <v>581677.18400000001</v>
      </c>
      <c r="X849" s="6">
        <v>924514.64399999997</v>
      </c>
      <c r="Y849" s="6">
        <v>995116.89300000004</v>
      </c>
      <c r="Z849" s="6">
        <v>953703.04</v>
      </c>
      <c r="AA849" s="6">
        <v>896187.28399999999</v>
      </c>
      <c r="AB849" s="6">
        <v>613705.755</v>
      </c>
      <c r="AC849" s="6">
        <v>444404.47600000002</v>
      </c>
      <c r="AD849" s="6">
        <v>255450.742</v>
      </c>
      <c r="AE849" s="6">
        <v>265465.614</v>
      </c>
      <c r="AF849" s="6">
        <v>153986.196</v>
      </c>
      <c r="AG849" s="6">
        <v>150933.18799999999</v>
      </c>
      <c r="AH849" s="6">
        <v>264499.76899999997</v>
      </c>
      <c r="AI849" s="6">
        <v>451683.69900000002</v>
      </c>
      <c r="AJ849" s="6">
        <v>990495.299</v>
      </c>
      <c r="AK849" s="6">
        <v>1519165.781</v>
      </c>
      <c r="AL849" s="6">
        <v>1248072.0519999999</v>
      </c>
      <c r="AM849" s="6">
        <v>1717162.6569999999</v>
      </c>
      <c r="AN849" s="6">
        <v>1523543.6070000001</v>
      </c>
      <c r="AO849" s="6">
        <v>1090060.3999999999</v>
      </c>
      <c r="AP849" s="6">
        <v>731607.77</v>
      </c>
      <c r="AQ849" s="6">
        <v>533412.87699999998</v>
      </c>
      <c r="AR849" s="6">
        <v>374525.712</v>
      </c>
      <c r="AS849" s="6">
        <v>252152.76500000001</v>
      </c>
      <c r="AT849" s="6">
        <v>252152.76500000001</v>
      </c>
    </row>
    <row r="850" spans="1:46" x14ac:dyDescent="0.25">
      <c r="A850" s="4" t="s">
        <v>196</v>
      </c>
      <c r="B850" s="4" t="s">
        <v>207</v>
      </c>
      <c r="C850" s="4" t="s">
        <v>246</v>
      </c>
      <c r="D850" s="4" t="s">
        <v>263</v>
      </c>
      <c r="E850" s="4" t="s">
        <v>248</v>
      </c>
      <c r="F850" s="4" t="s">
        <v>195</v>
      </c>
      <c r="G850" s="4" t="s">
        <v>85</v>
      </c>
      <c r="H850" s="4" t="s">
        <v>249</v>
      </c>
      <c r="I850" s="7">
        <v>0.61899999999999999</v>
      </c>
      <c r="J850" s="7">
        <v>0.61299999999999999</v>
      </c>
      <c r="K850" s="7">
        <v>0.67</v>
      </c>
      <c r="L850" s="7">
        <v>0.83399999999999996</v>
      </c>
      <c r="M850" s="7">
        <v>0.95299999999999996</v>
      </c>
      <c r="N850" s="7">
        <v>0.84</v>
      </c>
      <c r="O850" s="7">
        <v>0.87</v>
      </c>
      <c r="P850" s="7">
        <v>0.84099999999999997</v>
      </c>
      <c r="Q850" s="7">
        <v>0.65500000000000003</v>
      </c>
      <c r="R850" s="7">
        <v>0.47499999999999998</v>
      </c>
      <c r="S850" s="7">
        <v>0.45900000000000002</v>
      </c>
      <c r="T850" s="7">
        <v>0.51900000000000002</v>
      </c>
      <c r="U850" s="7">
        <v>0.46800000000000003</v>
      </c>
      <c r="V850" s="7">
        <v>0.54600000000000004</v>
      </c>
      <c r="W850" s="7">
        <v>0.76500000000000001</v>
      </c>
      <c r="X850" s="7">
        <v>0.90200000000000002</v>
      </c>
      <c r="Y850" s="7">
        <v>0.79500000000000004</v>
      </c>
      <c r="Z850" s="7">
        <v>0.72099999999999997</v>
      </c>
      <c r="AA850" s="7">
        <v>0.71299999999999997</v>
      </c>
      <c r="AB850" s="7">
        <v>0.65300000000000002</v>
      </c>
      <c r="AC850" s="7">
        <v>0.63100000000000001</v>
      </c>
      <c r="AD850" s="7">
        <v>0.52700000000000002</v>
      </c>
      <c r="AE850" s="7">
        <v>0.56999999999999995</v>
      </c>
      <c r="AF850" s="7">
        <v>0.438</v>
      </c>
      <c r="AG850" s="7">
        <v>0.442</v>
      </c>
      <c r="AH850" s="7">
        <v>0.504</v>
      </c>
      <c r="AI850" s="7">
        <v>0.61299999999999999</v>
      </c>
      <c r="AJ850" s="7">
        <v>0.64100000000000001</v>
      </c>
      <c r="AK850" s="7">
        <v>0.6</v>
      </c>
      <c r="AL850" s="7">
        <v>0.60499999999999998</v>
      </c>
      <c r="AM850" s="7">
        <v>0.54</v>
      </c>
      <c r="AN850" s="7">
        <v>0.442</v>
      </c>
      <c r="AO850" s="7">
        <v>0.53700000000000003</v>
      </c>
      <c r="AP850" s="7">
        <v>0.72199999999999998</v>
      </c>
      <c r="AQ850" s="7">
        <v>0.79200000000000004</v>
      </c>
      <c r="AR850" s="7">
        <v>0.78500000000000003</v>
      </c>
      <c r="AS850" s="7">
        <v>0.56000000000000005</v>
      </c>
      <c r="AT850" s="7">
        <v>26.759</v>
      </c>
    </row>
    <row r="851" spans="1:46" x14ac:dyDescent="0.25">
      <c r="A851" s="4" t="s">
        <v>196</v>
      </c>
      <c r="B851" s="4" t="s">
        <v>207</v>
      </c>
      <c r="C851" s="4" t="s">
        <v>246</v>
      </c>
      <c r="D851" s="4" t="s">
        <v>263</v>
      </c>
      <c r="E851" s="4" t="s">
        <v>248</v>
      </c>
      <c r="F851" s="4" t="s">
        <v>195</v>
      </c>
      <c r="G851" s="4" t="s">
        <v>85</v>
      </c>
      <c r="H851" s="4" t="s">
        <v>250</v>
      </c>
      <c r="I851" s="7">
        <v>58.521999999999998</v>
      </c>
      <c r="J851" s="7">
        <v>71.146000000000001</v>
      </c>
      <c r="K851" s="7">
        <v>72.429000000000002</v>
      </c>
      <c r="L851" s="7">
        <v>74.239999999999995</v>
      </c>
      <c r="M851" s="7">
        <v>79.305000000000007</v>
      </c>
      <c r="N851" s="7">
        <v>78.013999999999996</v>
      </c>
      <c r="O851" s="7">
        <v>78.53</v>
      </c>
      <c r="P851" s="7">
        <v>74.954999999999998</v>
      </c>
      <c r="Q851" s="7">
        <v>76.043000000000006</v>
      </c>
      <c r="R851" s="7">
        <v>72.537000000000006</v>
      </c>
      <c r="S851" s="7">
        <v>65.888999999999996</v>
      </c>
      <c r="T851" s="7">
        <v>66.12</v>
      </c>
      <c r="U851" s="7">
        <v>62.622999999999998</v>
      </c>
      <c r="V851" s="7">
        <v>66.051000000000002</v>
      </c>
      <c r="W851" s="7">
        <v>83.6</v>
      </c>
      <c r="X851" s="7">
        <v>83.534000000000006</v>
      </c>
      <c r="Y851" s="7">
        <v>83.25</v>
      </c>
      <c r="Z851" s="7">
        <v>83.626000000000005</v>
      </c>
      <c r="AA851" s="7">
        <v>80.322000000000003</v>
      </c>
      <c r="AB851" s="7">
        <v>78.179000000000002</v>
      </c>
      <c r="AC851" s="7">
        <v>75.849000000000004</v>
      </c>
      <c r="AD851" s="7">
        <v>76.335999999999999</v>
      </c>
      <c r="AE851" s="7">
        <v>73.81</v>
      </c>
      <c r="AF851" s="7">
        <v>67.84</v>
      </c>
      <c r="AG851" s="7">
        <v>65.644999999999996</v>
      </c>
      <c r="AH851" s="7">
        <v>72.393000000000001</v>
      </c>
      <c r="AI851" s="7">
        <v>82.611999999999995</v>
      </c>
      <c r="AJ851" s="7">
        <v>86.793999999999997</v>
      </c>
      <c r="AK851" s="7">
        <v>92.087000000000003</v>
      </c>
      <c r="AL851" s="7">
        <v>86.522999999999996</v>
      </c>
      <c r="AM851" s="7">
        <v>88.096000000000004</v>
      </c>
      <c r="AN851" s="7">
        <v>86.367999999999995</v>
      </c>
      <c r="AO851" s="7">
        <v>82.891999999999996</v>
      </c>
      <c r="AP851" s="7">
        <v>80.89</v>
      </c>
      <c r="AQ851" s="7">
        <v>79.667000000000002</v>
      </c>
      <c r="AR851" s="7">
        <v>72.873000000000005</v>
      </c>
      <c r="AS851" s="7">
        <v>70.911000000000001</v>
      </c>
      <c r="AT851" s="5">
        <v>42109.978000000003</v>
      </c>
    </row>
    <row r="852" spans="1:46" x14ac:dyDescent="0.25">
      <c r="A852" s="4" t="s">
        <v>196</v>
      </c>
      <c r="B852" s="4" t="s">
        <v>207</v>
      </c>
      <c r="C852" s="4" t="s">
        <v>246</v>
      </c>
      <c r="D852" s="4" t="s">
        <v>263</v>
      </c>
      <c r="E852" s="4" t="s">
        <v>248</v>
      </c>
      <c r="F852" s="4" t="s">
        <v>195</v>
      </c>
      <c r="G852" s="4" t="s">
        <v>85</v>
      </c>
      <c r="H852" s="4" t="s">
        <v>251</v>
      </c>
      <c r="I852" s="7">
        <v>41.415691099999997</v>
      </c>
      <c r="J852" s="7">
        <v>44.623835499999998</v>
      </c>
      <c r="K852" s="7">
        <v>46.003120099999997</v>
      </c>
      <c r="L852" s="7">
        <v>45.9826798</v>
      </c>
      <c r="M852" s="7">
        <v>48.064982399999998</v>
      </c>
      <c r="N852" s="7">
        <v>53.283673100000001</v>
      </c>
      <c r="O852" s="7">
        <v>54.078251399999999</v>
      </c>
      <c r="P852" s="7">
        <v>50.257137999999998</v>
      </c>
      <c r="Q852" s="7">
        <v>48.330500800000003</v>
      </c>
      <c r="R852" s="7">
        <v>42.830435399999999</v>
      </c>
      <c r="S852" s="7">
        <v>42.083894999999998</v>
      </c>
      <c r="T852" s="7">
        <v>42.928833699999998</v>
      </c>
      <c r="U852" s="7">
        <v>44.307364100000001</v>
      </c>
      <c r="V852" s="7">
        <v>46.050695599999997</v>
      </c>
      <c r="W852" s="7">
        <v>56.163672099999999</v>
      </c>
      <c r="X852" s="7">
        <v>57.829619299999997</v>
      </c>
      <c r="Y852" s="7">
        <v>61.109963299999997</v>
      </c>
      <c r="Z852" s="7">
        <v>60.2448257</v>
      </c>
      <c r="AA852" s="7">
        <v>56.845206500000003</v>
      </c>
      <c r="AB852" s="7">
        <v>55.315870799999999</v>
      </c>
      <c r="AC852" s="7">
        <v>54.738964600000003</v>
      </c>
      <c r="AD852" s="7">
        <v>53.875012099999999</v>
      </c>
      <c r="AE852" s="7">
        <v>52.4473743</v>
      </c>
      <c r="AF852" s="7">
        <v>48.305731899999998</v>
      </c>
      <c r="AG852" s="7">
        <v>49.157526099999998</v>
      </c>
      <c r="AH852" s="7">
        <v>56.404477999999997</v>
      </c>
      <c r="AI852" s="7">
        <v>61.0862044</v>
      </c>
      <c r="AJ852" s="7">
        <v>62.748465500000002</v>
      </c>
      <c r="AK852" s="7">
        <v>67.083573900000005</v>
      </c>
      <c r="AL852" s="7">
        <v>63.0424668</v>
      </c>
      <c r="AM852" s="7">
        <v>61.998549099999998</v>
      </c>
      <c r="AN852" s="7">
        <v>62.209248299999999</v>
      </c>
      <c r="AO852" s="7">
        <v>60.0211179</v>
      </c>
      <c r="AP852" s="7">
        <v>56.432583899999997</v>
      </c>
      <c r="AQ852" s="7">
        <v>53.944268399999999</v>
      </c>
      <c r="AR852" s="7">
        <v>47.270661500000003</v>
      </c>
      <c r="AS852" s="7">
        <v>49.3943382</v>
      </c>
      <c r="AT852" s="7">
        <v>70.911000000000001</v>
      </c>
    </row>
    <row r="853" spans="1:46" x14ac:dyDescent="0.25">
      <c r="A853" s="4" t="s">
        <v>196</v>
      </c>
      <c r="B853" s="4" t="s">
        <v>207</v>
      </c>
      <c r="C853" s="4" t="s">
        <v>246</v>
      </c>
      <c r="D853" s="4" t="s">
        <v>263</v>
      </c>
      <c r="E853" s="4" t="s">
        <v>248</v>
      </c>
      <c r="F853" s="4" t="s">
        <v>195</v>
      </c>
      <c r="G853" s="4" t="s">
        <v>85</v>
      </c>
      <c r="H853" s="4" t="s">
        <v>252</v>
      </c>
      <c r="I853" s="16">
        <v>6.452</v>
      </c>
      <c r="J853" s="16">
        <v>5.9390000000000001</v>
      </c>
      <c r="K853" s="16">
        <v>6.4450000000000003</v>
      </c>
      <c r="L853" s="16">
        <v>5.9189999999999996</v>
      </c>
      <c r="M853" s="16">
        <v>4.9550000000000001</v>
      </c>
      <c r="N853" s="16">
        <v>5.1689999999999996</v>
      </c>
      <c r="O853" s="16">
        <v>5.3419999999999996</v>
      </c>
      <c r="P853" s="16">
        <v>5.2519999999999998</v>
      </c>
      <c r="Q853" s="16">
        <v>5.8289999999999997</v>
      </c>
      <c r="R853" s="16">
        <v>5.9720000000000004</v>
      </c>
      <c r="S853" s="16">
        <v>5.8620000000000001</v>
      </c>
      <c r="T853" s="16">
        <v>5.6159999999999997</v>
      </c>
      <c r="U853" s="16">
        <v>6.1479999999999997</v>
      </c>
      <c r="V853" s="16">
        <v>6.18</v>
      </c>
      <c r="W853" s="16">
        <v>6.9610000000000003</v>
      </c>
      <c r="X853" s="16">
        <v>5.9829999999999997</v>
      </c>
      <c r="Y853" s="16">
        <v>5.7240000000000002</v>
      </c>
      <c r="Z853" s="16">
        <v>5.6349999999999998</v>
      </c>
      <c r="AA853" s="16">
        <v>5.7409999999999997</v>
      </c>
      <c r="AB853" s="16">
        <v>5.702</v>
      </c>
      <c r="AC853" s="16">
        <v>6.242</v>
      </c>
      <c r="AD853" s="16">
        <v>6.4180000000000001</v>
      </c>
      <c r="AE853" s="16">
        <v>5.8650000000000002</v>
      </c>
      <c r="AF853" s="16">
        <v>6.0140000000000002</v>
      </c>
      <c r="AG853" s="16">
        <v>6.3289999999999997</v>
      </c>
      <c r="AH853" s="16">
        <v>6.5780000000000003</v>
      </c>
      <c r="AI853" s="16">
        <v>6.02</v>
      </c>
      <c r="AJ853" s="16">
        <v>6.3159999999999998</v>
      </c>
      <c r="AK853" s="16">
        <v>6.5979999999999999</v>
      </c>
      <c r="AL853" s="16">
        <v>6.2510000000000003</v>
      </c>
      <c r="AM853" s="16">
        <v>6.7869999999999999</v>
      </c>
      <c r="AN853" s="16">
        <v>6.4560000000000004</v>
      </c>
      <c r="AO853" s="16">
        <v>7.9809999999999999</v>
      </c>
      <c r="AP853" s="16">
        <v>7.008</v>
      </c>
      <c r="AQ853" s="16">
        <v>6.1769999999999996</v>
      </c>
      <c r="AR853" s="16">
        <v>5.274</v>
      </c>
      <c r="AS853" s="16">
        <v>5.68</v>
      </c>
      <c r="AT853" s="7">
        <v>49.3943382</v>
      </c>
    </row>
    <row r="854" spans="1:46" x14ac:dyDescent="0.25">
      <c r="A854" s="4" t="s">
        <v>196</v>
      </c>
      <c r="B854" s="4" t="s">
        <v>207</v>
      </c>
      <c r="C854" s="4" t="s">
        <v>246</v>
      </c>
      <c r="D854" s="4" t="s">
        <v>265</v>
      </c>
      <c r="E854" s="4" t="s">
        <v>266</v>
      </c>
      <c r="F854" s="4" t="s">
        <v>195</v>
      </c>
      <c r="G854" s="4" t="s">
        <v>93</v>
      </c>
      <c r="H854" s="4" t="s">
        <v>151</v>
      </c>
      <c r="I854" s="5">
        <v>162.72800000000001</v>
      </c>
      <c r="J854" s="5">
        <v>256.09399999999999</v>
      </c>
      <c r="K854" s="5">
        <v>423.28800000000001</v>
      </c>
      <c r="L854" s="5">
        <v>497.15499999999997</v>
      </c>
      <c r="M854" s="5">
        <v>677.20799999999997</v>
      </c>
      <c r="N854" s="5">
        <v>525.80700000000002</v>
      </c>
      <c r="O854" s="5">
        <v>452.09899999999999</v>
      </c>
      <c r="P854" s="5">
        <v>285.40800000000002</v>
      </c>
      <c r="Q854" s="5">
        <v>214.78100000000001</v>
      </c>
      <c r="R854" s="5">
        <v>131.06299999999999</v>
      </c>
      <c r="S854" s="5">
        <v>181.982</v>
      </c>
      <c r="T854" s="5">
        <v>163.11099999999999</v>
      </c>
      <c r="U854" s="5">
        <v>77.186999999999998</v>
      </c>
      <c r="V854" s="5">
        <v>188.40700000000001</v>
      </c>
      <c r="W854" s="5">
        <v>452.12700000000001</v>
      </c>
      <c r="X854" s="5">
        <v>420.55500000000001</v>
      </c>
      <c r="Y854" s="5">
        <v>537.20299999999997</v>
      </c>
      <c r="Z854" s="5">
        <v>505.09199999999998</v>
      </c>
      <c r="AA854" s="5">
        <v>378.22500000000002</v>
      </c>
      <c r="AB854" s="5">
        <v>274.209</v>
      </c>
      <c r="AC854" s="5">
        <v>252.959</v>
      </c>
      <c r="AD854" s="5">
        <v>303.35399999999998</v>
      </c>
      <c r="AE854" s="5">
        <v>181.636</v>
      </c>
      <c r="AF854" s="5">
        <v>164.81899999999999</v>
      </c>
      <c r="AG854" s="5">
        <v>179.40700000000001</v>
      </c>
      <c r="AH854" s="5">
        <v>283.04300000000001</v>
      </c>
      <c r="AI854" s="5">
        <v>156.16</v>
      </c>
      <c r="AJ854" s="5">
        <v>221.684</v>
      </c>
      <c r="AK854" s="5">
        <v>362.89100000000002</v>
      </c>
      <c r="AL854" s="5">
        <v>444.529</v>
      </c>
      <c r="AM854" s="5">
        <v>534.21900000000005</v>
      </c>
      <c r="AN854" s="5">
        <v>519.88</v>
      </c>
      <c r="AO854" s="5">
        <v>430.51799999999997</v>
      </c>
      <c r="AP854" s="5">
        <v>361.22899999999998</v>
      </c>
      <c r="AQ854" s="5">
        <v>197.792</v>
      </c>
      <c r="AR854" s="5">
        <v>227.08799999999999</v>
      </c>
      <c r="AS854" s="5">
        <v>267.221</v>
      </c>
      <c r="AT854" s="5">
        <v>267.221</v>
      </c>
    </row>
    <row r="855" spans="1:46" x14ac:dyDescent="0.25">
      <c r="A855" s="4" t="s">
        <v>196</v>
      </c>
      <c r="B855" s="4" t="s">
        <v>207</v>
      </c>
      <c r="C855" s="4" t="s">
        <v>246</v>
      </c>
      <c r="D855" s="4" t="s">
        <v>265</v>
      </c>
      <c r="E855" s="4" t="s">
        <v>266</v>
      </c>
      <c r="F855" s="4" t="s">
        <v>195</v>
      </c>
      <c r="G855" s="4" t="s">
        <v>93</v>
      </c>
      <c r="H855" s="4" t="s">
        <v>205</v>
      </c>
      <c r="I855" s="6">
        <v>31395.982</v>
      </c>
      <c r="J855" s="6">
        <v>53472.587</v>
      </c>
      <c r="K855" s="6">
        <v>88033.328999999998</v>
      </c>
      <c r="L855" s="6">
        <v>105693.98299999999</v>
      </c>
      <c r="M855" s="6">
        <v>142675.76699999999</v>
      </c>
      <c r="N855" s="6">
        <v>112802.156</v>
      </c>
      <c r="O855" s="6">
        <v>98727.88</v>
      </c>
      <c r="P855" s="6">
        <v>58871.964</v>
      </c>
      <c r="Q855" s="6">
        <v>44070.968999999997</v>
      </c>
      <c r="R855" s="6">
        <v>27991.791000000001</v>
      </c>
      <c r="S855" s="6">
        <v>40349.317000000003</v>
      </c>
      <c r="T855" s="6">
        <v>37221.053999999996</v>
      </c>
      <c r="U855" s="6">
        <v>18401.971000000001</v>
      </c>
      <c r="V855" s="6">
        <v>45045.610999999997</v>
      </c>
      <c r="W855" s="6">
        <v>98125.008000000002</v>
      </c>
      <c r="X855" s="6">
        <v>90674.928</v>
      </c>
      <c r="Y855" s="6">
        <v>104990.33199999999</v>
      </c>
      <c r="Z855" s="6">
        <v>106315.92</v>
      </c>
      <c r="AA855" s="6">
        <v>76324.224000000002</v>
      </c>
      <c r="AB855" s="6">
        <v>53410.055</v>
      </c>
      <c r="AC855" s="6">
        <v>48147.084999999999</v>
      </c>
      <c r="AD855" s="6">
        <v>56731.076000000001</v>
      </c>
      <c r="AE855" s="6">
        <v>33797.167000000001</v>
      </c>
      <c r="AF855" s="6">
        <v>30879.415000000001</v>
      </c>
      <c r="AG855" s="6">
        <v>33259.110999999997</v>
      </c>
      <c r="AH855" s="6">
        <v>54966.985000000001</v>
      </c>
      <c r="AI855" s="6">
        <v>32149.021000000001</v>
      </c>
      <c r="AJ855" s="6">
        <v>44610.824999999997</v>
      </c>
      <c r="AK855" s="6">
        <v>67639.672000000006</v>
      </c>
      <c r="AL855" s="6">
        <v>85619.971999999994</v>
      </c>
      <c r="AM855" s="6">
        <v>111642.276</v>
      </c>
      <c r="AN855" s="6">
        <v>109433.651</v>
      </c>
      <c r="AO855" s="6">
        <v>85457.267999999996</v>
      </c>
      <c r="AP855" s="6">
        <v>74817.039000000004</v>
      </c>
      <c r="AQ855" s="6">
        <v>39500.438999999998</v>
      </c>
      <c r="AR855" s="6">
        <v>44457.597999999998</v>
      </c>
      <c r="AS855" s="6">
        <v>52135.574999999997</v>
      </c>
      <c r="AT855" s="6">
        <v>52135.574999999997</v>
      </c>
    </row>
    <row r="856" spans="1:46" x14ac:dyDescent="0.25">
      <c r="A856" s="4" t="s">
        <v>196</v>
      </c>
      <c r="B856" s="4" t="s">
        <v>207</v>
      </c>
      <c r="C856" s="4" t="s">
        <v>246</v>
      </c>
      <c r="D856" s="4" t="s">
        <v>265</v>
      </c>
      <c r="E856" s="4" t="s">
        <v>266</v>
      </c>
      <c r="F856" s="4" t="s">
        <v>195</v>
      </c>
      <c r="G856" s="4" t="s">
        <v>93</v>
      </c>
      <c r="H856" s="4" t="s">
        <v>249</v>
      </c>
      <c r="I856" s="7">
        <v>2.3079999999999998</v>
      </c>
      <c r="J856" s="7">
        <v>2.3050000000000002</v>
      </c>
      <c r="K856" s="7">
        <v>2.4769999999999999</v>
      </c>
      <c r="L856" s="7">
        <v>2.375</v>
      </c>
      <c r="M856" s="7">
        <v>2.1309999999999998</v>
      </c>
      <c r="N856" s="7">
        <v>1.7609999999999999</v>
      </c>
      <c r="O856" s="7">
        <v>1.8919999999999999</v>
      </c>
      <c r="P856" s="7">
        <v>1.792</v>
      </c>
      <c r="Q856" s="7">
        <v>1.982</v>
      </c>
      <c r="R856" s="7">
        <v>1.7829999999999999</v>
      </c>
      <c r="S856" s="7">
        <v>2.9670000000000001</v>
      </c>
      <c r="T856" s="7">
        <v>2.9950000000000001</v>
      </c>
      <c r="U856" s="7">
        <v>1.119</v>
      </c>
      <c r="V856" s="7">
        <v>2.242</v>
      </c>
      <c r="W856" s="7">
        <v>3.0009999999999999</v>
      </c>
      <c r="X856" s="7">
        <v>1.6910000000000001</v>
      </c>
      <c r="Y856" s="7">
        <v>1.891</v>
      </c>
      <c r="Z856" s="7">
        <v>1.885</v>
      </c>
      <c r="AA856" s="7">
        <v>1.3979999999999999</v>
      </c>
      <c r="AB856" s="7">
        <v>1.4019999999999999</v>
      </c>
      <c r="AC856" s="7">
        <v>1.702</v>
      </c>
      <c r="AD856" s="7">
        <v>2.8319999999999999</v>
      </c>
      <c r="AE856" s="7">
        <v>2.0779999999999998</v>
      </c>
      <c r="AF856" s="7">
        <v>2.3079999999999998</v>
      </c>
      <c r="AG856" s="7">
        <v>2.4780000000000002</v>
      </c>
      <c r="AH856" s="7">
        <v>2.9780000000000002</v>
      </c>
      <c r="AI856" s="7">
        <v>1.171</v>
      </c>
      <c r="AJ856" s="7">
        <v>0.84199999999999997</v>
      </c>
      <c r="AK856" s="7">
        <v>0.83199999999999996</v>
      </c>
      <c r="AL856" s="7">
        <v>1.169</v>
      </c>
      <c r="AM856" s="7">
        <v>0.98399999999999999</v>
      </c>
      <c r="AN856" s="7">
        <v>0.85399999999999998</v>
      </c>
      <c r="AO856" s="7">
        <v>1.133</v>
      </c>
      <c r="AP856" s="7">
        <v>1.911</v>
      </c>
      <c r="AQ856" s="7">
        <v>1.704</v>
      </c>
      <c r="AR856" s="7">
        <v>2.9950000000000001</v>
      </c>
      <c r="AS856" s="7">
        <v>3.75</v>
      </c>
      <c r="AT856" s="7">
        <v>0.52700000000000002</v>
      </c>
    </row>
    <row r="857" spans="1:46" x14ac:dyDescent="0.25">
      <c r="A857" s="4" t="s">
        <v>196</v>
      </c>
      <c r="B857" s="4" t="s">
        <v>207</v>
      </c>
      <c r="C857" s="4" t="s">
        <v>246</v>
      </c>
      <c r="D857" s="4" t="s">
        <v>265</v>
      </c>
      <c r="E857" s="4" t="s">
        <v>266</v>
      </c>
      <c r="F857" s="4" t="s">
        <v>195</v>
      </c>
      <c r="G857" s="4" t="s">
        <v>93</v>
      </c>
      <c r="H857" s="4" t="s">
        <v>250</v>
      </c>
      <c r="I857" s="7">
        <v>34.273000000000003</v>
      </c>
      <c r="J857" s="7">
        <v>34.280999999999999</v>
      </c>
      <c r="K857" s="7">
        <v>43.924999999999997</v>
      </c>
      <c r="L857" s="7">
        <v>45.445999999999998</v>
      </c>
      <c r="M857" s="7">
        <v>49.588999999999999</v>
      </c>
      <c r="N857" s="7">
        <v>42.709000000000003</v>
      </c>
      <c r="O857" s="7">
        <v>40.17</v>
      </c>
      <c r="P857" s="7">
        <v>34.381999999999998</v>
      </c>
      <c r="Q857" s="7">
        <v>32.371000000000002</v>
      </c>
      <c r="R857" s="7">
        <v>32.606000000000002</v>
      </c>
      <c r="S857" s="7">
        <v>28.843</v>
      </c>
      <c r="T857" s="7">
        <v>31.259</v>
      </c>
      <c r="U857" s="7">
        <v>27.620999999999999</v>
      </c>
      <c r="V857" s="7">
        <v>31.596</v>
      </c>
      <c r="W857" s="7">
        <v>47.484999999999999</v>
      </c>
      <c r="X857" s="7">
        <v>47.308</v>
      </c>
      <c r="Y857" s="7">
        <v>42.929000000000002</v>
      </c>
      <c r="Z857" s="7">
        <v>35.253</v>
      </c>
      <c r="AA857" s="7">
        <v>26.614000000000001</v>
      </c>
      <c r="AB857" s="7">
        <v>28.452999999999999</v>
      </c>
      <c r="AC857" s="7">
        <v>31.283000000000001</v>
      </c>
      <c r="AD857" s="7">
        <v>35.094999999999999</v>
      </c>
      <c r="AE857" s="7">
        <v>38.112000000000002</v>
      </c>
      <c r="AF857" s="7">
        <v>34.972999999999999</v>
      </c>
      <c r="AG857" s="7">
        <v>33.954000000000001</v>
      </c>
      <c r="AH857" s="7">
        <v>26.341999999999999</v>
      </c>
      <c r="AI857" s="7">
        <v>23.378</v>
      </c>
      <c r="AJ857" s="7">
        <v>15.077</v>
      </c>
      <c r="AK857" s="7">
        <v>18.265000000000001</v>
      </c>
      <c r="AL857" s="7">
        <v>22.553000000000001</v>
      </c>
      <c r="AM857" s="7">
        <v>20.373999999999999</v>
      </c>
      <c r="AN857" s="7">
        <v>18.952000000000002</v>
      </c>
      <c r="AO857" s="7">
        <v>34.622</v>
      </c>
      <c r="AP857" s="7">
        <v>37.872999999999998</v>
      </c>
      <c r="AQ857" s="7">
        <v>34.747</v>
      </c>
      <c r="AR857" s="7">
        <v>34.712000000000003</v>
      </c>
      <c r="AS857" s="7">
        <v>22.221</v>
      </c>
      <c r="AT857" s="5">
        <v>437.98399999999998</v>
      </c>
    </row>
    <row r="858" spans="1:46" x14ac:dyDescent="0.25">
      <c r="A858" s="4" t="s">
        <v>196</v>
      </c>
      <c r="B858" s="4" t="s">
        <v>207</v>
      </c>
      <c r="C858" s="4" t="s">
        <v>246</v>
      </c>
      <c r="D858" s="4" t="s">
        <v>265</v>
      </c>
      <c r="E858" s="4" t="s">
        <v>266</v>
      </c>
      <c r="F858" s="4" t="s">
        <v>195</v>
      </c>
      <c r="G858" s="4" t="s">
        <v>93</v>
      </c>
      <c r="H858" s="4" t="s">
        <v>251</v>
      </c>
      <c r="I858" s="7">
        <v>18.440815799999999</v>
      </c>
      <c r="J858" s="7">
        <v>18.783185499999998</v>
      </c>
      <c r="K858" s="7">
        <v>22.399256699999999</v>
      </c>
      <c r="L858" s="7">
        <v>22.089424399999999</v>
      </c>
      <c r="M858" s="7">
        <v>23.037308700000001</v>
      </c>
      <c r="N858" s="7">
        <v>22.5842174</v>
      </c>
      <c r="O858" s="7">
        <v>21.991532599999999</v>
      </c>
      <c r="P858" s="7">
        <v>20.1451736</v>
      </c>
      <c r="Q858" s="7">
        <v>19.5826283</v>
      </c>
      <c r="R858" s="7">
        <v>17.324929000000001</v>
      </c>
      <c r="S858" s="7">
        <v>14.3661803</v>
      </c>
      <c r="T858" s="7">
        <v>14.552687499999999</v>
      </c>
      <c r="U858" s="7">
        <v>14.1197453</v>
      </c>
      <c r="V858" s="7">
        <v>15.381751</v>
      </c>
      <c r="W858" s="7">
        <v>21.7134897</v>
      </c>
      <c r="X858" s="7">
        <v>23.644890100000001</v>
      </c>
      <c r="Y858" s="7">
        <v>21.437100099999999</v>
      </c>
      <c r="Z858" s="7">
        <v>19.379287900000001</v>
      </c>
      <c r="AA858" s="7">
        <v>17.109855100000001</v>
      </c>
      <c r="AB858" s="7">
        <v>15.6610371</v>
      </c>
      <c r="AC858" s="7">
        <v>13.7929967</v>
      </c>
      <c r="AD858" s="7">
        <v>13.6914295</v>
      </c>
      <c r="AE858" s="7">
        <v>14.272056299999999</v>
      </c>
      <c r="AF858" s="7">
        <v>13.326361800000001</v>
      </c>
      <c r="AG858" s="7">
        <v>13.9175038</v>
      </c>
      <c r="AH858" s="7">
        <v>13.955443600000001</v>
      </c>
      <c r="AI858" s="7">
        <v>15.147417600000001</v>
      </c>
      <c r="AJ858" s="7">
        <v>15.9894313</v>
      </c>
      <c r="AK858" s="7">
        <v>18.907585699999998</v>
      </c>
      <c r="AL858" s="7">
        <v>17.568449300000001</v>
      </c>
      <c r="AM858" s="7">
        <v>17.570998299999999</v>
      </c>
      <c r="AN858" s="7">
        <v>16.198738899999999</v>
      </c>
      <c r="AO858" s="7">
        <v>16.034524099999999</v>
      </c>
      <c r="AP858" s="7">
        <v>15.437010600000001</v>
      </c>
      <c r="AQ858" s="7">
        <v>14.312848499999999</v>
      </c>
      <c r="AR858" s="7">
        <v>13.531596</v>
      </c>
      <c r="AS858" s="7">
        <v>13.1587551</v>
      </c>
      <c r="AT858" s="7">
        <v>22.221</v>
      </c>
    </row>
    <row r="859" spans="1:46" x14ac:dyDescent="0.25">
      <c r="A859" s="4" t="s">
        <v>196</v>
      </c>
      <c r="B859" s="4" t="s">
        <v>207</v>
      </c>
      <c r="C859" s="4" t="s">
        <v>246</v>
      </c>
      <c r="D859" s="4" t="s">
        <v>265</v>
      </c>
      <c r="E859" s="4" t="s">
        <v>266</v>
      </c>
      <c r="F859" s="4" t="s">
        <v>195</v>
      </c>
      <c r="G859" s="4" t="s">
        <v>93</v>
      </c>
      <c r="H859" s="4" t="s">
        <v>252</v>
      </c>
      <c r="I859" s="16">
        <v>0.78500000000000003</v>
      </c>
      <c r="J859" s="16">
        <v>0.69499999999999995</v>
      </c>
      <c r="K859" s="16">
        <v>0.879</v>
      </c>
      <c r="L859" s="16">
        <v>0.72</v>
      </c>
      <c r="M859" s="16">
        <v>0.66300000000000003</v>
      </c>
      <c r="N859" s="16">
        <v>0.84899999999999998</v>
      </c>
      <c r="O859" s="16">
        <v>0.99099999999999999</v>
      </c>
      <c r="P859" s="16">
        <v>1.0820000000000001</v>
      </c>
      <c r="Q859" s="16">
        <v>0.95299999999999996</v>
      </c>
      <c r="R859" s="16">
        <v>0.92800000000000005</v>
      </c>
      <c r="S859" s="16">
        <v>0.70499999999999996</v>
      </c>
      <c r="T859" s="16">
        <v>0.68700000000000006</v>
      </c>
      <c r="U859" s="16">
        <v>0.745</v>
      </c>
      <c r="V859" s="16">
        <v>0.60699999999999998</v>
      </c>
      <c r="W859" s="16">
        <v>0.77600000000000002</v>
      </c>
      <c r="X859" s="16">
        <v>0.79100000000000004</v>
      </c>
      <c r="Y859" s="16">
        <v>1.03</v>
      </c>
      <c r="Z859" s="16">
        <v>1.022</v>
      </c>
      <c r="AA859" s="16">
        <v>0.78200000000000003</v>
      </c>
      <c r="AB859" s="16">
        <v>0.95299999999999996</v>
      </c>
      <c r="AC859" s="16">
        <v>1.046</v>
      </c>
      <c r="AD859" s="16">
        <v>0.84899999999999998</v>
      </c>
      <c r="AE859" s="16">
        <v>0.84899999999999998</v>
      </c>
      <c r="AF859" s="16">
        <v>0.91300000000000003</v>
      </c>
      <c r="AG859" s="16">
        <v>0.78800000000000003</v>
      </c>
      <c r="AH859" s="16">
        <v>0.746</v>
      </c>
      <c r="AI859" s="16">
        <v>0.89800000000000002</v>
      </c>
      <c r="AJ859" s="16">
        <v>0.84799999999999998</v>
      </c>
      <c r="AK859" s="16">
        <v>1.1020000000000001</v>
      </c>
      <c r="AL859" s="16">
        <v>0.85</v>
      </c>
      <c r="AM859" s="16">
        <v>0.91</v>
      </c>
      <c r="AN859" s="16">
        <v>0.78900000000000003</v>
      </c>
      <c r="AO859" s="16">
        <v>0.86899999999999999</v>
      </c>
      <c r="AP859" s="16">
        <v>0.85799999999999998</v>
      </c>
      <c r="AQ859" s="16">
        <v>0.97799999999999998</v>
      </c>
      <c r="AR859" s="16">
        <v>0.91500000000000004</v>
      </c>
      <c r="AS859" s="16">
        <v>0.78</v>
      </c>
      <c r="AT859" s="7">
        <v>13.1587551</v>
      </c>
    </row>
    <row r="860" spans="1:46" x14ac:dyDescent="0.25">
      <c r="A860" s="4" t="s">
        <v>194</v>
      </c>
      <c r="B860" s="4" t="s">
        <v>207</v>
      </c>
      <c r="C860" s="4" t="s">
        <v>246</v>
      </c>
      <c r="D860" s="4" t="s">
        <v>247</v>
      </c>
      <c r="E860" s="4" t="s">
        <v>248</v>
      </c>
      <c r="F860" s="4" t="s">
        <v>201</v>
      </c>
      <c r="G860" s="4" t="s">
        <v>93</v>
      </c>
      <c r="H860" s="4" t="s">
        <v>151</v>
      </c>
      <c r="I860" s="5">
        <v>255.381</v>
      </c>
      <c r="J860" s="5">
        <v>671.75800000000004</v>
      </c>
      <c r="K860" s="5">
        <v>517.26300000000003</v>
      </c>
      <c r="L860" s="5">
        <v>860.02499999999998</v>
      </c>
      <c r="M860" s="5">
        <v>1470.4949999999999</v>
      </c>
      <c r="N860" s="5">
        <v>1638.325</v>
      </c>
      <c r="O860" s="5">
        <v>1358.6189999999999</v>
      </c>
      <c r="P860" s="5">
        <v>959.69600000000003</v>
      </c>
      <c r="Q860" s="5">
        <v>625.32500000000005</v>
      </c>
      <c r="R860" s="5">
        <v>364.48599999999999</v>
      </c>
      <c r="S860" s="5">
        <v>291.61099999999999</v>
      </c>
      <c r="T860" s="5">
        <v>326.08800000000002</v>
      </c>
      <c r="U860" s="5">
        <v>313.42399999999998</v>
      </c>
      <c r="V860" s="5">
        <v>353.40600000000001</v>
      </c>
      <c r="W860" s="5">
        <v>430.13299999999998</v>
      </c>
      <c r="X860" s="5">
        <v>660.3</v>
      </c>
      <c r="Y860" s="5">
        <v>1075.549</v>
      </c>
      <c r="Z860" s="5">
        <v>1205.76</v>
      </c>
      <c r="AA860" s="5">
        <v>1449.0450000000001</v>
      </c>
      <c r="AB860" s="5">
        <v>667.14599999999996</v>
      </c>
      <c r="AC860" s="5">
        <v>306.62</v>
      </c>
      <c r="AD860" s="5">
        <v>362.05599999999998</v>
      </c>
      <c r="AE860" s="5">
        <v>279.935</v>
      </c>
      <c r="AF860" s="5">
        <v>241.905</v>
      </c>
      <c r="AG860" s="5">
        <v>150.80099999999999</v>
      </c>
      <c r="AH860" s="5">
        <v>188.24</v>
      </c>
      <c r="AI860" s="5">
        <v>548.67899999999997</v>
      </c>
      <c r="AJ860" s="5">
        <v>1155.7149999999999</v>
      </c>
      <c r="AK860" s="5">
        <v>2425.4780000000001</v>
      </c>
      <c r="AL860" s="5">
        <v>2728.1959999999999</v>
      </c>
      <c r="AM860" s="5">
        <v>3613.2280000000001</v>
      </c>
      <c r="AN860" s="5">
        <v>5164.1369999999997</v>
      </c>
      <c r="AO860" s="5">
        <v>2271.3960000000002</v>
      </c>
      <c r="AP860" s="5">
        <v>614.19100000000003</v>
      </c>
      <c r="AQ860" s="5">
        <v>230.84800000000001</v>
      </c>
      <c r="AR860" s="5">
        <v>131.65299999999999</v>
      </c>
      <c r="AS860" s="5">
        <v>225.38200000000001</v>
      </c>
      <c r="AT860" s="5">
        <v>225.38200000000001</v>
      </c>
    </row>
    <row r="861" spans="1:46" x14ac:dyDescent="0.25">
      <c r="A861" s="4" t="s">
        <v>194</v>
      </c>
      <c r="B861" s="4" t="s">
        <v>207</v>
      </c>
      <c r="C861" s="4" t="s">
        <v>246</v>
      </c>
      <c r="D861" s="4" t="s">
        <v>247</v>
      </c>
      <c r="E861" s="4" t="s">
        <v>248</v>
      </c>
      <c r="F861" s="4" t="s">
        <v>201</v>
      </c>
      <c r="G861" s="4" t="s">
        <v>93</v>
      </c>
      <c r="H861" s="4" t="s">
        <v>205</v>
      </c>
      <c r="I861" s="6">
        <v>41588.089999999997</v>
      </c>
      <c r="J861" s="6">
        <v>109265.399</v>
      </c>
      <c r="K861" s="6">
        <v>86531.399000000005</v>
      </c>
      <c r="L861" s="6">
        <v>141826.258</v>
      </c>
      <c r="M861" s="6">
        <v>248695.45199999999</v>
      </c>
      <c r="N861" s="6">
        <v>283097.136</v>
      </c>
      <c r="O861" s="6">
        <v>245167.28400000001</v>
      </c>
      <c r="P861" s="6">
        <v>170475.236</v>
      </c>
      <c r="Q861" s="6">
        <v>115150.781</v>
      </c>
      <c r="R861" s="6">
        <v>69042.308999999994</v>
      </c>
      <c r="S861" s="6">
        <v>55131.218999999997</v>
      </c>
      <c r="T861" s="6">
        <v>56458.608999999997</v>
      </c>
      <c r="U861" s="6">
        <v>54464.476000000002</v>
      </c>
      <c r="V861" s="6">
        <v>63756.095000000001</v>
      </c>
      <c r="W861" s="6">
        <v>76896.434999999998</v>
      </c>
      <c r="X861" s="6">
        <v>119347.77499999999</v>
      </c>
      <c r="Y861" s="6">
        <v>199737.34400000001</v>
      </c>
      <c r="Z861" s="6">
        <v>215456.29500000001</v>
      </c>
      <c r="AA861" s="6">
        <v>262692.95699999999</v>
      </c>
      <c r="AB861" s="6">
        <v>118658.197</v>
      </c>
      <c r="AC861" s="6">
        <v>50968.074000000001</v>
      </c>
      <c r="AD861" s="6">
        <v>67610.817999999999</v>
      </c>
      <c r="AE861" s="6">
        <v>52368.654999999999</v>
      </c>
      <c r="AF861" s="6">
        <v>47005</v>
      </c>
      <c r="AG861" s="6">
        <v>32233.313999999998</v>
      </c>
      <c r="AH861" s="6">
        <v>41843.063999999998</v>
      </c>
      <c r="AI861" s="6">
        <v>113787.757</v>
      </c>
      <c r="AJ861" s="6">
        <v>233191.37</v>
      </c>
      <c r="AK861" s="6">
        <v>485383.674</v>
      </c>
      <c r="AL861" s="6">
        <v>570880.75199999998</v>
      </c>
      <c r="AM861" s="6">
        <v>806934.50100000005</v>
      </c>
      <c r="AN861" s="6">
        <v>1075515.497</v>
      </c>
      <c r="AO861" s="6">
        <v>489533.41100000002</v>
      </c>
      <c r="AP861" s="6">
        <v>130910.355</v>
      </c>
      <c r="AQ861" s="6">
        <v>46646.993999999999</v>
      </c>
      <c r="AR861" s="6">
        <v>28388.478999999999</v>
      </c>
      <c r="AS861" s="6">
        <v>51246.786999999997</v>
      </c>
      <c r="AT861" s="6">
        <v>51246.786999999997</v>
      </c>
    </row>
    <row r="862" spans="1:46" x14ac:dyDescent="0.25">
      <c r="A862" s="4" t="s">
        <v>194</v>
      </c>
      <c r="B862" s="4" t="s">
        <v>207</v>
      </c>
      <c r="C862" s="4" t="s">
        <v>246</v>
      </c>
      <c r="D862" s="4" t="s">
        <v>247</v>
      </c>
      <c r="E862" s="4" t="s">
        <v>248</v>
      </c>
      <c r="F862" s="4" t="s">
        <v>201</v>
      </c>
      <c r="G862" s="4" t="s">
        <v>93</v>
      </c>
      <c r="H862" s="4" t="s">
        <v>249</v>
      </c>
      <c r="I862" s="7">
        <v>0.22500000000000001</v>
      </c>
      <c r="J862" s="7">
        <v>0.434</v>
      </c>
      <c r="K862" s="7">
        <v>0.26900000000000002</v>
      </c>
      <c r="L862" s="7">
        <v>0.34699999999999998</v>
      </c>
      <c r="M862" s="7">
        <v>0.495</v>
      </c>
      <c r="N862" s="7">
        <v>0.50900000000000001</v>
      </c>
      <c r="O862" s="7">
        <v>0.45900000000000002</v>
      </c>
      <c r="P862" s="7">
        <v>0.41599999999999998</v>
      </c>
      <c r="Q862" s="7">
        <v>0.374</v>
      </c>
      <c r="R862" s="7">
        <v>0.29699999999999999</v>
      </c>
      <c r="S862" s="7">
        <v>0.27600000000000002</v>
      </c>
      <c r="T862" s="7">
        <v>0.32</v>
      </c>
      <c r="U862" s="7">
        <v>0.28599999999999998</v>
      </c>
      <c r="V862" s="7">
        <v>0.25600000000000001</v>
      </c>
      <c r="W862" s="7">
        <v>0.22500000000000001</v>
      </c>
      <c r="X862" s="7">
        <v>0.28199999999999997</v>
      </c>
      <c r="Y862" s="7">
        <v>0.38300000000000001</v>
      </c>
      <c r="Z862" s="7">
        <v>0.47099999999999997</v>
      </c>
      <c r="AA862" s="7">
        <v>0.52700000000000002</v>
      </c>
      <c r="AB862" s="7">
        <v>0.30299999999999999</v>
      </c>
      <c r="AC862" s="7">
        <v>0.16600000000000001</v>
      </c>
      <c r="AD862" s="7">
        <v>0.23300000000000001</v>
      </c>
      <c r="AE862" s="7">
        <v>0.221</v>
      </c>
      <c r="AF862" s="7">
        <v>0.23699999999999999</v>
      </c>
      <c r="AG862" s="7">
        <v>0.13800000000000001</v>
      </c>
      <c r="AH862" s="7">
        <v>0.14099999999999999</v>
      </c>
      <c r="AI862" s="7">
        <v>0.32300000000000001</v>
      </c>
      <c r="AJ862" s="7">
        <v>0.46899999999999997</v>
      </c>
      <c r="AK862" s="7">
        <v>0.85699999999999998</v>
      </c>
      <c r="AL862" s="7">
        <v>0.84</v>
      </c>
      <c r="AM862" s="7">
        <v>0.98199999999999998</v>
      </c>
      <c r="AN862" s="7">
        <v>1.429</v>
      </c>
      <c r="AO862" s="7">
        <v>0.84199999999999997</v>
      </c>
      <c r="AP862" s="7">
        <v>0.28899999999999998</v>
      </c>
      <c r="AQ862" s="7">
        <v>0.14799999999999999</v>
      </c>
      <c r="AR862" s="7">
        <v>0.125</v>
      </c>
      <c r="AS862" s="7">
        <v>0.26200000000000001</v>
      </c>
      <c r="AT862" s="7">
        <v>9.4E-2</v>
      </c>
    </row>
    <row r="863" spans="1:46" x14ac:dyDescent="0.25">
      <c r="A863" s="4" t="s">
        <v>194</v>
      </c>
      <c r="B863" s="4" t="s">
        <v>207</v>
      </c>
      <c r="C863" s="4" t="s">
        <v>246</v>
      </c>
      <c r="D863" s="4" t="s">
        <v>247</v>
      </c>
      <c r="E863" s="4" t="s">
        <v>248</v>
      </c>
      <c r="F863" s="4" t="s">
        <v>201</v>
      </c>
      <c r="G863" s="4" t="s">
        <v>93</v>
      </c>
      <c r="H863" s="4" t="s">
        <v>250</v>
      </c>
      <c r="I863" s="7">
        <v>27.204999999999998</v>
      </c>
      <c r="J863" s="7">
        <v>29.846</v>
      </c>
      <c r="K863" s="7">
        <v>32.58</v>
      </c>
      <c r="L863" s="7">
        <v>33.466999999999999</v>
      </c>
      <c r="M863" s="7">
        <v>37.552999999999997</v>
      </c>
      <c r="N863" s="7">
        <v>30.164999999999999</v>
      </c>
      <c r="O863" s="7">
        <v>33.043999999999997</v>
      </c>
      <c r="P863" s="7">
        <v>30.602</v>
      </c>
      <c r="Q863" s="7">
        <v>29.146999999999998</v>
      </c>
      <c r="R863" s="7">
        <v>25.024999999999999</v>
      </c>
      <c r="S863" s="7">
        <v>26.66</v>
      </c>
      <c r="T863" s="7">
        <v>29.785</v>
      </c>
      <c r="U863" s="7">
        <v>29.422000000000001</v>
      </c>
      <c r="V863" s="7">
        <v>27.908000000000001</v>
      </c>
      <c r="W863" s="7">
        <v>34.906999999999996</v>
      </c>
      <c r="X863" s="7">
        <v>34.887</v>
      </c>
      <c r="Y863" s="7">
        <v>37.710999999999999</v>
      </c>
      <c r="Z863" s="7">
        <v>35.895000000000003</v>
      </c>
      <c r="AA863" s="7">
        <v>35.195</v>
      </c>
      <c r="AB863" s="7">
        <v>34.360999999999997</v>
      </c>
      <c r="AC863" s="7">
        <v>23.433</v>
      </c>
      <c r="AD863" s="7">
        <v>21.991</v>
      </c>
      <c r="AE863" s="7">
        <v>21.382999999999999</v>
      </c>
      <c r="AF863" s="7">
        <v>19.661999999999999</v>
      </c>
      <c r="AG863" s="7">
        <v>21.100999999999999</v>
      </c>
      <c r="AH863" s="7">
        <v>21.645</v>
      </c>
      <c r="AI863" s="7">
        <v>29.492999999999999</v>
      </c>
      <c r="AJ863" s="7">
        <v>40.378</v>
      </c>
      <c r="AK863" s="7">
        <v>43.601999999999997</v>
      </c>
      <c r="AL863" s="7">
        <v>41.179000000000002</v>
      </c>
      <c r="AM863" s="7">
        <v>48.753999999999998</v>
      </c>
      <c r="AN863" s="7">
        <v>53.9</v>
      </c>
      <c r="AO863" s="7">
        <v>34.753999999999998</v>
      </c>
      <c r="AP863" s="7">
        <v>29.012</v>
      </c>
      <c r="AQ863" s="7">
        <v>19.494</v>
      </c>
      <c r="AR863" s="7">
        <v>18.530999999999999</v>
      </c>
      <c r="AS863" s="7">
        <v>19.765999999999998</v>
      </c>
      <c r="AT863" s="5">
        <v>987.84199999999998</v>
      </c>
    </row>
    <row r="864" spans="1:46" x14ac:dyDescent="0.25">
      <c r="A864" s="4" t="s">
        <v>194</v>
      </c>
      <c r="B864" s="4" t="s">
        <v>207</v>
      </c>
      <c r="C864" s="4" t="s">
        <v>246</v>
      </c>
      <c r="D864" s="4" t="s">
        <v>247</v>
      </c>
      <c r="E864" s="4" t="s">
        <v>248</v>
      </c>
      <c r="F864" s="4" t="s">
        <v>201</v>
      </c>
      <c r="G864" s="4" t="s">
        <v>93</v>
      </c>
      <c r="H864" s="4" t="s">
        <v>251</v>
      </c>
      <c r="I864" s="7">
        <v>14.392811200000001</v>
      </c>
      <c r="J864" s="7">
        <v>17.014689300000001</v>
      </c>
      <c r="K864" s="7">
        <v>17.847435999999998</v>
      </c>
      <c r="L864" s="7">
        <v>17.482610600000001</v>
      </c>
      <c r="M864" s="7">
        <v>19.746943600000002</v>
      </c>
      <c r="N864" s="7">
        <v>17.749654400000001</v>
      </c>
      <c r="O864" s="7">
        <v>16.975060500000001</v>
      </c>
      <c r="P864" s="7">
        <v>14.872647799999999</v>
      </c>
      <c r="Q864" s="7">
        <v>15.050223799999999</v>
      </c>
      <c r="R864" s="7">
        <v>14.4486662</v>
      </c>
      <c r="S864" s="7">
        <v>14.372882799999999</v>
      </c>
      <c r="T864" s="7">
        <v>14.4631896</v>
      </c>
      <c r="U864" s="7">
        <v>13.3967575</v>
      </c>
      <c r="V864" s="7">
        <v>14.818320999999999</v>
      </c>
      <c r="W864" s="7">
        <v>15.2334236</v>
      </c>
      <c r="X864" s="7">
        <v>15.6289505</v>
      </c>
      <c r="Y864" s="7">
        <v>16.8810666</v>
      </c>
      <c r="Z864" s="7">
        <v>19.342737199999998</v>
      </c>
      <c r="AA864" s="7">
        <v>17.794127199999998</v>
      </c>
      <c r="AB864" s="7">
        <v>17.063150100000001</v>
      </c>
      <c r="AC864" s="7">
        <v>13.918184999999999</v>
      </c>
      <c r="AD864" s="7">
        <v>13.731480899999999</v>
      </c>
      <c r="AE864" s="7">
        <v>13.8071821</v>
      </c>
      <c r="AF864" s="7">
        <v>13.4325726</v>
      </c>
      <c r="AG864" s="7">
        <v>14.5908909</v>
      </c>
      <c r="AH864" s="7">
        <v>15.521081000000001</v>
      </c>
      <c r="AI864" s="7">
        <v>16.826437500000001</v>
      </c>
      <c r="AJ864" s="7">
        <v>18.708257100000001</v>
      </c>
      <c r="AK864" s="7">
        <v>22.306445100000001</v>
      </c>
      <c r="AL864" s="7">
        <v>22.297176499999999</v>
      </c>
      <c r="AM864" s="7">
        <v>27.2380675</v>
      </c>
      <c r="AN864" s="7">
        <v>28.2352442</v>
      </c>
      <c r="AO864" s="7">
        <v>21.0868565</v>
      </c>
      <c r="AP864" s="7">
        <v>16.042973799999999</v>
      </c>
      <c r="AQ864" s="7">
        <v>9.4400601000000002</v>
      </c>
      <c r="AR864" s="7">
        <v>9.8190282999999994</v>
      </c>
      <c r="AS864" s="7">
        <v>10.814977600000001</v>
      </c>
      <c r="AT864" s="7">
        <v>19.765999999999998</v>
      </c>
    </row>
    <row r="865" spans="1:46" x14ac:dyDescent="0.25">
      <c r="A865" s="4" t="s">
        <v>194</v>
      </c>
      <c r="B865" s="4" t="s">
        <v>207</v>
      </c>
      <c r="C865" s="4" t="s">
        <v>246</v>
      </c>
      <c r="D865" s="4" t="s">
        <v>247</v>
      </c>
      <c r="E865" s="4" t="s">
        <v>248</v>
      </c>
      <c r="F865" s="4" t="s">
        <v>201</v>
      </c>
      <c r="G865" s="4" t="s">
        <v>93</v>
      </c>
      <c r="H865" s="4" t="s">
        <v>252</v>
      </c>
      <c r="I865" s="16">
        <v>0.82499999999999996</v>
      </c>
      <c r="J865" s="16">
        <v>0.74</v>
      </c>
      <c r="K865" s="16">
        <v>0.748</v>
      </c>
      <c r="L865" s="16">
        <v>0.58799999999999997</v>
      </c>
      <c r="M865" s="16">
        <v>0.90300000000000002</v>
      </c>
      <c r="N865" s="16">
        <v>0.67900000000000005</v>
      </c>
      <c r="O865" s="16">
        <v>0.89200000000000002</v>
      </c>
      <c r="P865" s="16">
        <v>0.77900000000000003</v>
      </c>
      <c r="Q865" s="16">
        <v>0.78600000000000003</v>
      </c>
      <c r="R865" s="16">
        <v>0.54300000000000004</v>
      </c>
      <c r="S865" s="16">
        <v>0.66600000000000004</v>
      </c>
      <c r="T865" s="16">
        <v>0.68500000000000005</v>
      </c>
      <c r="U865" s="16">
        <v>0.63</v>
      </c>
      <c r="V865" s="16">
        <v>0.48099999999999998</v>
      </c>
      <c r="W865" s="16">
        <v>1.0449999999999999</v>
      </c>
      <c r="X865" s="16">
        <v>0.78500000000000003</v>
      </c>
      <c r="Y865" s="16">
        <v>0.748</v>
      </c>
      <c r="Z865" s="16">
        <v>0.84</v>
      </c>
      <c r="AA865" s="16">
        <v>0.68799999999999994</v>
      </c>
      <c r="AB865" s="16">
        <v>0.56200000000000006</v>
      </c>
      <c r="AC865" s="16">
        <v>0.47499999999999998</v>
      </c>
      <c r="AD865" s="16">
        <v>0.55800000000000005</v>
      </c>
      <c r="AE865" s="16">
        <v>0.57899999999999996</v>
      </c>
      <c r="AF865" s="16">
        <v>0.50900000000000001</v>
      </c>
      <c r="AG865" s="16">
        <v>0.66800000000000004</v>
      </c>
      <c r="AH865" s="16">
        <v>0.65200000000000002</v>
      </c>
      <c r="AI865" s="16">
        <v>0.52</v>
      </c>
      <c r="AJ865" s="16">
        <v>0.60399999999999998</v>
      </c>
      <c r="AK865" s="16">
        <v>0.46100000000000002</v>
      </c>
      <c r="AL865" s="16">
        <v>0.60699999999999998</v>
      </c>
      <c r="AM865" s="16">
        <v>1.153</v>
      </c>
      <c r="AN865" s="16">
        <v>0.92300000000000004</v>
      </c>
      <c r="AO865" s="16">
        <v>0.66300000000000003</v>
      </c>
      <c r="AP865" s="16">
        <v>0.61699999999999999</v>
      </c>
      <c r="AQ865" s="16">
        <v>0.437</v>
      </c>
      <c r="AR865" s="16">
        <v>0.438</v>
      </c>
      <c r="AS865" s="16">
        <v>0.48</v>
      </c>
      <c r="AT865" s="7">
        <v>10.814977600000001</v>
      </c>
    </row>
    <row r="866" spans="1:46" x14ac:dyDescent="0.25">
      <c r="A866" s="4" t="s">
        <v>194</v>
      </c>
      <c r="B866" s="4" t="s">
        <v>207</v>
      </c>
      <c r="C866" s="4" t="s">
        <v>246</v>
      </c>
      <c r="D866" s="4" t="s">
        <v>247</v>
      </c>
      <c r="E866" s="4" t="s">
        <v>248</v>
      </c>
      <c r="F866" s="4" t="s">
        <v>201</v>
      </c>
      <c r="G866" s="4" t="s">
        <v>253</v>
      </c>
      <c r="H866" s="4" t="s">
        <v>151</v>
      </c>
      <c r="I866" s="5">
        <v>105.467</v>
      </c>
      <c r="J866" s="5">
        <v>74.135999999999996</v>
      </c>
      <c r="K866" s="5">
        <v>81.525999999999996</v>
      </c>
      <c r="L866" s="5">
        <v>84.236999999999995</v>
      </c>
      <c r="M866" s="5">
        <v>194.328</v>
      </c>
      <c r="N866" s="5">
        <v>176.74100000000001</v>
      </c>
      <c r="O866" s="5">
        <v>5</v>
      </c>
      <c r="P866" s="5">
        <v>94.350999999999999</v>
      </c>
      <c r="Q866" s="5">
        <v>64.162999999999997</v>
      </c>
      <c r="R866" s="5">
        <v>63.162999999999997</v>
      </c>
      <c r="S866" s="5">
        <v>63.162999999999997</v>
      </c>
      <c r="T866" s="5">
        <v>60.113</v>
      </c>
      <c r="U866" s="5">
        <v>79.753</v>
      </c>
      <c r="V866" s="5">
        <v>116.29300000000001</v>
      </c>
      <c r="W866" s="5">
        <v>59.91</v>
      </c>
      <c r="X866" s="5">
        <v>19.53</v>
      </c>
      <c r="Y866" s="5">
        <v>0</v>
      </c>
      <c r="Z866" s="5">
        <v>0</v>
      </c>
      <c r="AA866" s="5">
        <v>20.51</v>
      </c>
      <c r="AB866" s="5">
        <v>14.391999999999999</v>
      </c>
      <c r="AC866" s="8">
        <v>0</v>
      </c>
      <c r="AD866" s="9">
        <v>0</v>
      </c>
      <c r="AE866" s="9">
        <v>0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0</v>
      </c>
      <c r="AL866" s="9">
        <v>0</v>
      </c>
      <c r="AM866" s="9">
        <v>0</v>
      </c>
      <c r="AN866" s="9">
        <v>0</v>
      </c>
      <c r="AO866" s="9">
        <v>0</v>
      </c>
      <c r="AP866" s="9">
        <v>0</v>
      </c>
      <c r="AQ866" s="9">
        <v>0</v>
      </c>
      <c r="AR866" s="9">
        <v>0</v>
      </c>
      <c r="AS866" s="9">
        <v>0</v>
      </c>
      <c r="AT866" s="9">
        <v>0</v>
      </c>
    </row>
    <row r="867" spans="1:46" x14ac:dyDescent="0.25">
      <c r="A867" s="4" t="s">
        <v>194</v>
      </c>
      <c r="B867" s="4" t="s">
        <v>207</v>
      </c>
      <c r="C867" s="4" t="s">
        <v>246</v>
      </c>
      <c r="D867" s="4" t="s">
        <v>247</v>
      </c>
      <c r="E867" s="4" t="s">
        <v>248</v>
      </c>
      <c r="F867" s="4" t="s">
        <v>201</v>
      </c>
      <c r="G867" s="4" t="s">
        <v>253</v>
      </c>
      <c r="H867" s="4" t="s">
        <v>205</v>
      </c>
      <c r="I867" s="6">
        <v>10796.916999999999</v>
      </c>
      <c r="J867" s="6">
        <v>6369.9290000000001</v>
      </c>
      <c r="K867" s="6">
        <v>6903.1639999999998</v>
      </c>
      <c r="L867" s="6">
        <v>7474.6559999999999</v>
      </c>
      <c r="M867" s="6">
        <v>18564.466</v>
      </c>
      <c r="N867" s="6">
        <v>15326.617</v>
      </c>
      <c r="O867" s="6">
        <v>357.5</v>
      </c>
      <c r="P867" s="6">
        <v>8800.4069999999992</v>
      </c>
      <c r="Q867" s="6">
        <v>5767.665</v>
      </c>
      <c r="R867" s="6">
        <v>5684.665</v>
      </c>
      <c r="S867" s="6">
        <v>5684.665</v>
      </c>
      <c r="T867" s="6">
        <v>5410.1760000000004</v>
      </c>
      <c r="U867" s="6">
        <v>7318.0060000000003</v>
      </c>
      <c r="V867" s="6">
        <v>10466.405000000001</v>
      </c>
      <c r="W867" s="6">
        <v>3594.5929999999998</v>
      </c>
      <c r="X867" s="6">
        <v>1913.9880000000001</v>
      </c>
      <c r="Y867" s="6">
        <v>0</v>
      </c>
      <c r="Z867" s="6">
        <v>0</v>
      </c>
      <c r="AA867" s="6">
        <v>1620.252</v>
      </c>
      <c r="AB867" s="6">
        <v>1136.931</v>
      </c>
      <c r="AC867" s="10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0</v>
      </c>
      <c r="AJ867" s="9">
        <v>0</v>
      </c>
      <c r="AK867" s="9">
        <v>0</v>
      </c>
      <c r="AL867" s="9">
        <v>0</v>
      </c>
      <c r="AM867" s="9">
        <v>0</v>
      </c>
      <c r="AN867" s="9">
        <v>0</v>
      </c>
      <c r="AO867" s="9">
        <v>0</v>
      </c>
      <c r="AP867" s="9">
        <v>0</v>
      </c>
      <c r="AQ867" s="9">
        <v>0</v>
      </c>
      <c r="AR867" s="9">
        <v>0</v>
      </c>
      <c r="AS867" s="9">
        <v>0</v>
      </c>
      <c r="AT867" s="9">
        <v>0</v>
      </c>
    </row>
    <row r="868" spans="1:46" x14ac:dyDescent="0.25">
      <c r="A868" s="4" t="s">
        <v>194</v>
      </c>
      <c r="B868" s="4" t="s">
        <v>207</v>
      </c>
      <c r="C868" s="4" t="s">
        <v>246</v>
      </c>
      <c r="D868" s="4" t="s">
        <v>247</v>
      </c>
      <c r="E868" s="4" t="s">
        <v>248</v>
      </c>
      <c r="F868" s="4" t="s">
        <v>201</v>
      </c>
      <c r="G868" s="4" t="s">
        <v>253</v>
      </c>
      <c r="H868" s="4" t="s">
        <v>249</v>
      </c>
      <c r="I868" s="7">
        <v>3.4000000000000002E-2</v>
      </c>
      <c r="J868" s="7">
        <v>1.7000000000000001E-2</v>
      </c>
      <c r="K868" s="7">
        <v>1.4999999999999999E-2</v>
      </c>
      <c r="L868" s="7">
        <v>1.2E-2</v>
      </c>
      <c r="M868" s="7">
        <v>2.4E-2</v>
      </c>
      <c r="N868" s="7">
        <v>0.02</v>
      </c>
      <c r="O868" s="7">
        <v>1E-3</v>
      </c>
      <c r="P868" s="7">
        <v>1.4999999999999999E-2</v>
      </c>
      <c r="Q868" s="7">
        <v>1.4E-2</v>
      </c>
      <c r="R868" s="7">
        <v>1.9E-2</v>
      </c>
      <c r="S868" s="7">
        <v>2.1999999999999999E-2</v>
      </c>
      <c r="T868" s="7">
        <v>2.1000000000000001E-2</v>
      </c>
      <c r="U868" s="7">
        <v>2.5999999999999999E-2</v>
      </c>
      <c r="V868" s="7">
        <v>3.1E-2</v>
      </c>
      <c r="W868" s="7">
        <v>1.0999999999999999E-2</v>
      </c>
      <c r="X868" s="7">
        <v>3.0000000000000001E-3</v>
      </c>
      <c r="Y868" s="7">
        <v>0</v>
      </c>
      <c r="Z868" s="7">
        <v>0</v>
      </c>
      <c r="AA868" s="7">
        <v>3.0000000000000001E-3</v>
      </c>
      <c r="AB868" s="7">
        <v>2E-3</v>
      </c>
      <c r="AC868" s="11">
        <v>0</v>
      </c>
      <c r="AD868" s="9">
        <v>0</v>
      </c>
      <c r="AE868" s="9">
        <v>0</v>
      </c>
      <c r="AF868" s="9">
        <v>0</v>
      </c>
      <c r="AG868" s="9">
        <v>0</v>
      </c>
      <c r="AH868" s="9">
        <v>0</v>
      </c>
      <c r="AI868" s="9">
        <v>0</v>
      </c>
      <c r="AJ868" s="9">
        <v>0</v>
      </c>
      <c r="AK868" s="9">
        <v>0</v>
      </c>
      <c r="AL868" s="9">
        <v>0</v>
      </c>
      <c r="AM868" s="9">
        <v>0</v>
      </c>
      <c r="AN868" s="9">
        <v>0</v>
      </c>
      <c r="AO868" s="9">
        <v>0</v>
      </c>
      <c r="AP868" s="9">
        <v>0</v>
      </c>
      <c r="AQ868" s="9">
        <v>0</v>
      </c>
      <c r="AR868" s="9">
        <v>0</v>
      </c>
      <c r="AS868" s="9">
        <v>0</v>
      </c>
      <c r="AT868" s="9">
        <v>0</v>
      </c>
    </row>
    <row r="869" spans="1:46" x14ac:dyDescent="0.25">
      <c r="A869" s="4" t="s">
        <v>194</v>
      </c>
      <c r="B869" s="4" t="s">
        <v>207</v>
      </c>
      <c r="C869" s="4" t="s">
        <v>246</v>
      </c>
      <c r="D869" s="4" t="s">
        <v>247</v>
      </c>
      <c r="E869" s="4" t="s">
        <v>248</v>
      </c>
      <c r="F869" s="4" t="s">
        <v>201</v>
      </c>
      <c r="G869" s="4" t="s">
        <v>253</v>
      </c>
      <c r="H869" s="4" t="s">
        <v>250</v>
      </c>
      <c r="I869" s="7">
        <v>4.9749999999999996</v>
      </c>
      <c r="J869" s="7">
        <v>3.8130000000000002</v>
      </c>
      <c r="K869" s="7">
        <v>7.4980000000000002</v>
      </c>
      <c r="L869" s="7">
        <v>5.6660000000000004</v>
      </c>
      <c r="M869" s="7">
        <v>6.718</v>
      </c>
      <c r="N869" s="7">
        <v>5.359</v>
      </c>
      <c r="O869" s="7">
        <v>5.0129999999999999</v>
      </c>
      <c r="P869" s="7">
        <v>5.7629999999999999</v>
      </c>
      <c r="Q869" s="7">
        <v>5.0069999999999997</v>
      </c>
      <c r="R869" s="7">
        <v>6.8250000000000002</v>
      </c>
      <c r="S869" s="7">
        <v>6.02</v>
      </c>
      <c r="T869" s="7">
        <v>4.7169999999999996</v>
      </c>
      <c r="U869" s="7">
        <v>7.01</v>
      </c>
      <c r="V869" s="7">
        <v>4.851</v>
      </c>
      <c r="W869" s="7">
        <v>5.4909999999999997</v>
      </c>
      <c r="X869" s="7">
        <v>4.5010000000000003</v>
      </c>
      <c r="Y869" s="7">
        <v>6.1989999999999998</v>
      </c>
      <c r="Z869" s="7">
        <v>5.1740000000000004</v>
      </c>
      <c r="AA869" s="7">
        <v>3.9529999999999998</v>
      </c>
      <c r="AB869" s="7">
        <v>4.218</v>
      </c>
      <c r="AC869" s="11">
        <v>0</v>
      </c>
      <c r="AD869" s="9">
        <v>0</v>
      </c>
      <c r="AE869" s="9">
        <v>0</v>
      </c>
      <c r="AF869" s="9">
        <v>0</v>
      </c>
      <c r="AG869" s="9">
        <v>0</v>
      </c>
      <c r="AH869" s="9">
        <v>0</v>
      </c>
      <c r="AI869" s="9">
        <v>0</v>
      </c>
      <c r="AJ869" s="9">
        <v>0</v>
      </c>
      <c r="AK869" s="9">
        <v>0</v>
      </c>
      <c r="AL869" s="9">
        <v>0</v>
      </c>
      <c r="AM869" s="9">
        <v>0</v>
      </c>
      <c r="AN869" s="9">
        <v>0</v>
      </c>
      <c r="AO869" s="9">
        <v>0</v>
      </c>
      <c r="AP869" s="9">
        <v>0</v>
      </c>
      <c r="AQ869" s="9">
        <v>0</v>
      </c>
      <c r="AR869" s="9">
        <v>0</v>
      </c>
      <c r="AS869" s="9">
        <v>0</v>
      </c>
      <c r="AT869" s="9">
        <v>0</v>
      </c>
    </row>
    <row r="870" spans="1:46" x14ac:dyDescent="0.25">
      <c r="A870" s="4" t="s">
        <v>194</v>
      </c>
      <c r="B870" s="4" t="s">
        <v>207</v>
      </c>
      <c r="C870" s="4" t="s">
        <v>246</v>
      </c>
      <c r="D870" s="4" t="s">
        <v>247</v>
      </c>
      <c r="E870" s="4" t="s">
        <v>248</v>
      </c>
      <c r="F870" s="4" t="s">
        <v>201</v>
      </c>
      <c r="G870" s="4" t="s">
        <v>253</v>
      </c>
      <c r="H870" s="4" t="s">
        <v>251</v>
      </c>
      <c r="I870" s="7">
        <v>4.0570048999999999</v>
      </c>
      <c r="J870" s="7">
        <v>2.8293697</v>
      </c>
      <c r="K870" s="7">
        <v>3.9544052000000001</v>
      </c>
      <c r="L870" s="7">
        <v>3.7102602</v>
      </c>
      <c r="M870" s="7">
        <v>3.5880941000000002</v>
      </c>
      <c r="N870" s="7">
        <v>3.6275743</v>
      </c>
      <c r="O870" s="7">
        <v>3.3254893000000001</v>
      </c>
      <c r="P870" s="7">
        <v>3.8401405999999998</v>
      </c>
      <c r="Q870" s="7">
        <v>3.7501262999999998</v>
      </c>
      <c r="R870" s="7">
        <v>3.7123401999999999</v>
      </c>
      <c r="S870" s="7">
        <v>3.7132809</v>
      </c>
      <c r="T870" s="7">
        <v>3.5441364000000002</v>
      </c>
      <c r="U870" s="7">
        <v>3.5864606000000001</v>
      </c>
      <c r="V870" s="7">
        <v>3.4858896000000001</v>
      </c>
      <c r="W870" s="7">
        <v>2.9185580999999998</v>
      </c>
      <c r="X870" s="7">
        <v>1.8940695999999999</v>
      </c>
      <c r="Y870" s="7">
        <v>0.94568839999999998</v>
      </c>
      <c r="Z870" s="7">
        <v>0.9456985</v>
      </c>
      <c r="AA870" s="7">
        <v>1.1181053000000001</v>
      </c>
      <c r="AB870" s="7">
        <v>1.1180899</v>
      </c>
      <c r="AC870" s="7">
        <v>0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</v>
      </c>
      <c r="AM870" s="9">
        <v>0</v>
      </c>
      <c r="AN870" s="9">
        <v>0</v>
      </c>
      <c r="AO870" s="9">
        <v>0</v>
      </c>
      <c r="AP870" s="9">
        <v>0</v>
      </c>
      <c r="AQ870" s="9">
        <v>0</v>
      </c>
      <c r="AR870" s="9">
        <v>0</v>
      </c>
      <c r="AS870" s="9">
        <v>0</v>
      </c>
      <c r="AT870" s="9">
        <v>0</v>
      </c>
    </row>
    <row r="871" spans="1:46" x14ac:dyDescent="0.25">
      <c r="A871" s="4" t="s">
        <v>194</v>
      </c>
      <c r="B871" s="4" t="s">
        <v>207</v>
      </c>
      <c r="C871" s="4" t="s">
        <v>246</v>
      </c>
      <c r="D871" s="4" t="s">
        <v>247</v>
      </c>
      <c r="E871" s="4" t="s">
        <v>248</v>
      </c>
      <c r="F871" s="4" t="s">
        <v>201</v>
      </c>
      <c r="G871" s="4" t="s">
        <v>253</v>
      </c>
      <c r="H871" s="4" t="s">
        <v>252</v>
      </c>
      <c r="I871" s="16">
        <v>0.13800000000000001</v>
      </c>
      <c r="J871" s="16">
        <v>9.9000000000000005E-2</v>
      </c>
      <c r="K871" s="16">
        <v>0.1</v>
      </c>
      <c r="L871" s="16">
        <v>0.14899999999999999</v>
      </c>
      <c r="M871" s="16">
        <v>0.11600000000000001</v>
      </c>
      <c r="N871" s="16">
        <v>7.2999999999999995E-2</v>
      </c>
      <c r="O871" s="16">
        <v>0.08</v>
      </c>
      <c r="P871" s="16">
        <v>0.17199999999999999</v>
      </c>
      <c r="Q871" s="16">
        <v>0.21199999999999999</v>
      </c>
      <c r="R871" s="16">
        <v>0.20399999999999999</v>
      </c>
      <c r="S871" s="16">
        <v>0.21099999999999999</v>
      </c>
      <c r="T871" s="16">
        <v>0.192</v>
      </c>
      <c r="U871" s="16">
        <v>0.18099999999999999</v>
      </c>
      <c r="V871" s="16">
        <v>5.8000000000000003E-2</v>
      </c>
      <c r="W871" s="16">
        <v>1.7999999999999999E-2</v>
      </c>
      <c r="X871" s="16">
        <v>8.0000000000000002E-3</v>
      </c>
      <c r="Y871" s="16">
        <v>8.0000000000000002E-3</v>
      </c>
      <c r="Z871" s="16">
        <v>8.9999999999999993E-3</v>
      </c>
      <c r="AA871" s="17">
        <v>0</v>
      </c>
      <c r="AB871" s="17">
        <v>0</v>
      </c>
      <c r="AC871" s="17">
        <v>0</v>
      </c>
      <c r="AD871" s="9">
        <v>0</v>
      </c>
      <c r="AE871" s="9">
        <v>0</v>
      </c>
      <c r="AF871" s="9">
        <v>0</v>
      </c>
      <c r="AG871" s="9">
        <v>0</v>
      </c>
      <c r="AH871" s="9">
        <v>0</v>
      </c>
      <c r="AI871" s="9">
        <v>0</v>
      </c>
      <c r="AJ871" s="9">
        <v>0</v>
      </c>
      <c r="AK871" s="9">
        <v>0</v>
      </c>
      <c r="AL871" s="9">
        <v>0</v>
      </c>
      <c r="AM871" s="9">
        <v>0</v>
      </c>
      <c r="AN871" s="9">
        <v>0</v>
      </c>
      <c r="AO871" s="9">
        <v>0</v>
      </c>
      <c r="AP871" s="9">
        <v>0</v>
      </c>
      <c r="AQ871" s="9">
        <v>0</v>
      </c>
      <c r="AR871" s="9">
        <v>0</v>
      </c>
      <c r="AS871" s="9">
        <v>0</v>
      </c>
      <c r="AT871" s="9">
        <v>0</v>
      </c>
    </row>
    <row r="872" spans="1:46" x14ac:dyDescent="0.25">
      <c r="A872" s="4" t="s">
        <v>194</v>
      </c>
      <c r="B872" s="4" t="s">
        <v>207</v>
      </c>
      <c r="C872" s="4" t="s">
        <v>246</v>
      </c>
      <c r="D872" s="4" t="s">
        <v>247</v>
      </c>
      <c r="E872" s="4" t="s">
        <v>248</v>
      </c>
      <c r="F872" s="4" t="s">
        <v>202</v>
      </c>
      <c r="G872" s="4" t="s">
        <v>93</v>
      </c>
      <c r="H872" s="4" t="s">
        <v>151</v>
      </c>
      <c r="I872" s="5">
        <v>853.04600000000005</v>
      </c>
      <c r="J872" s="5">
        <v>1800.9929999999999</v>
      </c>
      <c r="K872" s="5">
        <v>2899.13</v>
      </c>
      <c r="L872" s="5">
        <v>3499.85</v>
      </c>
      <c r="M872" s="5">
        <v>6949.7280000000001</v>
      </c>
      <c r="N872" s="5">
        <v>6611.3860000000004</v>
      </c>
      <c r="O872" s="5">
        <v>5000.1009999999997</v>
      </c>
      <c r="P872" s="5">
        <v>2949.2959999999998</v>
      </c>
      <c r="Q872" s="5">
        <v>1588.211</v>
      </c>
      <c r="R872" s="5">
        <v>1085.271</v>
      </c>
      <c r="S872" s="5">
        <v>924.447</v>
      </c>
      <c r="T872" s="5">
        <v>732.32</v>
      </c>
      <c r="U872" s="5">
        <v>691.73299999999995</v>
      </c>
      <c r="V872" s="5">
        <v>715.71699999999998</v>
      </c>
      <c r="W872" s="5">
        <v>1849.576</v>
      </c>
      <c r="X872" s="5">
        <v>3301.556</v>
      </c>
      <c r="Y872" s="5">
        <v>4603.84</v>
      </c>
      <c r="Z872" s="5">
        <v>4519.2250000000004</v>
      </c>
      <c r="AA872" s="5">
        <v>4921.07</v>
      </c>
      <c r="AB872" s="5">
        <v>3052.393</v>
      </c>
      <c r="AC872" s="5">
        <v>2001.9659999999999</v>
      </c>
      <c r="AD872" s="5">
        <v>1142.682</v>
      </c>
      <c r="AE872" s="5">
        <v>787.77800000000002</v>
      </c>
      <c r="AF872" s="5">
        <v>558.54300000000001</v>
      </c>
      <c r="AG872" s="5">
        <v>610.83699999999999</v>
      </c>
      <c r="AH872" s="5">
        <v>1054.472</v>
      </c>
      <c r="AI872" s="5">
        <v>1803.192</v>
      </c>
      <c r="AJ872" s="5">
        <v>4889.6970000000001</v>
      </c>
      <c r="AK872" s="5">
        <v>9327.9680000000008</v>
      </c>
      <c r="AL872" s="5">
        <v>9081.8469999999998</v>
      </c>
      <c r="AM872" s="5">
        <v>12019.737999999999</v>
      </c>
      <c r="AN872" s="5">
        <v>14862.975</v>
      </c>
      <c r="AO872" s="5">
        <v>5709.06</v>
      </c>
      <c r="AP872" s="5">
        <v>2352.8969999999999</v>
      </c>
      <c r="AQ872" s="5">
        <v>1569.039</v>
      </c>
      <c r="AR872" s="5">
        <v>821.505</v>
      </c>
      <c r="AS872" s="5">
        <v>796.75699999999995</v>
      </c>
      <c r="AT872" s="5">
        <v>796.75699999999995</v>
      </c>
    </row>
    <row r="873" spans="1:46" x14ac:dyDescent="0.25">
      <c r="A873" s="4" t="s">
        <v>194</v>
      </c>
      <c r="B873" s="4" t="s">
        <v>207</v>
      </c>
      <c r="C873" s="4" t="s">
        <v>246</v>
      </c>
      <c r="D873" s="4" t="s">
        <v>247</v>
      </c>
      <c r="E873" s="4" t="s">
        <v>248</v>
      </c>
      <c r="F873" s="4" t="s">
        <v>202</v>
      </c>
      <c r="G873" s="4" t="s">
        <v>93</v>
      </c>
      <c r="H873" s="4" t="s">
        <v>205</v>
      </c>
      <c r="I873" s="6">
        <v>211316.76199999999</v>
      </c>
      <c r="J873" s="6">
        <v>489584.16499999998</v>
      </c>
      <c r="K873" s="6">
        <v>793266.81599999999</v>
      </c>
      <c r="L873" s="6">
        <v>981239.10600000003</v>
      </c>
      <c r="M873" s="6">
        <v>1963668.5889999999</v>
      </c>
      <c r="N873" s="6">
        <v>1880173.9069999999</v>
      </c>
      <c r="O873" s="6">
        <v>1411859.628</v>
      </c>
      <c r="P873" s="6">
        <v>845703.98100000003</v>
      </c>
      <c r="Q873" s="6">
        <v>461441.72200000001</v>
      </c>
      <c r="R873" s="6">
        <v>321984.92599999998</v>
      </c>
      <c r="S873" s="6">
        <v>261981.53599999999</v>
      </c>
      <c r="T873" s="6">
        <v>207356.15100000001</v>
      </c>
      <c r="U873" s="6">
        <v>196368.579</v>
      </c>
      <c r="V873" s="6">
        <v>215165.899</v>
      </c>
      <c r="W873" s="6">
        <v>541716.14599999995</v>
      </c>
      <c r="X873" s="6">
        <v>937171.04299999995</v>
      </c>
      <c r="Y873" s="6">
        <v>1305661.2290000001</v>
      </c>
      <c r="Z873" s="6">
        <v>1264618.1640000001</v>
      </c>
      <c r="AA873" s="6">
        <v>1403301.108</v>
      </c>
      <c r="AB873" s="6">
        <v>843483.65800000005</v>
      </c>
      <c r="AC873" s="6">
        <v>532512.13399999996</v>
      </c>
      <c r="AD873" s="6">
        <v>300366.16399999999</v>
      </c>
      <c r="AE873" s="6">
        <v>215255.19200000001</v>
      </c>
      <c r="AF873" s="6">
        <v>158373.497</v>
      </c>
      <c r="AG873" s="6">
        <v>169938.43100000001</v>
      </c>
      <c r="AH873" s="6">
        <v>284026.80200000003</v>
      </c>
      <c r="AI873" s="6">
        <v>551132.34699999995</v>
      </c>
      <c r="AJ873" s="6">
        <v>1598530.355</v>
      </c>
      <c r="AK873" s="6">
        <v>3110736.932</v>
      </c>
      <c r="AL873" s="6">
        <v>2891852.3309999998</v>
      </c>
      <c r="AM873" s="6">
        <v>4043019.6680000001</v>
      </c>
      <c r="AN873" s="6">
        <v>5278967.3849999998</v>
      </c>
      <c r="AO873" s="6">
        <v>2012908.0819999999</v>
      </c>
      <c r="AP873" s="6">
        <v>814536.174</v>
      </c>
      <c r="AQ873" s="6">
        <v>482098.41399999999</v>
      </c>
      <c r="AR873" s="6">
        <v>263640.31599999999</v>
      </c>
      <c r="AS873" s="6">
        <v>271140.79499999998</v>
      </c>
      <c r="AT873" s="6">
        <v>271140.79499999998</v>
      </c>
    </row>
    <row r="874" spans="1:46" x14ac:dyDescent="0.25">
      <c r="A874" s="4" t="s">
        <v>194</v>
      </c>
      <c r="B874" s="4" t="s">
        <v>207</v>
      </c>
      <c r="C874" s="4" t="s">
        <v>246</v>
      </c>
      <c r="D874" s="4" t="s">
        <v>247</v>
      </c>
      <c r="E874" s="4" t="s">
        <v>248</v>
      </c>
      <c r="F874" s="4" t="s">
        <v>202</v>
      </c>
      <c r="G874" s="4" t="s">
        <v>93</v>
      </c>
      <c r="H874" s="4" t="s">
        <v>249</v>
      </c>
      <c r="I874" s="7">
        <v>0.76900000000000002</v>
      </c>
      <c r="J874" s="7">
        <v>1.1830000000000001</v>
      </c>
      <c r="K874" s="7">
        <v>1.5449999999999999</v>
      </c>
      <c r="L874" s="7">
        <v>1.4710000000000001</v>
      </c>
      <c r="M874" s="7">
        <v>2.4529999999999998</v>
      </c>
      <c r="N874" s="7">
        <v>2.1240000000000001</v>
      </c>
      <c r="O874" s="7">
        <v>1.756</v>
      </c>
      <c r="P874" s="7">
        <v>1.3169999999999999</v>
      </c>
      <c r="Q874" s="7">
        <v>0.96399999999999997</v>
      </c>
      <c r="R874" s="7">
        <v>0.90400000000000003</v>
      </c>
      <c r="S874" s="7">
        <v>0.88400000000000001</v>
      </c>
      <c r="T874" s="7">
        <v>0.72799999999999998</v>
      </c>
      <c r="U874" s="7">
        <v>0.65600000000000003</v>
      </c>
      <c r="V874" s="7">
        <v>0.53700000000000003</v>
      </c>
      <c r="W874" s="7">
        <v>0.99399999999999999</v>
      </c>
      <c r="X874" s="7">
        <v>1.4379999999999999</v>
      </c>
      <c r="Y874" s="7">
        <v>1.677</v>
      </c>
      <c r="Z874" s="7">
        <v>1.7969999999999999</v>
      </c>
      <c r="AA874" s="7">
        <v>1.82</v>
      </c>
      <c r="AB874" s="7">
        <v>1.41</v>
      </c>
      <c r="AC874" s="7">
        <v>1.0920000000000001</v>
      </c>
      <c r="AD874" s="7">
        <v>0.745</v>
      </c>
      <c r="AE874" s="7">
        <v>0.63</v>
      </c>
      <c r="AF874" s="7">
        <v>0.55000000000000004</v>
      </c>
      <c r="AG874" s="7">
        <v>0.58899999999999997</v>
      </c>
      <c r="AH874" s="7">
        <v>0.82499999999999996</v>
      </c>
      <c r="AI874" s="7">
        <v>1.073</v>
      </c>
      <c r="AJ874" s="7">
        <v>2.0209999999999999</v>
      </c>
      <c r="AK874" s="7">
        <v>3.3570000000000002</v>
      </c>
      <c r="AL874" s="7">
        <v>2.8519999999999999</v>
      </c>
      <c r="AM874" s="7">
        <v>3.3450000000000002</v>
      </c>
      <c r="AN874" s="7">
        <v>4.2089999999999996</v>
      </c>
      <c r="AO874" s="7">
        <v>2.1349999999999998</v>
      </c>
      <c r="AP874" s="7">
        <v>1.113</v>
      </c>
      <c r="AQ874" s="7">
        <v>1.0049999999999999</v>
      </c>
      <c r="AR874" s="7">
        <v>0.78200000000000003</v>
      </c>
      <c r="AS874" s="7">
        <v>0.92300000000000004</v>
      </c>
      <c r="AT874" s="7">
        <v>0.33200000000000002</v>
      </c>
    </row>
    <row r="875" spans="1:46" x14ac:dyDescent="0.25">
      <c r="A875" s="4" t="s">
        <v>194</v>
      </c>
      <c r="B875" s="4" t="s">
        <v>207</v>
      </c>
      <c r="C875" s="4" t="s">
        <v>246</v>
      </c>
      <c r="D875" s="4" t="s">
        <v>247</v>
      </c>
      <c r="E875" s="4" t="s">
        <v>248</v>
      </c>
      <c r="F875" s="4" t="s">
        <v>202</v>
      </c>
      <c r="G875" s="4" t="s">
        <v>93</v>
      </c>
      <c r="H875" s="4" t="s">
        <v>250</v>
      </c>
      <c r="I875" s="7">
        <v>53.305</v>
      </c>
      <c r="J875" s="7">
        <v>56.027000000000001</v>
      </c>
      <c r="K875" s="7">
        <v>66.147000000000006</v>
      </c>
      <c r="L875" s="7">
        <v>76.185000000000002</v>
      </c>
      <c r="M875" s="7">
        <v>80.613</v>
      </c>
      <c r="N875" s="7">
        <v>72.453000000000003</v>
      </c>
      <c r="O875" s="7">
        <v>69.483000000000004</v>
      </c>
      <c r="P875" s="7">
        <v>65.625</v>
      </c>
      <c r="Q875" s="7">
        <v>61.828000000000003</v>
      </c>
      <c r="R875" s="7">
        <v>58.622999999999998</v>
      </c>
      <c r="S875" s="7">
        <v>59.073999999999998</v>
      </c>
      <c r="T875" s="7">
        <v>62.619</v>
      </c>
      <c r="U875" s="7">
        <v>62.781999999999996</v>
      </c>
      <c r="V875" s="7">
        <v>64.930999999999997</v>
      </c>
      <c r="W875" s="7">
        <v>78.525000000000006</v>
      </c>
      <c r="X875" s="7">
        <v>83.394000000000005</v>
      </c>
      <c r="Y875" s="7">
        <v>82.076999999999998</v>
      </c>
      <c r="Z875" s="7">
        <v>83.542000000000002</v>
      </c>
      <c r="AA875" s="7">
        <v>79.552000000000007</v>
      </c>
      <c r="AB875" s="7">
        <v>72.521000000000001</v>
      </c>
      <c r="AC875" s="7">
        <v>66.611000000000004</v>
      </c>
      <c r="AD875" s="7">
        <v>53.947000000000003</v>
      </c>
      <c r="AE875" s="7">
        <v>52.542999999999999</v>
      </c>
      <c r="AF875" s="7">
        <v>56.701000000000001</v>
      </c>
      <c r="AG875" s="7">
        <v>54.472999999999999</v>
      </c>
      <c r="AH875" s="7">
        <v>59.805999999999997</v>
      </c>
      <c r="AI875" s="7">
        <v>66.747</v>
      </c>
      <c r="AJ875" s="7">
        <v>70.376999999999995</v>
      </c>
      <c r="AK875" s="7">
        <v>73.293999999999997</v>
      </c>
      <c r="AL875" s="7">
        <v>80.593999999999994</v>
      </c>
      <c r="AM875" s="7">
        <v>76.328999999999994</v>
      </c>
      <c r="AN875" s="7">
        <v>79.531999999999996</v>
      </c>
      <c r="AO875" s="7">
        <v>55.923000000000002</v>
      </c>
      <c r="AP875" s="7">
        <v>48.613999999999997</v>
      </c>
      <c r="AQ875" s="7">
        <v>44.588000000000001</v>
      </c>
      <c r="AR875" s="7">
        <v>43.813000000000002</v>
      </c>
      <c r="AS875" s="7">
        <v>50.731999999999999</v>
      </c>
      <c r="AT875" s="5">
        <v>3659.3870000000002</v>
      </c>
    </row>
    <row r="876" spans="1:46" x14ac:dyDescent="0.25">
      <c r="A876" s="4" t="s">
        <v>194</v>
      </c>
      <c r="B876" s="4" t="s">
        <v>207</v>
      </c>
      <c r="C876" s="4" t="s">
        <v>246</v>
      </c>
      <c r="D876" s="4" t="s">
        <v>247</v>
      </c>
      <c r="E876" s="4" t="s">
        <v>248</v>
      </c>
      <c r="F876" s="4" t="s">
        <v>202</v>
      </c>
      <c r="G876" s="4" t="s">
        <v>93</v>
      </c>
      <c r="H876" s="4" t="s">
        <v>251</v>
      </c>
      <c r="I876" s="7">
        <v>42.378616899999997</v>
      </c>
      <c r="J876" s="7">
        <v>46.5497826</v>
      </c>
      <c r="K876" s="7">
        <v>48.057934699999997</v>
      </c>
      <c r="L876" s="7">
        <v>53.448577299999997</v>
      </c>
      <c r="M876" s="7">
        <v>51.3905563</v>
      </c>
      <c r="N876" s="7">
        <v>48.300677999999998</v>
      </c>
      <c r="O876" s="7">
        <v>45.323612799999999</v>
      </c>
      <c r="P876" s="7">
        <v>43.765275500000001</v>
      </c>
      <c r="Q876" s="7">
        <v>41.763730000000002</v>
      </c>
      <c r="R876" s="7">
        <v>40.733374599999998</v>
      </c>
      <c r="S876" s="7">
        <v>39.431621100000001</v>
      </c>
      <c r="T876" s="7">
        <v>42.486620700000003</v>
      </c>
      <c r="U876" s="7">
        <v>42.394910699999997</v>
      </c>
      <c r="V876" s="7">
        <v>45.003055099999997</v>
      </c>
      <c r="W876" s="7">
        <v>50.398614100000003</v>
      </c>
      <c r="X876" s="7">
        <v>58.785922300000003</v>
      </c>
      <c r="Y876" s="7">
        <v>59.291698799999999</v>
      </c>
      <c r="Z876" s="7">
        <v>59.193980799999999</v>
      </c>
      <c r="AA876" s="7">
        <v>55.039270899999998</v>
      </c>
      <c r="AB876" s="7">
        <v>51.391367099999997</v>
      </c>
      <c r="AC876" s="7">
        <v>47.089294299999999</v>
      </c>
      <c r="AD876" s="7">
        <v>42.925013</v>
      </c>
      <c r="AE876" s="7">
        <v>40.457965600000001</v>
      </c>
      <c r="AF876" s="7">
        <v>39.939559299999999</v>
      </c>
      <c r="AG876" s="7">
        <v>39.726844200000002</v>
      </c>
      <c r="AH876" s="7">
        <v>42.682305800000002</v>
      </c>
      <c r="AI876" s="7">
        <v>48.408930300000002</v>
      </c>
      <c r="AJ876" s="7">
        <v>52.366078899999998</v>
      </c>
      <c r="AK876" s="7">
        <v>57.680468500000003</v>
      </c>
      <c r="AL876" s="7">
        <v>58.7641451</v>
      </c>
      <c r="AM876" s="7">
        <v>55.3989884</v>
      </c>
      <c r="AN876" s="7">
        <v>56.1562245</v>
      </c>
      <c r="AO876" s="7">
        <v>45.548409700000001</v>
      </c>
      <c r="AP876" s="7">
        <v>37.610062599999999</v>
      </c>
      <c r="AQ876" s="7">
        <v>33.876260600000002</v>
      </c>
      <c r="AR876" s="7">
        <v>31.508037900000001</v>
      </c>
      <c r="AS876" s="7">
        <v>31.332748299999999</v>
      </c>
      <c r="AT876" s="7">
        <v>50.731999999999999</v>
      </c>
    </row>
    <row r="877" spans="1:46" x14ac:dyDescent="0.25">
      <c r="A877" s="4" t="s">
        <v>194</v>
      </c>
      <c r="B877" s="4" t="s">
        <v>207</v>
      </c>
      <c r="C877" s="4" t="s">
        <v>246</v>
      </c>
      <c r="D877" s="4" t="s">
        <v>247</v>
      </c>
      <c r="E877" s="4" t="s">
        <v>248</v>
      </c>
      <c r="F877" s="4" t="s">
        <v>202</v>
      </c>
      <c r="G877" s="4" t="s">
        <v>93</v>
      </c>
      <c r="H877" s="4" t="s">
        <v>252</v>
      </c>
      <c r="I877" s="16">
        <v>3.4870000000000001</v>
      </c>
      <c r="J877" s="16">
        <v>2.355</v>
      </c>
      <c r="K877" s="16">
        <v>2.6309999999999998</v>
      </c>
      <c r="L877" s="16">
        <v>2.605</v>
      </c>
      <c r="M877" s="16">
        <v>2.3769999999999998</v>
      </c>
      <c r="N877" s="16">
        <v>2.2069999999999999</v>
      </c>
      <c r="O877" s="16">
        <v>1.837</v>
      </c>
      <c r="P877" s="16">
        <v>1.897</v>
      </c>
      <c r="Q877" s="16">
        <v>1.9239999999999999</v>
      </c>
      <c r="R877" s="16">
        <v>2.1640000000000001</v>
      </c>
      <c r="S877" s="16">
        <v>2.226</v>
      </c>
      <c r="T877" s="16">
        <v>2.2429999999999999</v>
      </c>
      <c r="U877" s="16">
        <v>2.3290000000000002</v>
      </c>
      <c r="V877" s="16">
        <v>2.6840000000000002</v>
      </c>
      <c r="W877" s="16">
        <v>3.702</v>
      </c>
      <c r="X877" s="16">
        <v>3.4870000000000001</v>
      </c>
      <c r="Y877" s="16">
        <v>3.2029999999999998</v>
      </c>
      <c r="Z877" s="16">
        <v>3.01</v>
      </c>
      <c r="AA877" s="16">
        <v>2.3769999999999998</v>
      </c>
      <c r="AB877" s="16">
        <v>2.327</v>
      </c>
      <c r="AC877" s="16">
        <v>2.383</v>
      </c>
      <c r="AD877" s="16">
        <v>2.1520000000000001</v>
      </c>
      <c r="AE877" s="16">
        <v>2.165</v>
      </c>
      <c r="AF877" s="16">
        <v>2.2679999999999998</v>
      </c>
      <c r="AG877" s="16">
        <v>2.1589999999999998</v>
      </c>
      <c r="AH877" s="16">
        <v>2.2759999999999998</v>
      </c>
      <c r="AI877" s="16">
        <v>2.02</v>
      </c>
      <c r="AJ877" s="16">
        <v>2.4119999999999999</v>
      </c>
      <c r="AK877" s="16">
        <v>2.1890000000000001</v>
      </c>
      <c r="AL877" s="16">
        <v>2.734</v>
      </c>
      <c r="AM877" s="16">
        <v>2.2629999999999999</v>
      </c>
      <c r="AN877" s="16">
        <v>1.7689999999999999</v>
      </c>
      <c r="AO877" s="16">
        <v>1.758</v>
      </c>
      <c r="AP877" s="16">
        <v>1.613</v>
      </c>
      <c r="AQ877" s="16">
        <v>1.46</v>
      </c>
      <c r="AR877" s="16">
        <v>1.635</v>
      </c>
      <c r="AS877" s="16">
        <v>1.7350000000000001</v>
      </c>
      <c r="AT877" s="7">
        <v>31.332748299999999</v>
      </c>
    </row>
    <row r="878" spans="1:46" x14ac:dyDescent="0.25">
      <c r="A878" s="4" t="s">
        <v>194</v>
      </c>
      <c r="B878" s="4" t="s">
        <v>207</v>
      </c>
      <c r="C878" s="4" t="s">
        <v>246</v>
      </c>
      <c r="D878" s="4" t="s">
        <v>247</v>
      </c>
      <c r="E878" s="4" t="s">
        <v>248</v>
      </c>
      <c r="F878" s="4" t="s">
        <v>202</v>
      </c>
      <c r="G878" s="4" t="s">
        <v>113</v>
      </c>
      <c r="H878" s="4" t="s">
        <v>151</v>
      </c>
      <c r="I878" s="5">
        <v>24.327000000000002</v>
      </c>
      <c r="J878" s="5">
        <v>20.565999999999999</v>
      </c>
      <c r="K878" s="5">
        <v>19.902000000000001</v>
      </c>
      <c r="L878" s="5">
        <v>19.132999999999999</v>
      </c>
      <c r="M878" s="5">
        <v>123.336</v>
      </c>
      <c r="N878" s="5">
        <v>137.51</v>
      </c>
      <c r="O878" s="5">
        <v>85.206000000000003</v>
      </c>
      <c r="P878" s="8">
        <v>0</v>
      </c>
      <c r="Q878" s="8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5">
        <v>1</v>
      </c>
      <c r="X878" s="8">
        <v>0</v>
      </c>
      <c r="Y878" s="5">
        <v>0.14299999999999999</v>
      </c>
      <c r="Z878" s="5">
        <v>1.857</v>
      </c>
      <c r="AA878" s="5">
        <v>1</v>
      </c>
      <c r="AB878" s="8">
        <v>0</v>
      </c>
      <c r="AC878" s="5">
        <v>1</v>
      </c>
      <c r="AD878" s="8">
        <v>0</v>
      </c>
      <c r="AE878" s="9">
        <v>0</v>
      </c>
      <c r="AF878" s="9">
        <v>0</v>
      </c>
      <c r="AG878" s="5">
        <v>1</v>
      </c>
      <c r="AH878" s="5">
        <v>1</v>
      </c>
      <c r="AI878" s="5">
        <v>1</v>
      </c>
      <c r="AJ878" s="5">
        <v>1</v>
      </c>
      <c r="AK878" s="5">
        <v>5</v>
      </c>
      <c r="AL878" s="8">
        <v>0</v>
      </c>
      <c r="AM878" s="9">
        <v>0</v>
      </c>
      <c r="AN878" s="5">
        <v>53.866</v>
      </c>
      <c r="AO878" s="5">
        <v>53.921999999999997</v>
      </c>
      <c r="AP878" s="5">
        <v>55.664000000000001</v>
      </c>
      <c r="AQ878" s="5">
        <v>53.921999999999997</v>
      </c>
      <c r="AR878" s="8">
        <v>0</v>
      </c>
      <c r="AS878" s="8">
        <v>0</v>
      </c>
      <c r="AT878" s="8">
        <v>0</v>
      </c>
    </row>
    <row r="879" spans="1:46" x14ac:dyDescent="0.25">
      <c r="A879" s="4" t="s">
        <v>194</v>
      </c>
      <c r="B879" s="4" t="s">
        <v>207</v>
      </c>
      <c r="C879" s="4" t="s">
        <v>246</v>
      </c>
      <c r="D879" s="4" t="s">
        <v>247</v>
      </c>
      <c r="E879" s="4" t="s">
        <v>248</v>
      </c>
      <c r="F879" s="4" t="s">
        <v>202</v>
      </c>
      <c r="G879" s="4" t="s">
        <v>113</v>
      </c>
      <c r="H879" s="4" t="s">
        <v>205</v>
      </c>
      <c r="I879" s="6">
        <v>8976.6849999999995</v>
      </c>
      <c r="J879" s="6">
        <v>7588.6959999999999</v>
      </c>
      <c r="K879" s="6">
        <v>7343.9</v>
      </c>
      <c r="L879" s="6">
        <v>7060.0029999999997</v>
      </c>
      <c r="M879" s="6">
        <v>45462.078000000001</v>
      </c>
      <c r="N879" s="6">
        <v>48816.010999999999</v>
      </c>
      <c r="O879" s="6">
        <v>28417.83</v>
      </c>
      <c r="P879" s="10">
        <v>0</v>
      </c>
      <c r="Q879" s="10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6">
        <v>320</v>
      </c>
      <c r="X879" s="10">
        <v>0</v>
      </c>
      <c r="Y879" s="6">
        <v>45.728000000000002</v>
      </c>
      <c r="Z879" s="6">
        <v>594.27200000000005</v>
      </c>
      <c r="AA879" s="6">
        <v>288</v>
      </c>
      <c r="AB879" s="10">
        <v>0</v>
      </c>
      <c r="AC879" s="6">
        <v>288</v>
      </c>
      <c r="AD879" s="10">
        <v>0</v>
      </c>
      <c r="AE879" s="9">
        <v>0</v>
      </c>
      <c r="AF879" s="9">
        <v>0</v>
      </c>
      <c r="AG879" s="6">
        <v>377</v>
      </c>
      <c r="AH879" s="6">
        <v>320</v>
      </c>
      <c r="AI879" s="6">
        <v>339.3</v>
      </c>
      <c r="AJ879" s="6">
        <v>377</v>
      </c>
      <c r="AK879" s="6">
        <v>1809.6</v>
      </c>
      <c r="AL879" s="10">
        <v>0</v>
      </c>
      <c r="AM879" s="9">
        <v>0</v>
      </c>
      <c r="AN879" s="6">
        <v>17721.867999999999</v>
      </c>
      <c r="AO879" s="6">
        <v>17740.181</v>
      </c>
      <c r="AP879" s="6">
        <v>18313.39</v>
      </c>
      <c r="AQ879" s="6">
        <v>17740.181</v>
      </c>
      <c r="AR879" s="10">
        <v>0</v>
      </c>
      <c r="AS879" s="10">
        <v>0</v>
      </c>
      <c r="AT879" s="10">
        <v>0</v>
      </c>
    </row>
    <row r="880" spans="1:46" x14ac:dyDescent="0.25">
      <c r="A880" s="4" t="s">
        <v>194</v>
      </c>
      <c r="B880" s="4" t="s">
        <v>207</v>
      </c>
      <c r="C880" s="4" t="s">
        <v>246</v>
      </c>
      <c r="D880" s="4" t="s">
        <v>247</v>
      </c>
      <c r="E880" s="4" t="s">
        <v>248</v>
      </c>
      <c r="F880" s="4" t="s">
        <v>202</v>
      </c>
      <c r="G880" s="4" t="s">
        <v>113</v>
      </c>
      <c r="H880" s="4" t="s">
        <v>249</v>
      </c>
      <c r="I880" s="7">
        <v>1.2999999999999999E-2</v>
      </c>
      <c r="J880" s="7">
        <v>8.0000000000000002E-3</v>
      </c>
      <c r="K880" s="7">
        <v>6.0000000000000001E-3</v>
      </c>
      <c r="L880" s="7">
        <v>5.0000000000000001E-3</v>
      </c>
      <c r="M880" s="7">
        <v>2.5000000000000001E-2</v>
      </c>
      <c r="N880" s="7">
        <v>2.5999999999999999E-2</v>
      </c>
      <c r="O880" s="7">
        <v>1.7000000000000001E-2</v>
      </c>
      <c r="P880" s="11">
        <v>0</v>
      </c>
      <c r="Q880" s="11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7">
        <v>0</v>
      </c>
      <c r="X880" s="11">
        <v>0</v>
      </c>
      <c r="Y880" s="7">
        <v>0</v>
      </c>
      <c r="Z880" s="7">
        <v>0</v>
      </c>
      <c r="AA880" s="7">
        <v>0</v>
      </c>
      <c r="AB880" s="11">
        <v>0</v>
      </c>
      <c r="AC880" s="7">
        <v>0</v>
      </c>
      <c r="AD880" s="11">
        <v>0</v>
      </c>
      <c r="AE880" s="9">
        <v>0</v>
      </c>
      <c r="AF880" s="9">
        <v>0</v>
      </c>
      <c r="AG880" s="7">
        <v>1E-3</v>
      </c>
      <c r="AH880" s="7">
        <v>0</v>
      </c>
      <c r="AI880" s="7">
        <v>0</v>
      </c>
      <c r="AJ880" s="7">
        <v>0</v>
      </c>
      <c r="AK880" s="7">
        <v>1E-3</v>
      </c>
      <c r="AL880" s="11">
        <v>0</v>
      </c>
      <c r="AM880" s="9">
        <v>0</v>
      </c>
      <c r="AN880" s="7">
        <v>8.9999999999999993E-3</v>
      </c>
      <c r="AO880" s="7">
        <v>1.2E-2</v>
      </c>
      <c r="AP880" s="7">
        <v>1.4999999999999999E-2</v>
      </c>
      <c r="AQ880" s="7">
        <v>0.02</v>
      </c>
      <c r="AR880" s="11">
        <v>0</v>
      </c>
      <c r="AS880" s="11">
        <v>0</v>
      </c>
      <c r="AT880" s="11">
        <v>0</v>
      </c>
    </row>
    <row r="881" spans="1:46" x14ac:dyDescent="0.25">
      <c r="A881" s="4" t="s">
        <v>194</v>
      </c>
      <c r="B881" s="4" t="s">
        <v>207</v>
      </c>
      <c r="C881" s="4" t="s">
        <v>246</v>
      </c>
      <c r="D881" s="4" t="s">
        <v>247</v>
      </c>
      <c r="E881" s="4" t="s">
        <v>248</v>
      </c>
      <c r="F881" s="4" t="s">
        <v>202</v>
      </c>
      <c r="G881" s="4" t="s">
        <v>113</v>
      </c>
      <c r="H881" s="4" t="s">
        <v>250</v>
      </c>
      <c r="I881" s="7">
        <v>4.3689999999999998</v>
      </c>
      <c r="J881" s="7">
        <v>3.6080000000000001</v>
      </c>
      <c r="K881" s="7">
        <v>2.8530000000000002</v>
      </c>
      <c r="L881" s="7">
        <v>2.597</v>
      </c>
      <c r="M881" s="7">
        <v>2.7309999999999999</v>
      </c>
      <c r="N881" s="7">
        <v>2.04</v>
      </c>
      <c r="O881" s="7">
        <v>3.67</v>
      </c>
      <c r="P881" s="11">
        <v>0</v>
      </c>
      <c r="Q881" s="11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7">
        <v>0.54500000000000004</v>
      </c>
      <c r="X881" s="11">
        <v>0</v>
      </c>
      <c r="Y881" s="7">
        <v>0.55800000000000005</v>
      </c>
      <c r="Z881" s="7">
        <v>0.53600000000000003</v>
      </c>
      <c r="AA881" s="7">
        <v>0.495</v>
      </c>
      <c r="AB881" s="11">
        <v>0</v>
      </c>
      <c r="AC881" s="7">
        <v>0.34</v>
      </c>
      <c r="AD881" s="11">
        <v>0</v>
      </c>
      <c r="AE881" s="9">
        <v>0</v>
      </c>
      <c r="AF881" s="9">
        <v>0</v>
      </c>
      <c r="AG881" s="7">
        <v>0.187</v>
      </c>
      <c r="AH881" s="7">
        <v>0.36499999999999999</v>
      </c>
      <c r="AI881" s="7">
        <v>0.44700000000000001</v>
      </c>
      <c r="AJ881" s="7">
        <v>0.58399999999999996</v>
      </c>
      <c r="AK881" s="7">
        <v>0.51300000000000001</v>
      </c>
      <c r="AL881" s="11">
        <v>0</v>
      </c>
      <c r="AM881" s="9">
        <v>0</v>
      </c>
      <c r="AN881" s="7">
        <v>3.2130000000000001</v>
      </c>
      <c r="AO881" s="7">
        <v>3.9510000000000001</v>
      </c>
      <c r="AP881" s="7">
        <v>4.7359999999999998</v>
      </c>
      <c r="AQ881" s="7">
        <v>4.5359999999999996</v>
      </c>
      <c r="AR881" s="11">
        <v>0</v>
      </c>
      <c r="AS881" s="11">
        <v>0</v>
      </c>
      <c r="AT881" s="8">
        <v>0</v>
      </c>
    </row>
    <row r="882" spans="1:46" x14ac:dyDescent="0.25">
      <c r="A882" s="4" t="s">
        <v>194</v>
      </c>
      <c r="B882" s="4" t="s">
        <v>207</v>
      </c>
      <c r="C882" s="4" t="s">
        <v>246</v>
      </c>
      <c r="D882" s="4" t="s">
        <v>247</v>
      </c>
      <c r="E882" s="4" t="s">
        <v>248</v>
      </c>
      <c r="F882" s="4" t="s">
        <v>202</v>
      </c>
      <c r="G882" s="4" t="s">
        <v>113</v>
      </c>
      <c r="H882" s="4" t="s">
        <v>251</v>
      </c>
      <c r="I882" s="7">
        <v>2.0739261999999998</v>
      </c>
      <c r="J882" s="7">
        <v>2.0722839</v>
      </c>
      <c r="K882" s="7">
        <v>2.0719050999999999</v>
      </c>
      <c r="L882" s="7">
        <v>2.0035968999999998</v>
      </c>
      <c r="M882" s="7">
        <v>2.0343095</v>
      </c>
      <c r="N882" s="7">
        <v>1.9994717</v>
      </c>
      <c r="O882" s="7">
        <v>2.1536903000000001</v>
      </c>
      <c r="P882" s="7">
        <v>0</v>
      </c>
      <c r="Q882" s="7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7">
        <v>3.7907299999999998E-2</v>
      </c>
      <c r="X882" s="7">
        <v>0</v>
      </c>
      <c r="Y882" s="7">
        <v>3.8299399999999997E-2</v>
      </c>
      <c r="Z882" s="7">
        <v>3.8299800000000002E-2</v>
      </c>
      <c r="AA882" s="7">
        <v>3.8314899999999999E-2</v>
      </c>
      <c r="AB882" s="7">
        <v>0</v>
      </c>
      <c r="AC882" s="7">
        <v>3.8302500000000003E-2</v>
      </c>
      <c r="AD882" s="7">
        <v>0</v>
      </c>
      <c r="AE882" s="9">
        <v>0</v>
      </c>
      <c r="AF882" s="9">
        <v>0</v>
      </c>
      <c r="AG882" s="7">
        <v>3.8669799999999997E-2</v>
      </c>
      <c r="AH882" s="7">
        <v>3.8669799999999997E-2</v>
      </c>
      <c r="AI882" s="7">
        <v>3.8669799999999997E-2</v>
      </c>
      <c r="AJ882" s="7">
        <v>3.8641799999999997E-2</v>
      </c>
      <c r="AK882" s="7">
        <v>3.8602900000000002E-2</v>
      </c>
      <c r="AL882" s="7">
        <v>0</v>
      </c>
      <c r="AM882" s="9">
        <v>0</v>
      </c>
      <c r="AN882" s="7">
        <v>0.95273079999999999</v>
      </c>
      <c r="AO882" s="7">
        <v>0.9528335</v>
      </c>
      <c r="AP882" s="7">
        <v>0.9530824</v>
      </c>
      <c r="AQ882" s="7">
        <v>0.9528915</v>
      </c>
      <c r="AR882" s="7">
        <v>0</v>
      </c>
      <c r="AS882" s="7">
        <v>0</v>
      </c>
      <c r="AT882" s="11">
        <v>0</v>
      </c>
    </row>
    <row r="883" spans="1:46" x14ac:dyDescent="0.25">
      <c r="A883" s="4" t="s">
        <v>194</v>
      </c>
      <c r="B883" s="4" t="s">
        <v>207</v>
      </c>
      <c r="C883" s="4" t="s">
        <v>246</v>
      </c>
      <c r="D883" s="4" t="s">
        <v>247</v>
      </c>
      <c r="E883" s="4" t="s">
        <v>248</v>
      </c>
      <c r="F883" s="4" t="s">
        <v>202</v>
      </c>
      <c r="G883" s="4" t="s">
        <v>113</v>
      </c>
      <c r="H883" s="4" t="s">
        <v>252</v>
      </c>
      <c r="I883" s="16">
        <v>3.7999999999999999E-2</v>
      </c>
      <c r="J883" s="16">
        <v>3.5999999999999997E-2</v>
      </c>
      <c r="K883" s="16">
        <v>0.03</v>
      </c>
      <c r="L883" s="16">
        <v>2.7E-2</v>
      </c>
      <c r="M883" s="16">
        <v>3.1E-2</v>
      </c>
      <c r="N883" s="16">
        <v>4.1000000000000002E-2</v>
      </c>
      <c r="O883" s="17">
        <v>0</v>
      </c>
      <c r="P883" s="17">
        <v>0</v>
      </c>
      <c r="Q883" s="17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9">
        <v>0</v>
      </c>
      <c r="AF883" s="9">
        <v>0</v>
      </c>
      <c r="AG883" s="17">
        <v>0</v>
      </c>
      <c r="AH883" s="17">
        <v>0</v>
      </c>
      <c r="AI883" s="17">
        <v>0</v>
      </c>
      <c r="AJ883" s="17">
        <v>0</v>
      </c>
      <c r="AK883" s="17">
        <v>0</v>
      </c>
      <c r="AL883" s="17">
        <v>0</v>
      </c>
      <c r="AM883" s="9">
        <v>0</v>
      </c>
      <c r="AN883" s="17">
        <v>0</v>
      </c>
      <c r="AO883" s="17">
        <v>0</v>
      </c>
      <c r="AP883" s="17">
        <v>0</v>
      </c>
      <c r="AQ883" s="17">
        <v>0</v>
      </c>
      <c r="AR883" s="17">
        <v>0</v>
      </c>
      <c r="AS883" s="17">
        <v>0</v>
      </c>
      <c r="AT883" s="7">
        <v>0</v>
      </c>
    </row>
    <row r="884" spans="1:46" x14ac:dyDescent="0.25">
      <c r="A884" s="4" t="s">
        <v>194</v>
      </c>
      <c r="B884" s="4" t="s">
        <v>207</v>
      </c>
      <c r="C884" s="4" t="s">
        <v>246</v>
      </c>
      <c r="D884" s="4" t="s">
        <v>247</v>
      </c>
      <c r="E884" s="4" t="s">
        <v>248</v>
      </c>
      <c r="F884" s="4" t="s">
        <v>202</v>
      </c>
      <c r="G884" s="4" t="s">
        <v>116</v>
      </c>
      <c r="H884" s="4" t="s">
        <v>151</v>
      </c>
      <c r="I884" s="5">
        <v>0</v>
      </c>
      <c r="J884" s="5">
        <v>3.8570000000000002</v>
      </c>
      <c r="K884" s="5">
        <v>22.053999999999998</v>
      </c>
      <c r="L884" s="5">
        <v>26.053000000000001</v>
      </c>
      <c r="M884" s="5">
        <v>303.55599999999998</v>
      </c>
      <c r="N884" s="5">
        <v>198.91</v>
      </c>
      <c r="O884" s="5">
        <v>22.428999999999998</v>
      </c>
      <c r="P884" s="5">
        <v>1.571</v>
      </c>
      <c r="Q884" s="5">
        <v>1</v>
      </c>
      <c r="R884" s="5">
        <v>1</v>
      </c>
      <c r="S884" s="5">
        <v>0</v>
      </c>
      <c r="T884" s="5">
        <v>0.28599999999999998</v>
      </c>
      <c r="U884" s="5">
        <v>1.714</v>
      </c>
      <c r="V884" s="5">
        <v>7.8330000000000002</v>
      </c>
      <c r="W884" s="5">
        <v>99.105999999999995</v>
      </c>
      <c r="X884" s="5">
        <v>227.23699999999999</v>
      </c>
      <c r="Y884" s="5">
        <v>260.04500000000002</v>
      </c>
      <c r="Z884" s="5">
        <v>225.983</v>
      </c>
      <c r="AA884" s="5">
        <v>84.858999999999995</v>
      </c>
      <c r="AB884" s="5">
        <v>136.81299999999999</v>
      </c>
      <c r="AC884" s="5">
        <v>54.793999999999997</v>
      </c>
      <c r="AD884" s="5">
        <v>39.466000000000001</v>
      </c>
      <c r="AE884" s="5">
        <v>51.936</v>
      </c>
      <c r="AF884" s="5">
        <v>51.055</v>
      </c>
      <c r="AG884" s="5">
        <v>55.664000000000001</v>
      </c>
      <c r="AH884" s="5">
        <v>92.838999999999999</v>
      </c>
      <c r="AI884" s="5">
        <v>143.958</v>
      </c>
      <c r="AJ884" s="5">
        <v>209.584</v>
      </c>
      <c r="AK884" s="5">
        <v>320.21800000000002</v>
      </c>
      <c r="AL884" s="5">
        <v>293.05099999999999</v>
      </c>
      <c r="AM884" s="5">
        <v>424.911</v>
      </c>
      <c r="AN884" s="5">
        <v>840.54600000000005</v>
      </c>
      <c r="AO884" s="5">
        <v>450.66399999999999</v>
      </c>
      <c r="AP884" s="5">
        <v>214.69300000000001</v>
      </c>
      <c r="AQ884" s="5">
        <v>89.869</v>
      </c>
      <c r="AR884" s="5">
        <v>63.485999999999997</v>
      </c>
      <c r="AS884" s="5">
        <v>22.571000000000002</v>
      </c>
      <c r="AT884" s="5">
        <v>22.571000000000002</v>
      </c>
    </row>
    <row r="885" spans="1:46" x14ac:dyDescent="0.25">
      <c r="A885" s="4" t="s">
        <v>194</v>
      </c>
      <c r="B885" s="4" t="s">
        <v>207</v>
      </c>
      <c r="C885" s="4" t="s">
        <v>246</v>
      </c>
      <c r="D885" s="4" t="s">
        <v>247</v>
      </c>
      <c r="E885" s="4" t="s">
        <v>248</v>
      </c>
      <c r="F885" s="4" t="s">
        <v>202</v>
      </c>
      <c r="G885" s="4" t="s">
        <v>116</v>
      </c>
      <c r="H885" s="4" t="s">
        <v>205</v>
      </c>
      <c r="I885" s="6">
        <v>0</v>
      </c>
      <c r="J885" s="6">
        <v>1330.271</v>
      </c>
      <c r="K885" s="6">
        <v>7597.8249999999998</v>
      </c>
      <c r="L885" s="6">
        <v>9806.0280000000002</v>
      </c>
      <c r="M885" s="6">
        <v>78938.837</v>
      </c>
      <c r="N885" s="6">
        <v>51013.3</v>
      </c>
      <c r="O885" s="6">
        <v>8503.1530000000002</v>
      </c>
      <c r="P885" s="6">
        <v>547.84699999999998</v>
      </c>
      <c r="Q885" s="6">
        <v>345</v>
      </c>
      <c r="R885" s="6">
        <v>310.5</v>
      </c>
      <c r="S885" s="6">
        <v>0</v>
      </c>
      <c r="T885" s="6">
        <v>112.852</v>
      </c>
      <c r="U885" s="6">
        <v>677.149</v>
      </c>
      <c r="V885" s="6">
        <v>2506.3780000000002</v>
      </c>
      <c r="W885" s="6">
        <v>31342.195</v>
      </c>
      <c r="X885" s="6">
        <v>70411.042000000001</v>
      </c>
      <c r="Y885" s="6">
        <v>78460.554999999993</v>
      </c>
      <c r="Z885" s="6">
        <v>68554.452000000005</v>
      </c>
      <c r="AA885" s="6">
        <v>27880.137999999999</v>
      </c>
      <c r="AB885" s="6">
        <v>46044.097000000002</v>
      </c>
      <c r="AC885" s="6">
        <v>20837.554</v>
      </c>
      <c r="AD885" s="6">
        <v>14641.880999999999</v>
      </c>
      <c r="AE885" s="6">
        <v>19268.414000000001</v>
      </c>
      <c r="AF885" s="6">
        <v>18941.512999999999</v>
      </c>
      <c r="AG885" s="6">
        <v>20651.273000000001</v>
      </c>
      <c r="AH885" s="6">
        <v>34353.108</v>
      </c>
      <c r="AI885" s="6">
        <v>50404.951999999997</v>
      </c>
      <c r="AJ885" s="6">
        <v>87536.876999999993</v>
      </c>
      <c r="AK885" s="6">
        <v>137232.924</v>
      </c>
      <c r="AL885" s="6">
        <v>120096.467</v>
      </c>
      <c r="AM885" s="6">
        <v>179537.41</v>
      </c>
      <c r="AN885" s="6">
        <v>291506.85800000001</v>
      </c>
      <c r="AO885" s="6">
        <v>130271.181</v>
      </c>
      <c r="AP885" s="6">
        <v>69911.928</v>
      </c>
      <c r="AQ885" s="6">
        <v>33341.474999999999</v>
      </c>
      <c r="AR885" s="6">
        <v>23553.437000000002</v>
      </c>
      <c r="AS885" s="6">
        <v>8681.0139999999992</v>
      </c>
      <c r="AT885" s="6">
        <v>8681.0139999999992</v>
      </c>
    </row>
    <row r="886" spans="1:46" x14ac:dyDescent="0.25">
      <c r="A886" s="4" t="s">
        <v>194</v>
      </c>
      <c r="B886" s="4" t="s">
        <v>207</v>
      </c>
      <c r="C886" s="4" t="s">
        <v>246</v>
      </c>
      <c r="D886" s="4" t="s">
        <v>247</v>
      </c>
      <c r="E886" s="4" t="s">
        <v>248</v>
      </c>
      <c r="F886" s="4" t="s">
        <v>202</v>
      </c>
      <c r="G886" s="4" t="s">
        <v>116</v>
      </c>
      <c r="H886" s="4" t="s">
        <v>249</v>
      </c>
      <c r="I886" s="7">
        <v>0</v>
      </c>
      <c r="J886" s="7">
        <v>3.0000000000000001E-3</v>
      </c>
      <c r="K886" s="7">
        <v>0.01</v>
      </c>
      <c r="L886" s="7">
        <v>1.0999999999999999E-2</v>
      </c>
      <c r="M886" s="7">
        <v>7.5999999999999998E-2</v>
      </c>
      <c r="N886" s="7">
        <v>4.3999999999999997E-2</v>
      </c>
      <c r="O886" s="7">
        <v>8.9999999999999993E-3</v>
      </c>
      <c r="P886" s="7">
        <v>1E-3</v>
      </c>
      <c r="Q886" s="7">
        <v>1E-3</v>
      </c>
      <c r="R886" s="7">
        <v>1E-3</v>
      </c>
      <c r="S886" s="7">
        <v>0</v>
      </c>
      <c r="T886" s="7">
        <v>0</v>
      </c>
      <c r="U886" s="7">
        <v>2E-3</v>
      </c>
      <c r="V886" s="7">
        <v>4.0000000000000001E-3</v>
      </c>
      <c r="W886" s="7">
        <v>6.2E-2</v>
      </c>
      <c r="X886" s="7">
        <v>0.113</v>
      </c>
      <c r="Y886" s="7">
        <v>0.108</v>
      </c>
      <c r="Z886" s="7">
        <v>0.10100000000000001</v>
      </c>
      <c r="AA886" s="7">
        <v>0.03</v>
      </c>
      <c r="AB886" s="7">
        <v>7.0000000000000007E-2</v>
      </c>
      <c r="AC886" s="7">
        <v>3.5000000000000003E-2</v>
      </c>
      <c r="AD886" s="7">
        <v>0.03</v>
      </c>
      <c r="AE886" s="7">
        <v>4.9000000000000002E-2</v>
      </c>
      <c r="AF886" s="7">
        <v>0.06</v>
      </c>
      <c r="AG886" s="7">
        <v>6.0999999999999999E-2</v>
      </c>
      <c r="AH886" s="7">
        <v>7.3999999999999996E-2</v>
      </c>
      <c r="AI886" s="7">
        <v>0.09</v>
      </c>
      <c r="AJ886" s="7">
        <v>8.5999999999999993E-2</v>
      </c>
      <c r="AK886" s="7">
        <v>0.109</v>
      </c>
      <c r="AL886" s="7">
        <v>9.5000000000000001E-2</v>
      </c>
      <c r="AM886" s="7">
        <v>0.11899999999999999</v>
      </c>
      <c r="AN886" s="7">
        <v>0.22700000000000001</v>
      </c>
      <c r="AO886" s="7">
        <v>0.18</v>
      </c>
      <c r="AP886" s="7">
        <v>0.114</v>
      </c>
      <c r="AQ886" s="7">
        <v>6.8000000000000005E-2</v>
      </c>
      <c r="AR886" s="7">
        <v>7.0999999999999994E-2</v>
      </c>
      <c r="AS886" s="7">
        <v>0.03</v>
      </c>
      <c r="AT886" s="7">
        <v>8.9999999999999993E-3</v>
      </c>
    </row>
    <row r="887" spans="1:46" x14ac:dyDescent="0.25">
      <c r="A887" s="4" t="s">
        <v>194</v>
      </c>
      <c r="B887" s="4" t="s">
        <v>207</v>
      </c>
      <c r="C887" s="4" t="s">
        <v>246</v>
      </c>
      <c r="D887" s="4" t="s">
        <v>247</v>
      </c>
      <c r="E887" s="4" t="s">
        <v>248</v>
      </c>
      <c r="F887" s="4" t="s">
        <v>202</v>
      </c>
      <c r="G887" s="4" t="s">
        <v>116</v>
      </c>
      <c r="H887" s="4" t="s">
        <v>250</v>
      </c>
      <c r="I887" s="7">
        <v>1.1890000000000001</v>
      </c>
      <c r="J887" s="7">
        <v>1.321</v>
      </c>
      <c r="K887" s="7">
        <v>1.7210000000000001</v>
      </c>
      <c r="L887" s="7">
        <v>2.2109999999999999</v>
      </c>
      <c r="M887" s="7">
        <v>7.351</v>
      </c>
      <c r="N887" s="7">
        <v>6.274</v>
      </c>
      <c r="O887" s="7">
        <v>3.2429999999999999</v>
      </c>
      <c r="P887" s="7">
        <v>1.667</v>
      </c>
      <c r="Q887" s="7">
        <v>2.25</v>
      </c>
      <c r="R887" s="7">
        <v>2.298</v>
      </c>
      <c r="S887" s="7">
        <v>2.2189999999999999</v>
      </c>
      <c r="T887" s="7">
        <v>1.839</v>
      </c>
      <c r="U887" s="7">
        <v>1.7669999999999999</v>
      </c>
      <c r="V887" s="7">
        <v>3.13</v>
      </c>
      <c r="W887" s="7">
        <v>10.694000000000001</v>
      </c>
      <c r="X887" s="7">
        <v>13.010999999999999</v>
      </c>
      <c r="Y887" s="7">
        <v>13.811</v>
      </c>
      <c r="Z887" s="7">
        <v>13.161</v>
      </c>
      <c r="AA887" s="7">
        <v>8.7249999999999996</v>
      </c>
      <c r="AB887" s="7">
        <v>7.9950000000000001</v>
      </c>
      <c r="AC887" s="7">
        <v>4.8689999999999998</v>
      </c>
      <c r="AD887" s="7">
        <v>5.2229999999999999</v>
      </c>
      <c r="AE887" s="7">
        <v>6.1070000000000002</v>
      </c>
      <c r="AF887" s="7">
        <v>3.9140000000000001</v>
      </c>
      <c r="AG887" s="7">
        <v>4.343</v>
      </c>
      <c r="AH887" s="7">
        <v>5.1150000000000002</v>
      </c>
      <c r="AI887" s="7">
        <v>5.944</v>
      </c>
      <c r="AJ887" s="7">
        <v>9.6999999999999993</v>
      </c>
      <c r="AK887" s="7">
        <v>10.757999999999999</v>
      </c>
      <c r="AL887" s="7">
        <v>7.91</v>
      </c>
      <c r="AM887" s="7">
        <v>7.7610000000000001</v>
      </c>
      <c r="AN887" s="7">
        <v>14.172000000000001</v>
      </c>
      <c r="AO887" s="7">
        <v>10.917999999999999</v>
      </c>
      <c r="AP887" s="7">
        <v>6.1790000000000003</v>
      </c>
      <c r="AQ887" s="7">
        <v>5.3929999999999998</v>
      </c>
      <c r="AR887" s="7">
        <v>2.508</v>
      </c>
      <c r="AS887" s="7">
        <v>1.6519999999999999</v>
      </c>
      <c r="AT887" s="5">
        <v>105.91200000000001</v>
      </c>
    </row>
    <row r="888" spans="1:46" x14ac:dyDescent="0.25">
      <c r="A888" s="4" t="s">
        <v>194</v>
      </c>
      <c r="B888" s="4" t="s">
        <v>207</v>
      </c>
      <c r="C888" s="4" t="s">
        <v>246</v>
      </c>
      <c r="D888" s="4" t="s">
        <v>247</v>
      </c>
      <c r="E888" s="4" t="s">
        <v>248</v>
      </c>
      <c r="F888" s="4" t="s">
        <v>202</v>
      </c>
      <c r="G888" s="4" t="s">
        <v>116</v>
      </c>
      <c r="H888" s="4" t="s">
        <v>251</v>
      </c>
      <c r="I888" s="7">
        <v>0.99153939999999996</v>
      </c>
      <c r="J888" s="7">
        <v>1.0655281000000001</v>
      </c>
      <c r="K888" s="7">
        <v>1.1400935999999999</v>
      </c>
      <c r="L888" s="7">
        <v>1.1539313</v>
      </c>
      <c r="M888" s="7">
        <v>2.3479646000000001</v>
      </c>
      <c r="N888" s="7">
        <v>2.3577450999999998</v>
      </c>
      <c r="O888" s="7">
        <v>1.3055601999999999</v>
      </c>
      <c r="P888" s="7">
        <v>1.0635922</v>
      </c>
      <c r="Q888" s="7">
        <v>1.1711406</v>
      </c>
      <c r="R888" s="7">
        <v>1.1712024000000001</v>
      </c>
      <c r="S888" s="7">
        <v>1.1335055000000001</v>
      </c>
      <c r="T888" s="7">
        <v>1.0834767999999999</v>
      </c>
      <c r="U888" s="7">
        <v>1.2081884000000001</v>
      </c>
      <c r="V888" s="7">
        <v>2.0531738000000002</v>
      </c>
      <c r="W888" s="7">
        <v>4.3148352000000001</v>
      </c>
      <c r="X888" s="7">
        <v>4.4226279000000002</v>
      </c>
      <c r="Y888" s="7">
        <v>4.3224685999999997</v>
      </c>
      <c r="Z888" s="7">
        <v>4.9081187999999996</v>
      </c>
      <c r="AA888" s="7">
        <v>3.6634787000000002</v>
      </c>
      <c r="AB888" s="7">
        <v>2.991241</v>
      </c>
      <c r="AC888" s="7">
        <v>1.9731552999999999</v>
      </c>
      <c r="AD888" s="7">
        <v>1.6869452</v>
      </c>
      <c r="AE888" s="7">
        <v>1.6855494</v>
      </c>
      <c r="AF888" s="7">
        <v>1.7336780000000001</v>
      </c>
      <c r="AG888" s="7">
        <v>1.6533662</v>
      </c>
      <c r="AH888" s="7">
        <v>1.808044</v>
      </c>
      <c r="AI888" s="7">
        <v>2.7876687000000002</v>
      </c>
      <c r="AJ888" s="7">
        <v>3.4650916999999999</v>
      </c>
      <c r="AK888" s="7">
        <v>3.6994302000000001</v>
      </c>
      <c r="AL888" s="7">
        <v>3.3455832999999999</v>
      </c>
      <c r="AM888" s="7">
        <v>2.5509279999999999</v>
      </c>
      <c r="AN888" s="7">
        <v>4.4793982999999997</v>
      </c>
      <c r="AO888" s="7">
        <v>3.7997500999999998</v>
      </c>
      <c r="AP888" s="7">
        <v>2.7345812999999999</v>
      </c>
      <c r="AQ888" s="7">
        <v>1.9257025000000001</v>
      </c>
      <c r="AR888" s="7">
        <v>1.9117917</v>
      </c>
      <c r="AS888" s="7">
        <v>1.9904389</v>
      </c>
      <c r="AT888" s="7">
        <v>1.6519999999999999</v>
      </c>
    </row>
    <row r="889" spans="1:46" x14ac:dyDescent="0.25">
      <c r="A889" s="4" t="s">
        <v>194</v>
      </c>
      <c r="B889" s="4" t="s">
        <v>207</v>
      </c>
      <c r="C889" s="4" t="s">
        <v>246</v>
      </c>
      <c r="D889" s="4" t="s">
        <v>247</v>
      </c>
      <c r="E889" s="4" t="s">
        <v>248</v>
      </c>
      <c r="F889" s="4" t="s">
        <v>202</v>
      </c>
      <c r="G889" s="4" t="s">
        <v>116</v>
      </c>
      <c r="H889" s="4" t="s">
        <v>252</v>
      </c>
      <c r="I889" s="16">
        <v>1.0999999999999999E-2</v>
      </c>
      <c r="J889" s="16">
        <v>1.0999999999999999E-2</v>
      </c>
      <c r="K889" s="16">
        <v>1.2E-2</v>
      </c>
      <c r="L889" s="16">
        <v>8.0000000000000002E-3</v>
      </c>
      <c r="M889" s="16">
        <v>3.5000000000000003E-2</v>
      </c>
      <c r="N889" s="16">
        <v>0.01</v>
      </c>
      <c r="O889" s="16">
        <v>1.0999999999999999E-2</v>
      </c>
      <c r="P889" s="16">
        <v>1.0999999999999999E-2</v>
      </c>
      <c r="Q889" s="16">
        <v>1.4E-2</v>
      </c>
      <c r="R889" s="16">
        <v>1.2999999999999999E-2</v>
      </c>
      <c r="S889" s="16">
        <v>1.2999999999999999E-2</v>
      </c>
      <c r="T889" s="16">
        <v>1.2E-2</v>
      </c>
      <c r="U889" s="16">
        <v>1.2E-2</v>
      </c>
      <c r="V889" s="16">
        <v>8.1000000000000003E-2</v>
      </c>
      <c r="W889" s="16">
        <v>7.1999999999999995E-2</v>
      </c>
      <c r="X889" s="16">
        <v>4.4999999999999998E-2</v>
      </c>
      <c r="Y889" s="16">
        <v>2.8000000000000001E-2</v>
      </c>
      <c r="Z889" s="16">
        <v>2.9000000000000001E-2</v>
      </c>
      <c r="AA889" s="16">
        <v>4.7E-2</v>
      </c>
      <c r="AB889" s="16">
        <v>8.9999999999999993E-3</v>
      </c>
      <c r="AC889" s="16">
        <v>0.01</v>
      </c>
      <c r="AD889" s="16">
        <v>0.01</v>
      </c>
      <c r="AE889" s="16">
        <v>0.01</v>
      </c>
      <c r="AF889" s="16">
        <v>1.0999999999999999E-2</v>
      </c>
      <c r="AG889" s="16">
        <v>0.01</v>
      </c>
      <c r="AH889" s="17">
        <v>0</v>
      </c>
      <c r="AI889" s="16">
        <v>0.06</v>
      </c>
      <c r="AJ889" s="16">
        <v>6.4000000000000001E-2</v>
      </c>
      <c r="AK889" s="16">
        <v>0.06</v>
      </c>
      <c r="AL889" s="16">
        <v>4.5999999999999999E-2</v>
      </c>
      <c r="AM889" s="16">
        <v>4.7E-2</v>
      </c>
      <c r="AN889" s="16">
        <v>8.5000000000000006E-2</v>
      </c>
      <c r="AO889" s="16">
        <v>5.7000000000000002E-2</v>
      </c>
      <c r="AP889" s="16">
        <v>4.1000000000000002E-2</v>
      </c>
      <c r="AQ889" s="16">
        <v>4.2000000000000003E-2</v>
      </c>
      <c r="AR889" s="16">
        <v>4.2000000000000003E-2</v>
      </c>
      <c r="AS889" s="16">
        <v>5.0999999999999997E-2</v>
      </c>
      <c r="AT889" s="7">
        <v>1.9904389</v>
      </c>
    </row>
    <row r="890" spans="1:46" x14ac:dyDescent="0.25">
      <c r="A890" s="4" t="s">
        <v>194</v>
      </c>
      <c r="B890" s="4" t="s">
        <v>207</v>
      </c>
      <c r="C890" s="4" t="s">
        <v>246</v>
      </c>
      <c r="D890" s="4" t="s">
        <v>247</v>
      </c>
      <c r="E890" s="4" t="s">
        <v>248</v>
      </c>
      <c r="F890" s="4" t="s">
        <v>202</v>
      </c>
      <c r="G890" s="4" t="s">
        <v>103</v>
      </c>
      <c r="H890" s="4" t="s">
        <v>151</v>
      </c>
      <c r="I890" s="5">
        <v>1182.133</v>
      </c>
      <c r="J890" s="5">
        <v>2113.143</v>
      </c>
      <c r="K890" s="5">
        <v>3224.8969999999999</v>
      </c>
      <c r="L890" s="5">
        <v>4489.0209999999997</v>
      </c>
      <c r="M890" s="5">
        <v>6775.3789999999999</v>
      </c>
      <c r="N890" s="5">
        <v>7608.7439999999997</v>
      </c>
      <c r="O890" s="5">
        <v>5730.866</v>
      </c>
      <c r="P890" s="5">
        <v>4013.067</v>
      </c>
      <c r="Q890" s="5">
        <v>2663.2150000000001</v>
      </c>
      <c r="R890" s="5">
        <v>1697.241</v>
      </c>
      <c r="S890" s="5">
        <v>1325.528</v>
      </c>
      <c r="T890" s="5">
        <v>1145.2750000000001</v>
      </c>
      <c r="U890" s="5">
        <v>1205.5899999999999</v>
      </c>
      <c r="V890" s="5">
        <v>1191.923</v>
      </c>
      <c r="W890" s="5">
        <v>2193.759</v>
      </c>
      <c r="X890" s="5">
        <v>3948.6379999999999</v>
      </c>
      <c r="Y890" s="5">
        <v>5721.5569999999998</v>
      </c>
      <c r="Z890" s="5">
        <v>5330.7820000000002</v>
      </c>
      <c r="AA890" s="5">
        <v>5684.7849999999999</v>
      </c>
      <c r="AB890" s="5">
        <v>4245.9830000000002</v>
      </c>
      <c r="AC890" s="5">
        <v>3448.288</v>
      </c>
      <c r="AD890" s="5">
        <v>2562.7919999999999</v>
      </c>
      <c r="AE890" s="5">
        <v>2265.777</v>
      </c>
      <c r="AF890" s="5">
        <v>1292.3520000000001</v>
      </c>
      <c r="AG890" s="5">
        <v>1329.71</v>
      </c>
      <c r="AH890" s="5">
        <v>2142.9270000000001</v>
      </c>
      <c r="AI890" s="5">
        <v>3289.049</v>
      </c>
      <c r="AJ890" s="5">
        <v>7316.8590000000004</v>
      </c>
      <c r="AK890" s="5">
        <v>10905.1</v>
      </c>
      <c r="AL890" s="5">
        <v>13112.124</v>
      </c>
      <c r="AM890" s="5">
        <v>16430.600999999999</v>
      </c>
      <c r="AN890" s="5">
        <v>18801.814999999999</v>
      </c>
      <c r="AO890" s="5">
        <v>9939.3379999999997</v>
      </c>
      <c r="AP890" s="5">
        <v>5086.8130000000001</v>
      </c>
      <c r="AQ890" s="5">
        <v>3113.3649999999998</v>
      </c>
      <c r="AR890" s="5">
        <v>1832.3520000000001</v>
      </c>
      <c r="AS890" s="5">
        <v>1249.1220000000001</v>
      </c>
      <c r="AT890" s="5">
        <v>1249.1220000000001</v>
      </c>
    </row>
    <row r="891" spans="1:46" x14ac:dyDescent="0.25">
      <c r="A891" s="4" t="s">
        <v>194</v>
      </c>
      <c r="B891" s="4" t="s">
        <v>207</v>
      </c>
      <c r="C891" s="4" t="s">
        <v>246</v>
      </c>
      <c r="D891" s="4" t="s">
        <v>247</v>
      </c>
      <c r="E891" s="4" t="s">
        <v>248</v>
      </c>
      <c r="F891" s="4" t="s">
        <v>202</v>
      </c>
      <c r="G891" s="4" t="s">
        <v>103</v>
      </c>
      <c r="H891" s="4" t="s">
        <v>205</v>
      </c>
      <c r="I891" s="6">
        <v>165441.584</v>
      </c>
      <c r="J891" s="6">
        <v>289002.04399999999</v>
      </c>
      <c r="K891" s="6">
        <v>419287.17499999999</v>
      </c>
      <c r="L891" s="6">
        <v>612830.34299999999</v>
      </c>
      <c r="M891" s="6">
        <v>1050036.4509999999</v>
      </c>
      <c r="N891" s="6">
        <v>1121356.6240000001</v>
      </c>
      <c r="O891" s="6">
        <v>859032.94</v>
      </c>
      <c r="P891" s="6">
        <v>538154.79299999995</v>
      </c>
      <c r="Q891" s="6">
        <v>361662.41899999999</v>
      </c>
      <c r="R891" s="6">
        <v>240513.39199999999</v>
      </c>
      <c r="S891" s="6">
        <v>184821.12599999999</v>
      </c>
      <c r="T891" s="6">
        <v>145212.36600000001</v>
      </c>
      <c r="U891" s="6">
        <v>155250.51699999999</v>
      </c>
      <c r="V891" s="6">
        <v>167293.652</v>
      </c>
      <c r="W891" s="6">
        <v>362171.67</v>
      </c>
      <c r="X891" s="6">
        <v>665245.88899999997</v>
      </c>
      <c r="Y891" s="6">
        <v>951843.97499999998</v>
      </c>
      <c r="Z891" s="6">
        <v>891574.04799999995</v>
      </c>
      <c r="AA891" s="6">
        <v>945345.93900000001</v>
      </c>
      <c r="AB891" s="6">
        <v>685137.86199999996</v>
      </c>
      <c r="AC891" s="6">
        <v>556991.91099999996</v>
      </c>
      <c r="AD891" s="6">
        <v>401290.45199999999</v>
      </c>
      <c r="AE891" s="6">
        <v>378868.68900000001</v>
      </c>
      <c r="AF891" s="6">
        <v>237802.80600000001</v>
      </c>
      <c r="AG891" s="6">
        <v>223521.24799999999</v>
      </c>
      <c r="AH891" s="6">
        <v>328698.88500000001</v>
      </c>
      <c r="AI891" s="6">
        <v>526330.52599999995</v>
      </c>
      <c r="AJ891" s="6">
        <v>1230071.6040000001</v>
      </c>
      <c r="AK891" s="6">
        <v>1858766.6429999999</v>
      </c>
      <c r="AL891" s="6">
        <v>2253934.074</v>
      </c>
      <c r="AM891" s="6">
        <v>2701358.8879999998</v>
      </c>
      <c r="AN891" s="6">
        <v>3479977.7009999999</v>
      </c>
      <c r="AO891" s="6">
        <v>1741216.7960000001</v>
      </c>
      <c r="AP891" s="6">
        <v>931639.70700000005</v>
      </c>
      <c r="AQ891" s="6">
        <v>507257.93400000001</v>
      </c>
      <c r="AR891" s="6">
        <v>281068.07699999999</v>
      </c>
      <c r="AS891" s="6">
        <v>196818.77600000001</v>
      </c>
      <c r="AT891" s="6">
        <v>196818.77600000001</v>
      </c>
    </row>
    <row r="892" spans="1:46" x14ac:dyDescent="0.25">
      <c r="A892" s="4" t="s">
        <v>194</v>
      </c>
      <c r="B892" s="4" t="s">
        <v>207</v>
      </c>
      <c r="C892" s="4" t="s">
        <v>246</v>
      </c>
      <c r="D892" s="4" t="s">
        <v>247</v>
      </c>
      <c r="E892" s="4" t="s">
        <v>248</v>
      </c>
      <c r="F892" s="4" t="s">
        <v>202</v>
      </c>
      <c r="G892" s="4" t="s">
        <v>103</v>
      </c>
      <c r="H892" s="4" t="s">
        <v>249</v>
      </c>
      <c r="I892" s="7">
        <v>0.45</v>
      </c>
      <c r="J892" s="7">
        <v>0.56699999999999995</v>
      </c>
      <c r="K892" s="7">
        <v>0.69499999999999995</v>
      </c>
      <c r="L892" s="7">
        <v>0.79800000000000004</v>
      </c>
      <c r="M892" s="7">
        <v>1.151</v>
      </c>
      <c r="N892" s="7">
        <v>1.123</v>
      </c>
      <c r="O892" s="7">
        <v>0.96899999999999997</v>
      </c>
      <c r="P892" s="7">
        <v>0.77100000000000002</v>
      </c>
      <c r="Q892" s="7">
        <v>0.72899999999999998</v>
      </c>
      <c r="R892" s="7">
        <v>0.67700000000000005</v>
      </c>
      <c r="S892" s="7">
        <v>0.61599999999999999</v>
      </c>
      <c r="T892" s="7">
        <v>0.53600000000000003</v>
      </c>
      <c r="U892" s="7">
        <v>0.52400000000000002</v>
      </c>
      <c r="V892" s="7">
        <v>0.437</v>
      </c>
      <c r="W892" s="7">
        <v>0.68500000000000005</v>
      </c>
      <c r="X892" s="7">
        <v>0.91</v>
      </c>
      <c r="Y892" s="7">
        <v>1.0509999999999999</v>
      </c>
      <c r="Z892" s="7">
        <v>1.0740000000000001</v>
      </c>
      <c r="AA892" s="7">
        <v>1.01</v>
      </c>
      <c r="AB892" s="7">
        <v>0.93100000000000005</v>
      </c>
      <c r="AC892" s="7">
        <v>0.876</v>
      </c>
      <c r="AD892" s="7">
        <v>0.71899999999999997</v>
      </c>
      <c r="AE892" s="7">
        <v>0.80500000000000005</v>
      </c>
      <c r="AF892" s="7">
        <v>0.68200000000000005</v>
      </c>
      <c r="AG892" s="7">
        <v>0.60699999999999998</v>
      </c>
      <c r="AH892" s="7">
        <v>0.72099999999999997</v>
      </c>
      <c r="AI892" s="7">
        <v>0.84799999999999998</v>
      </c>
      <c r="AJ892" s="7">
        <v>1.3420000000000001</v>
      </c>
      <c r="AK892" s="7">
        <v>1.673</v>
      </c>
      <c r="AL892" s="7">
        <v>1.75</v>
      </c>
      <c r="AM892" s="7">
        <v>1.8540000000000001</v>
      </c>
      <c r="AN892" s="7">
        <v>2.4550000000000001</v>
      </c>
      <c r="AO892" s="7">
        <v>1.7270000000000001</v>
      </c>
      <c r="AP892" s="7">
        <v>1.1439999999999999</v>
      </c>
      <c r="AQ892" s="7">
        <v>0.86699999999999999</v>
      </c>
      <c r="AR892" s="7">
        <v>0.71199999999999997</v>
      </c>
      <c r="AS892" s="7">
        <v>0.55500000000000005</v>
      </c>
      <c r="AT892" s="7">
        <v>0.52100000000000002</v>
      </c>
    </row>
    <row r="893" spans="1:46" x14ac:dyDescent="0.25">
      <c r="A893" s="4" t="s">
        <v>194</v>
      </c>
      <c r="B893" s="4" t="s">
        <v>207</v>
      </c>
      <c r="C893" s="4" t="s">
        <v>246</v>
      </c>
      <c r="D893" s="4" t="s">
        <v>247</v>
      </c>
      <c r="E893" s="4" t="s">
        <v>248</v>
      </c>
      <c r="F893" s="4" t="s">
        <v>202</v>
      </c>
      <c r="G893" s="4" t="s">
        <v>103</v>
      </c>
      <c r="H893" s="4" t="s">
        <v>250</v>
      </c>
      <c r="I893" s="7">
        <v>79.412000000000006</v>
      </c>
      <c r="J893" s="7">
        <v>80.260000000000005</v>
      </c>
      <c r="K893" s="7">
        <v>83.033000000000001</v>
      </c>
      <c r="L893" s="7">
        <v>80.974999999999994</v>
      </c>
      <c r="M893" s="7">
        <v>76.019000000000005</v>
      </c>
      <c r="N893" s="7">
        <v>77.731999999999999</v>
      </c>
      <c r="O893" s="7">
        <v>78.158000000000001</v>
      </c>
      <c r="P893" s="7">
        <v>77.165000000000006</v>
      </c>
      <c r="Q893" s="7">
        <v>76.031000000000006</v>
      </c>
      <c r="R893" s="7">
        <v>74.623000000000005</v>
      </c>
      <c r="S893" s="7">
        <v>75.682000000000002</v>
      </c>
      <c r="T893" s="7">
        <v>72.816999999999993</v>
      </c>
      <c r="U893" s="7">
        <v>71.933999999999997</v>
      </c>
      <c r="V893" s="7">
        <v>73.486000000000004</v>
      </c>
      <c r="W893" s="7">
        <v>75.213999999999999</v>
      </c>
      <c r="X893" s="7">
        <v>76.113</v>
      </c>
      <c r="Y893" s="7">
        <v>81.593000000000004</v>
      </c>
      <c r="Z893" s="7">
        <v>78.350999999999999</v>
      </c>
      <c r="AA893" s="7">
        <v>77.795000000000002</v>
      </c>
      <c r="AB893" s="7">
        <v>71.308000000000007</v>
      </c>
      <c r="AC893" s="7">
        <v>69.638000000000005</v>
      </c>
      <c r="AD893" s="7">
        <v>62.622999999999998</v>
      </c>
      <c r="AE893" s="7">
        <v>63.869</v>
      </c>
      <c r="AF893" s="7">
        <v>61.777999999999999</v>
      </c>
      <c r="AG893" s="7">
        <v>64.95</v>
      </c>
      <c r="AH893" s="7">
        <v>66.37</v>
      </c>
      <c r="AI893" s="7">
        <v>72.909000000000006</v>
      </c>
      <c r="AJ893" s="7">
        <v>75.076999999999998</v>
      </c>
      <c r="AK893" s="7">
        <v>86.486000000000004</v>
      </c>
      <c r="AL893" s="7">
        <v>84.450999999999993</v>
      </c>
      <c r="AM893" s="7">
        <v>84.034000000000006</v>
      </c>
      <c r="AN893" s="7">
        <v>82.308999999999997</v>
      </c>
      <c r="AO893" s="7">
        <v>68.641999999999996</v>
      </c>
      <c r="AP893" s="7">
        <v>65.367000000000004</v>
      </c>
      <c r="AQ893" s="7">
        <v>60.414000000000001</v>
      </c>
      <c r="AR893" s="7">
        <v>57.863</v>
      </c>
      <c r="AS893" s="7">
        <v>63.265999999999998</v>
      </c>
      <c r="AT893" s="5">
        <v>5765.1970000000001</v>
      </c>
    </row>
    <row r="894" spans="1:46" x14ac:dyDescent="0.25">
      <c r="A894" s="4" t="s">
        <v>194</v>
      </c>
      <c r="B894" s="4" t="s">
        <v>207</v>
      </c>
      <c r="C894" s="4" t="s">
        <v>246</v>
      </c>
      <c r="D894" s="4" t="s">
        <v>247</v>
      </c>
      <c r="E894" s="4" t="s">
        <v>248</v>
      </c>
      <c r="F894" s="4" t="s">
        <v>202</v>
      </c>
      <c r="G894" s="4" t="s">
        <v>103</v>
      </c>
      <c r="H894" s="4" t="s">
        <v>251</v>
      </c>
      <c r="I894" s="7">
        <v>57.240781699999999</v>
      </c>
      <c r="J894" s="7">
        <v>57.681784700000001</v>
      </c>
      <c r="K894" s="7">
        <v>58.798999299999998</v>
      </c>
      <c r="L894" s="7">
        <v>54.106441099999998</v>
      </c>
      <c r="M894" s="7">
        <v>47.732410700000003</v>
      </c>
      <c r="N894" s="7">
        <v>51.657971199999999</v>
      </c>
      <c r="O894" s="7">
        <v>51.568391200000001</v>
      </c>
      <c r="P894" s="7">
        <v>49.377344000000001</v>
      </c>
      <c r="Q894" s="7">
        <v>47.315044200000003</v>
      </c>
      <c r="R894" s="7">
        <v>44.341296499999999</v>
      </c>
      <c r="S894" s="7">
        <v>44.850137500000002</v>
      </c>
      <c r="T894" s="7">
        <v>46.609740299999999</v>
      </c>
      <c r="U894" s="7">
        <v>45.694448299999998</v>
      </c>
      <c r="V894" s="7">
        <v>45.872128500000002</v>
      </c>
      <c r="W894" s="7">
        <v>48.524326100000003</v>
      </c>
      <c r="X894" s="7">
        <v>50.366011399999998</v>
      </c>
      <c r="Y894" s="7">
        <v>53.052192900000001</v>
      </c>
      <c r="Z894" s="7">
        <v>51.832262200000002</v>
      </c>
      <c r="AA894" s="7">
        <v>48.497385600000001</v>
      </c>
      <c r="AB894" s="7">
        <v>46.919275800000001</v>
      </c>
      <c r="AC894" s="7">
        <v>44.398502700000002</v>
      </c>
      <c r="AD894" s="7">
        <v>40.523652200000001</v>
      </c>
      <c r="AE894" s="7">
        <v>40.1975415</v>
      </c>
      <c r="AF894" s="7">
        <v>39.510132400000003</v>
      </c>
      <c r="AG894" s="7">
        <v>42.795293299999997</v>
      </c>
      <c r="AH894" s="7">
        <v>45.931843000000001</v>
      </c>
      <c r="AI894" s="7">
        <v>52.523321799999998</v>
      </c>
      <c r="AJ894" s="7">
        <v>58.157834899999997</v>
      </c>
      <c r="AK894" s="7">
        <v>62.000517299999998</v>
      </c>
      <c r="AL894" s="7">
        <v>61.237024099999999</v>
      </c>
      <c r="AM894" s="7">
        <v>60.8940269</v>
      </c>
      <c r="AN894" s="7">
        <v>59.742946600000003</v>
      </c>
      <c r="AO894" s="7">
        <v>51.626847699999999</v>
      </c>
      <c r="AP894" s="7">
        <v>45.132847599999998</v>
      </c>
      <c r="AQ894" s="7">
        <v>42.552722899999999</v>
      </c>
      <c r="AR894" s="7">
        <v>44.110989600000003</v>
      </c>
      <c r="AS894" s="7">
        <v>47.549514700000003</v>
      </c>
      <c r="AT894" s="7">
        <v>63.265999999999998</v>
      </c>
    </row>
    <row r="895" spans="1:46" x14ac:dyDescent="0.25">
      <c r="A895" s="4" t="s">
        <v>194</v>
      </c>
      <c r="B895" s="4" t="s">
        <v>207</v>
      </c>
      <c r="C895" s="4" t="s">
        <v>246</v>
      </c>
      <c r="D895" s="4" t="s">
        <v>247</v>
      </c>
      <c r="E895" s="4" t="s">
        <v>248</v>
      </c>
      <c r="F895" s="4" t="s">
        <v>202</v>
      </c>
      <c r="G895" s="4" t="s">
        <v>103</v>
      </c>
      <c r="H895" s="4" t="s">
        <v>252</v>
      </c>
      <c r="I895" s="16">
        <v>4.4470000000000001</v>
      </c>
      <c r="J895" s="16">
        <v>3.6720000000000002</v>
      </c>
      <c r="K895" s="16">
        <v>2.919</v>
      </c>
      <c r="L895" s="16">
        <v>2.923</v>
      </c>
      <c r="M895" s="16">
        <v>3.5670000000000002</v>
      </c>
      <c r="N895" s="16">
        <v>3.37</v>
      </c>
      <c r="O895" s="16">
        <v>4.577</v>
      </c>
      <c r="P895" s="16">
        <v>3.8860000000000001</v>
      </c>
      <c r="Q895" s="16">
        <v>4.1040000000000001</v>
      </c>
      <c r="R895" s="16">
        <v>4.4260000000000002</v>
      </c>
      <c r="S895" s="16">
        <v>4.4480000000000004</v>
      </c>
      <c r="T895" s="16">
        <v>4.4269999999999996</v>
      </c>
      <c r="U895" s="16">
        <v>4.2910000000000004</v>
      </c>
      <c r="V895" s="16">
        <v>4.1269999999999998</v>
      </c>
      <c r="W895" s="16">
        <v>5.2460000000000004</v>
      </c>
      <c r="X895" s="16">
        <v>5.2460000000000004</v>
      </c>
      <c r="Y895" s="16">
        <v>4.8280000000000003</v>
      </c>
      <c r="Z895" s="16">
        <v>4.032</v>
      </c>
      <c r="AA895" s="16">
        <v>4.5540000000000003</v>
      </c>
      <c r="AB895" s="16">
        <v>4.63</v>
      </c>
      <c r="AC895" s="16">
        <v>4.1180000000000003</v>
      </c>
      <c r="AD895" s="16">
        <v>4.3330000000000002</v>
      </c>
      <c r="AE895" s="16">
        <v>4.5449999999999999</v>
      </c>
      <c r="AF895" s="16">
        <v>4.6449999999999996</v>
      </c>
      <c r="AG895" s="16">
        <v>4.6150000000000002</v>
      </c>
      <c r="AH895" s="16">
        <v>4.8010000000000002</v>
      </c>
      <c r="AI895" s="16">
        <v>4.4059999999999997</v>
      </c>
      <c r="AJ895" s="16">
        <v>4.5839999999999996</v>
      </c>
      <c r="AK895" s="16">
        <v>4.3470000000000004</v>
      </c>
      <c r="AL895" s="16">
        <v>5.0880000000000001</v>
      </c>
      <c r="AM895" s="16">
        <v>4.6950000000000003</v>
      </c>
      <c r="AN895" s="16">
        <v>3.3370000000000002</v>
      </c>
      <c r="AO895" s="16">
        <v>2.7629999999999999</v>
      </c>
      <c r="AP895" s="16">
        <v>3.016</v>
      </c>
      <c r="AQ895" s="16">
        <v>2.7120000000000002</v>
      </c>
      <c r="AR895" s="16">
        <v>2.6640000000000001</v>
      </c>
      <c r="AS895" s="16">
        <v>2.8029999999999999</v>
      </c>
      <c r="AT895" s="7">
        <v>47.549514700000003</v>
      </c>
    </row>
    <row r="896" spans="1:46" x14ac:dyDescent="0.25">
      <c r="A896" s="4" t="s">
        <v>194</v>
      </c>
      <c r="B896" s="4" t="s">
        <v>207</v>
      </c>
      <c r="C896" s="4" t="s">
        <v>246</v>
      </c>
      <c r="D896" s="4" t="s">
        <v>254</v>
      </c>
      <c r="E896" s="4" t="s">
        <v>255</v>
      </c>
      <c r="F896" s="4" t="s">
        <v>203</v>
      </c>
      <c r="G896" s="4" t="s">
        <v>138</v>
      </c>
      <c r="H896" s="4" t="s">
        <v>151</v>
      </c>
      <c r="I896" s="8">
        <v>0</v>
      </c>
      <c r="J896" s="8">
        <v>0</v>
      </c>
      <c r="K896" s="5">
        <v>1.143</v>
      </c>
      <c r="L896" s="5">
        <v>7.1429999999999998</v>
      </c>
      <c r="M896" s="5">
        <v>1</v>
      </c>
      <c r="N896" s="8">
        <v>0</v>
      </c>
      <c r="O896" s="8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0</v>
      </c>
      <c r="AD896" s="9">
        <v>0</v>
      </c>
      <c r="AE896" s="9">
        <v>0</v>
      </c>
      <c r="AF896" s="9">
        <v>0</v>
      </c>
      <c r="AG896" s="9">
        <v>0</v>
      </c>
      <c r="AH896" s="9">
        <v>0</v>
      </c>
      <c r="AI896" s="9">
        <v>0</v>
      </c>
      <c r="AJ896" s="9">
        <v>0</v>
      </c>
      <c r="AK896" s="9">
        <v>0</v>
      </c>
      <c r="AL896" s="9">
        <v>0</v>
      </c>
      <c r="AM896" s="9">
        <v>0</v>
      </c>
      <c r="AN896" s="9">
        <v>0</v>
      </c>
      <c r="AO896" s="9">
        <v>0</v>
      </c>
      <c r="AP896" s="9">
        <v>0</v>
      </c>
      <c r="AQ896" s="9">
        <v>0</v>
      </c>
      <c r="AR896" s="9">
        <v>0</v>
      </c>
      <c r="AS896" s="9">
        <v>0</v>
      </c>
      <c r="AT896" s="9">
        <v>0</v>
      </c>
    </row>
    <row r="897" spans="1:46" x14ac:dyDescent="0.25">
      <c r="A897" s="4" t="s">
        <v>194</v>
      </c>
      <c r="B897" s="4" t="s">
        <v>207</v>
      </c>
      <c r="C897" s="4" t="s">
        <v>246</v>
      </c>
      <c r="D897" s="4" t="s">
        <v>254</v>
      </c>
      <c r="E897" s="4" t="s">
        <v>255</v>
      </c>
      <c r="F897" s="4" t="s">
        <v>203</v>
      </c>
      <c r="G897" s="4" t="s">
        <v>138</v>
      </c>
      <c r="H897" s="4" t="s">
        <v>205</v>
      </c>
      <c r="I897" s="10">
        <v>0</v>
      </c>
      <c r="J897" s="10">
        <v>0</v>
      </c>
      <c r="K897" s="6">
        <v>305.154</v>
      </c>
      <c r="L897" s="6">
        <v>1907.261</v>
      </c>
      <c r="M897" s="6">
        <v>267</v>
      </c>
      <c r="N897" s="10">
        <v>0</v>
      </c>
      <c r="O897" s="10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9">
        <v>0</v>
      </c>
      <c r="AE897" s="9">
        <v>0</v>
      </c>
      <c r="AF897" s="9">
        <v>0</v>
      </c>
      <c r="AG897" s="9">
        <v>0</v>
      </c>
      <c r="AH897" s="9">
        <v>0</v>
      </c>
      <c r="AI897" s="9">
        <v>0</v>
      </c>
      <c r="AJ897" s="9">
        <v>0</v>
      </c>
      <c r="AK897" s="9">
        <v>0</v>
      </c>
      <c r="AL897" s="9">
        <v>0</v>
      </c>
      <c r="AM897" s="9">
        <v>0</v>
      </c>
      <c r="AN897" s="9">
        <v>0</v>
      </c>
      <c r="AO897" s="9">
        <v>0</v>
      </c>
      <c r="AP897" s="9">
        <v>0</v>
      </c>
      <c r="AQ897" s="9">
        <v>0</v>
      </c>
      <c r="AR897" s="9">
        <v>0</v>
      </c>
      <c r="AS897" s="9">
        <v>0</v>
      </c>
      <c r="AT897" s="9">
        <v>0</v>
      </c>
    </row>
    <row r="898" spans="1:46" x14ac:dyDescent="0.25">
      <c r="A898" s="4" t="s">
        <v>194</v>
      </c>
      <c r="B898" s="4" t="s">
        <v>207</v>
      </c>
      <c r="C898" s="4" t="s">
        <v>246</v>
      </c>
      <c r="D898" s="4" t="s">
        <v>254</v>
      </c>
      <c r="E898" s="4" t="s">
        <v>255</v>
      </c>
      <c r="F898" s="4" t="s">
        <v>203</v>
      </c>
      <c r="G898" s="4" t="s">
        <v>138</v>
      </c>
      <c r="H898" s="4" t="s">
        <v>249</v>
      </c>
      <c r="I898" s="11">
        <v>0</v>
      </c>
      <c r="J898" s="11">
        <v>0</v>
      </c>
      <c r="K898" s="7">
        <v>0</v>
      </c>
      <c r="L898" s="7">
        <v>0</v>
      </c>
      <c r="M898" s="7">
        <v>0</v>
      </c>
      <c r="N898" s="11">
        <v>0</v>
      </c>
      <c r="O898" s="11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0</v>
      </c>
      <c r="AH898" s="9">
        <v>0</v>
      </c>
      <c r="AI898" s="9">
        <v>0</v>
      </c>
      <c r="AJ898" s="9">
        <v>0</v>
      </c>
      <c r="AK898" s="9">
        <v>0</v>
      </c>
      <c r="AL898" s="9">
        <v>0</v>
      </c>
      <c r="AM898" s="9">
        <v>0</v>
      </c>
      <c r="AN898" s="9">
        <v>0</v>
      </c>
      <c r="AO898" s="9">
        <v>0</v>
      </c>
      <c r="AP898" s="9">
        <v>0</v>
      </c>
      <c r="AQ898" s="9">
        <v>0</v>
      </c>
      <c r="AR898" s="9">
        <v>0</v>
      </c>
      <c r="AS898" s="9">
        <v>0</v>
      </c>
      <c r="AT898" s="9">
        <v>0</v>
      </c>
    </row>
    <row r="899" spans="1:46" x14ac:dyDescent="0.25">
      <c r="A899" s="4" t="s">
        <v>194</v>
      </c>
      <c r="B899" s="4" t="s">
        <v>207</v>
      </c>
      <c r="C899" s="4" t="s">
        <v>246</v>
      </c>
      <c r="D899" s="4" t="s">
        <v>254</v>
      </c>
      <c r="E899" s="4" t="s">
        <v>255</v>
      </c>
      <c r="F899" s="4" t="s">
        <v>203</v>
      </c>
      <c r="G899" s="4" t="s">
        <v>138</v>
      </c>
      <c r="H899" s="4" t="s">
        <v>250</v>
      </c>
      <c r="I899" s="11">
        <v>0</v>
      </c>
      <c r="J899" s="11">
        <v>0</v>
      </c>
      <c r="K899" s="7">
        <v>2.5999999999999999E-2</v>
      </c>
      <c r="L899" s="7">
        <v>0.20799999999999999</v>
      </c>
      <c r="M899" s="7">
        <v>0.03</v>
      </c>
      <c r="N899" s="11">
        <v>0</v>
      </c>
      <c r="O899" s="11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9">
        <v>0</v>
      </c>
      <c r="AE899" s="9">
        <v>0</v>
      </c>
      <c r="AF899" s="9">
        <v>0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9">
        <v>0</v>
      </c>
      <c r="AO899" s="9">
        <v>0</v>
      </c>
      <c r="AP899" s="9">
        <v>0</v>
      </c>
      <c r="AQ899" s="9">
        <v>0</v>
      </c>
      <c r="AR899" s="9">
        <v>0</v>
      </c>
      <c r="AS899" s="9">
        <v>0</v>
      </c>
      <c r="AT899" s="9">
        <v>0</v>
      </c>
    </row>
    <row r="900" spans="1:46" x14ac:dyDescent="0.25">
      <c r="A900" s="4" t="s">
        <v>194</v>
      </c>
      <c r="B900" s="4" t="s">
        <v>207</v>
      </c>
      <c r="C900" s="4" t="s">
        <v>246</v>
      </c>
      <c r="D900" s="4" t="s">
        <v>254</v>
      </c>
      <c r="E900" s="4" t="s">
        <v>255</v>
      </c>
      <c r="F900" s="4" t="s">
        <v>203</v>
      </c>
      <c r="G900" s="4" t="s">
        <v>138</v>
      </c>
      <c r="H900" s="4" t="s">
        <v>251</v>
      </c>
      <c r="I900" s="7">
        <v>0</v>
      </c>
      <c r="J900" s="7">
        <v>0</v>
      </c>
      <c r="K900" s="7">
        <v>3.7380099999999999E-2</v>
      </c>
      <c r="L900" s="7">
        <v>0.20056270000000001</v>
      </c>
      <c r="M900" s="7">
        <v>3.7540999999999998E-2</v>
      </c>
      <c r="N900" s="7">
        <v>0</v>
      </c>
      <c r="O900" s="7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9">
        <v>0</v>
      </c>
      <c r="AD900" s="9">
        <v>0</v>
      </c>
      <c r="AE900" s="9">
        <v>0</v>
      </c>
      <c r="AF900" s="9">
        <v>0</v>
      </c>
      <c r="AG900" s="9">
        <v>0</v>
      </c>
      <c r="AH900" s="9">
        <v>0</v>
      </c>
      <c r="AI900" s="9">
        <v>0</v>
      </c>
      <c r="AJ900" s="9">
        <v>0</v>
      </c>
      <c r="AK900" s="9">
        <v>0</v>
      </c>
      <c r="AL900" s="9">
        <v>0</v>
      </c>
      <c r="AM900" s="9">
        <v>0</v>
      </c>
      <c r="AN900" s="9">
        <v>0</v>
      </c>
      <c r="AO900" s="9">
        <v>0</v>
      </c>
      <c r="AP900" s="9">
        <v>0</v>
      </c>
      <c r="AQ900" s="9">
        <v>0</v>
      </c>
      <c r="AR900" s="9">
        <v>0</v>
      </c>
      <c r="AS900" s="9">
        <v>0</v>
      </c>
      <c r="AT900" s="9">
        <v>0</v>
      </c>
    </row>
    <row r="901" spans="1:46" x14ac:dyDescent="0.25">
      <c r="A901" s="4" t="s">
        <v>194</v>
      </c>
      <c r="B901" s="4" t="s">
        <v>207</v>
      </c>
      <c r="C901" s="4" t="s">
        <v>246</v>
      </c>
      <c r="D901" s="4" t="s">
        <v>254</v>
      </c>
      <c r="E901" s="4" t="s">
        <v>255</v>
      </c>
      <c r="F901" s="4" t="s">
        <v>203</v>
      </c>
      <c r="G901" s="4" t="s">
        <v>138</v>
      </c>
      <c r="H901" s="4" t="s">
        <v>252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0</v>
      </c>
      <c r="AH901" s="9">
        <v>0</v>
      </c>
      <c r="AI901" s="9">
        <v>0</v>
      </c>
      <c r="AJ901" s="9">
        <v>0</v>
      </c>
      <c r="AK901" s="9">
        <v>0</v>
      </c>
      <c r="AL901" s="9">
        <v>0</v>
      </c>
      <c r="AM901" s="9">
        <v>0</v>
      </c>
      <c r="AN901" s="9">
        <v>0</v>
      </c>
      <c r="AO901" s="9">
        <v>0</v>
      </c>
      <c r="AP901" s="9">
        <v>0</v>
      </c>
      <c r="AQ901" s="9">
        <v>0</v>
      </c>
      <c r="AR901" s="9">
        <v>0</v>
      </c>
      <c r="AS901" s="9">
        <v>0</v>
      </c>
      <c r="AT901" s="9">
        <v>0</v>
      </c>
    </row>
    <row r="902" spans="1:46" x14ac:dyDescent="0.25">
      <c r="A902" s="4" t="s">
        <v>194</v>
      </c>
      <c r="B902" s="4" t="s">
        <v>207</v>
      </c>
      <c r="C902" s="4" t="s">
        <v>246</v>
      </c>
      <c r="D902" s="4" t="s">
        <v>254</v>
      </c>
      <c r="E902" s="4" t="s">
        <v>255</v>
      </c>
      <c r="F902" s="4" t="s">
        <v>195</v>
      </c>
      <c r="G902" s="4" t="s">
        <v>93</v>
      </c>
      <c r="H902" s="4" t="s">
        <v>151</v>
      </c>
      <c r="I902" s="5">
        <v>3511.4279999999999</v>
      </c>
      <c r="J902" s="5">
        <v>4276.0559999999996</v>
      </c>
      <c r="K902" s="5">
        <v>5410.3360000000002</v>
      </c>
      <c r="L902" s="5">
        <v>6400.3320000000003</v>
      </c>
      <c r="M902" s="5">
        <v>8646.7990000000009</v>
      </c>
      <c r="N902" s="5">
        <v>8241.6059999999998</v>
      </c>
      <c r="O902" s="5">
        <v>6669.8559999999998</v>
      </c>
      <c r="P902" s="5">
        <v>4831.42</v>
      </c>
      <c r="Q902" s="5">
        <v>4270.8010000000004</v>
      </c>
      <c r="R902" s="5">
        <v>3246.8670000000002</v>
      </c>
      <c r="S902" s="5">
        <v>2234.5509999999999</v>
      </c>
      <c r="T902" s="5">
        <v>2369.623</v>
      </c>
      <c r="U902" s="5">
        <v>2175.7280000000001</v>
      </c>
      <c r="V902" s="5">
        <v>4037.5929999999998</v>
      </c>
      <c r="W902" s="5">
        <v>5320.335</v>
      </c>
      <c r="X902" s="5">
        <v>5402.616</v>
      </c>
      <c r="Y902" s="5">
        <v>6965.4229999999998</v>
      </c>
      <c r="Z902" s="5">
        <v>5307.0640000000003</v>
      </c>
      <c r="AA902" s="5">
        <v>5444.2430000000004</v>
      </c>
      <c r="AB902" s="5">
        <v>3949.9340000000002</v>
      </c>
      <c r="AC902" s="5">
        <v>3656.694</v>
      </c>
      <c r="AD902" s="5">
        <v>2834.6959999999999</v>
      </c>
      <c r="AE902" s="5">
        <v>2561.5100000000002</v>
      </c>
      <c r="AF902" s="5">
        <v>1870.864</v>
      </c>
      <c r="AG902" s="5">
        <v>2621.777</v>
      </c>
      <c r="AH902" s="5">
        <v>2408.0709999999999</v>
      </c>
      <c r="AI902" s="5">
        <v>4316.6279999999997</v>
      </c>
      <c r="AJ902" s="5">
        <v>5250.3119999999999</v>
      </c>
      <c r="AK902" s="5">
        <v>6876.768</v>
      </c>
      <c r="AL902" s="5">
        <v>6917.1279999999997</v>
      </c>
      <c r="AM902" s="5">
        <v>8302.9120000000003</v>
      </c>
      <c r="AN902" s="5">
        <v>6790.0550000000003</v>
      </c>
      <c r="AO902" s="5">
        <v>4743.5630000000001</v>
      </c>
      <c r="AP902" s="5">
        <v>4418.643</v>
      </c>
      <c r="AQ902" s="5">
        <v>3832.027</v>
      </c>
      <c r="AR902" s="5">
        <v>2416.799</v>
      </c>
      <c r="AS902" s="5">
        <v>1403.2560000000001</v>
      </c>
      <c r="AT902" s="5">
        <v>1403.2560000000001</v>
      </c>
    </row>
    <row r="903" spans="1:46" x14ac:dyDescent="0.25">
      <c r="A903" s="4" t="s">
        <v>194</v>
      </c>
      <c r="B903" s="4" t="s">
        <v>207</v>
      </c>
      <c r="C903" s="4" t="s">
        <v>246</v>
      </c>
      <c r="D903" s="4" t="s">
        <v>254</v>
      </c>
      <c r="E903" s="4" t="s">
        <v>255</v>
      </c>
      <c r="F903" s="4" t="s">
        <v>195</v>
      </c>
      <c r="G903" s="4" t="s">
        <v>93</v>
      </c>
      <c r="H903" s="4" t="s">
        <v>205</v>
      </c>
      <c r="I903" s="6">
        <v>726028.29599999997</v>
      </c>
      <c r="J903" s="6">
        <v>919391.05599999998</v>
      </c>
      <c r="K903" s="6">
        <v>1191990.8359999999</v>
      </c>
      <c r="L903" s="6">
        <v>1387283.844</v>
      </c>
      <c r="M903" s="6">
        <v>1917210.2849999999</v>
      </c>
      <c r="N903" s="6">
        <v>1839248.2930000001</v>
      </c>
      <c r="O903" s="6">
        <v>1372516.5179999999</v>
      </c>
      <c r="P903" s="6">
        <v>1055270.48</v>
      </c>
      <c r="Q903" s="6">
        <v>914429.777</v>
      </c>
      <c r="R903" s="6">
        <v>711342.48499999999</v>
      </c>
      <c r="S903" s="6">
        <v>468765.11900000001</v>
      </c>
      <c r="T903" s="6">
        <v>511748.27600000001</v>
      </c>
      <c r="U903" s="6">
        <v>461532.06800000003</v>
      </c>
      <c r="V903" s="6">
        <v>835722.05900000001</v>
      </c>
      <c r="W903" s="6">
        <v>1059960.466</v>
      </c>
      <c r="X903" s="6">
        <v>1098578.6610000001</v>
      </c>
      <c r="Y903" s="6">
        <v>1422463.1680000001</v>
      </c>
      <c r="Z903" s="6">
        <v>1080316.6299999999</v>
      </c>
      <c r="AA903" s="6">
        <v>1173402.9410000001</v>
      </c>
      <c r="AB903" s="6">
        <v>838491.32700000005</v>
      </c>
      <c r="AC903" s="6">
        <v>753331.598</v>
      </c>
      <c r="AD903" s="6">
        <v>627190.674</v>
      </c>
      <c r="AE903" s="6">
        <v>546081.04700000002</v>
      </c>
      <c r="AF903" s="6">
        <v>389149.95899999997</v>
      </c>
      <c r="AG903" s="6">
        <v>582617.76300000004</v>
      </c>
      <c r="AH903" s="6">
        <v>552546.47600000002</v>
      </c>
      <c r="AI903" s="6">
        <v>948772.76500000001</v>
      </c>
      <c r="AJ903" s="6">
        <v>1172938.19</v>
      </c>
      <c r="AK903" s="6">
        <v>1542106.3640000001</v>
      </c>
      <c r="AL903" s="6">
        <v>1549716.5349999999</v>
      </c>
      <c r="AM903" s="6">
        <v>1893809.831</v>
      </c>
      <c r="AN903" s="6">
        <v>1603921.5079999999</v>
      </c>
      <c r="AO903" s="6">
        <v>1101809.149</v>
      </c>
      <c r="AP903" s="6">
        <v>1027065.041</v>
      </c>
      <c r="AQ903" s="6">
        <v>894571.277</v>
      </c>
      <c r="AR903" s="6">
        <v>545537.73400000005</v>
      </c>
      <c r="AS903" s="6">
        <v>322027.92800000001</v>
      </c>
      <c r="AT903" s="6">
        <v>322027.92800000001</v>
      </c>
    </row>
    <row r="904" spans="1:46" x14ac:dyDescent="0.25">
      <c r="A904" s="4" t="s">
        <v>194</v>
      </c>
      <c r="B904" s="4" t="s">
        <v>207</v>
      </c>
      <c r="C904" s="4" t="s">
        <v>246</v>
      </c>
      <c r="D904" s="4" t="s">
        <v>254</v>
      </c>
      <c r="E904" s="4" t="s">
        <v>255</v>
      </c>
      <c r="F904" s="4" t="s">
        <v>195</v>
      </c>
      <c r="G904" s="4" t="s">
        <v>93</v>
      </c>
      <c r="H904" s="4" t="s">
        <v>249</v>
      </c>
      <c r="I904" s="7">
        <v>6.93</v>
      </c>
      <c r="J904" s="7">
        <v>6.1369999999999996</v>
      </c>
      <c r="K904" s="7">
        <v>6.2670000000000003</v>
      </c>
      <c r="L904" s="7">
        <v>5.734</v>
      </c>
      <c r="M904" s="7">
        <v>6.4320000000000004</v>
      </c>
      <c r="N904" s="7">
        <v>5.657</v>
      </c>
      <c r="O904" s="7">
        <v>4.9909999999999997</v>
      </c>
      <c r="P904" s="7">
        <v>4.6349999999999998</v>
      </c>
      <c r="Q904" s="7">
        <v>5.6680000000000001</v>
      </c>
      <c r="R904" s="7">
        <v>5.8390000000000004</v>
      </c>
      <c r="S904" s="7">
        <v>4.7140000000000004</v>
      </c>
      <c r="T904" s="7">
        <v>5.1459999999999999</v>
      </c>
      <c r="U904" s="7">
        <v>4.3959999999999999</v>
      </c>
      <c r="V904" s="7">
        <v>6.4649999999999999</v>
      </c>
      <c r="W904" s="7">
        <v>6.1040000000000001</v>
      </c>
      <c r="X904" s="7">
        <v>5.0199999999999996</v>
      </c>
      <c r="Y904" s="7">
        <v>5.3879999999999999</v>
      </c>
      <c r="Z904" s="7">
        <v>4.4800000000000004</v>
      </c>
      <c r="AA904" s="7">
        <v>4.2859999999999996</v>
      </c>
      <c r="AB904" s="7">
        <v>3.8660000000000001</v>
      </c>
      <c r="AC904" s="7">
        <v>4.2649999999999997</v>
      </c>
      <c r="AD904" s="7">
        <v>3.9340000000000002</v>
      </c>
      <c r="AE904" s="7">
        <v>4.3490000000000002</v>
      </c>
      <c r="AF904" s="7">
        <v>3.968</v>
      </c>
      <c r="AG904" s="7">
        <v>5.1710000000000003</v>
      </c>
      <c r="AH904" s="7">
        <v>3.8879999999999999</v>
      </c>
      <c r="AI904" s="7">
        <v>5.4489999999999998</v>
      </c>
      <c r="AJ904" s="7">
        <v>4.5549999999999997</v>
      </c>
      <c r="AK904" s="7">
        <v>5.1840000000000002</v>
      </c>
      <c r="AL904" s="7">
        <v>4.5570000000000004</v>
      </c>
      <c r="AM904" s="7">
        <v>4.8380000000000001</v>
      </c>
      <c r="AN904" s="7">
        <v>4.0579999999999998</v>
      </c>
      <c r="AO904" s="7">
        <v>3.7810000000000001</v>
      </c>
      <c r="AP904" s="7">
        <v>4.4580000000000002</v>
      </c>
      <c r="AQ904" s="7">
        <v>5.242</v>
      </c>
      <c r="AR904" s="7">
        <v>4.907</v>
      </c>
      <c r="AS904" s="7">
        <v>3.4740000000000002</v>
      </c>
      <c r="AT904" s="7">
        <v>0.58499999999999996</v>
      </c>
    </row>
    <row r="905" spans="1:46" x14ac:dyDescent="0.25">
      <c r="A905" s="4" t="s">
        <v>194</v>
      </c>
      <c r="B905" s="4" t="s">
        <v>207</v>
      </c>
      <c r="C905" s="4" t="s">
        <v>246</v>
      </c>
      <c r="D905" s="4" t="s">
        <v>254</v>
      </c>
      <c r="E905" s="4" t="s">
        <v>255</v>
      </c>
      <c r="F905" s="4" t="s">
        <v>195</v>
      </c>
      <c r="G905" s="4" t="s">
        <v>93</v>
      </c>
      <c r="H905" s="4" t="s">
        <v>250</v>
      </c>
      <c r="I905" s="7">
        <v>69.195999999999998</v>
      </c>
      <c r="J905" s="7">
        <v>66.021000000000001</v>
      </c>
      <c r="K905" s="7">
        <v>65.718000000000004</v>
      </c>
      <c r="L905" s="7">
        <v>69.275999999999996</v>
      </c>
      <c r="M905" s="7">
        <v>74.442999999999998</v>
      </c>
      <c r="N905" s="7">
        <v>73.825000000000003</v>
      </c>
      <c r="O905" s="7">
        <v>73.713999999999999</v>
      </c>
      <c r="P905" s="7">
        <v>65.510000000000005</v>
      </c>
      <c r="Q905" s="7">
        <v>63.639000000000003</v>
      </c>
      <c r="R905" s="7">
        <v>60.8</v>
      </c>
      <c r="S905" s="7">
        <v>55.966999999999999</v>
      </c>
      <c r="T905" s="7">
        <v>56.042999999999999</v>
      </c>
      <c r="U905" s="7">
        <v>58.198999999999998</v>
      </c>
      <c r="V905" s="7">
        <v>56.767000000000003</v>
      </c>
      <c r="W905" s="7">
        <v>65.510999999999996</v>
      </c>
      <c r="X905" s="7">
        <v>64.843999999999994</v>
      </c>
      <c r="Y905" s="7">
        <v>67.709999999999994</v>
      </c>
      <c r="Z905" s="7">
        <v>67.977000000000004</v>
      </c>
      <c r="AA905" s="7">
        <v>63.552999999999997</v>
      </c>
      <c r="AB905" s="7">
        <v>61.152000000000001</v>
      </c>
      <c r="AC905" s="7">
        <v>59.091999999999999</v>
      </c>
      <c r="AD905" s="7">
        <v>56.62</v>
      </c>
      <c r="AE905" s="7">
        <v>54.728999999999999</v>
      </c>
      <c r="AF905" s="7">
        <v>51.514000000000003</v>
      </c>
      <c r="AG905" s="7">
        <v>54.582000000000001</v>
      </c>
      <c r="AH905" s="7">
        <v>60.484000000000002</v>
      </c>
      <c r="AI905" s="7">
        <v>70.881</v>
      </c>
      <c r="AJ905" s="7">
        <v>73.367999999999995</v>
      </c>
      <c r="AK905" s="7">
        <v>75.58</v>
      </c>
      <c r="AL905" s="7">
        <v>68.62</v>
      </c>
      <c r="AM905" s="7">
        <v>71.81</v>
      </c>
      <c r="AN905" s="7">
        <v>71.778000000000006</v>
      </c>
      <c r="AO905" s="7">
        <v>66.058999999999997</v>
      </c>
      <c r="AP905" s="7">
        <v>68.331000000000003</v>
      </c>
      <c r="AQ905" s="7">
        <v>72.733999999999995</v>
      </c>
      <c r="AR905" s="7">
        <v>68.968999999999994</v>
      </c>
      <c r="AS905" s="7">
        <v>70.372</v>
      </c>
      <c r="AT905" s="5">
        <v>5877.6559999999999</v>
      </c>
    </row>
    <row r="906" spans="1:46" x14ac:dyDescent="0.25">
      <c r="A906" s="4" t="s">
        <v>194</v>
      </c>
      <c r="B906" s="4" t="s">
        <v>207</v>
      </c>
      <c r="C906" s="4" t="s">
        <v>246</v>
      </c>
      <c r="D906" s="4" t="s">
        <v>254</v>
      </c>
      <c r="E906" s="4" t="s">
        <v>255</v>
      </c>
      <c r="F906" s="4" t="s">
        <v>195</v>
      </c>
      <c r="G906" s="4" t="s">
        <v>93</v>
      </c>
      <c r="H906" s="4" t="s">
        <v>251</v>
      </c>
      <c r="I906" s="7">
        <v>42.443759100000001</v>
      </c>
      <c r="J906" s="7">
        <v>41.521312399999999</v>
      </c>
      <c r="K906" s="7">
        <v>44.319138000000002</v>
      </c>
      <c r="L906" s="7">
        <v>44.633104400000001</v>
      </c>
      <c r="M906" s="7">
        <v>45.640963800000002</v>
      </c>
      <c r="N906" s="7">
        <v>46.096028400000002</v>
      </c>
      <c r="O906" s="7">
        <v>47.720092299999997</v>
      </c>
      <c r="P906" s="7">
        <v>46.062880800000002</v>
      </c>
      <c r="Q906" s="7">
        <v>44.567152</v>
      </c>
      <c r="R906" s="7">
        <v>45.487201399999996</v>
      </c>
      <c r="S906" s="7">
        <v>41.685068299999998</v>
      </c>
      <c r="T906" s="7">
        <v>41.3913364</v>
      </c>
      <c r="U906" s="7">
        <v>38.913085899999999</v>
      </c>
      <c r="V906" s="7">
        <v>43.801356400000003</v>
      </c>
      <c r="W906" s="7">
        <v>44.898455800000001</v>
      </c>
      <c r="X906" s="7">
        <v>45.686910900000001</v>
      </c>
      <c r="Y906" s="7">
        <v>42.094126099999997</v>
      </c>
      <c r="Z906" s="7">
        <v>40.8147898</v>
      </c>
      <c r="AA906" s="7">
        <v>36.153169200000001</v>
      </c>
      <c r="AB906" s="7">
        <v>38.584253500000003</v>
      </c>
      <c r="AC906" s="7">
        <v>35.302607299999998</v>
      </c>
      <c r="AD906" s="7">
        <v>33.7592249</v>
      </c>
      <c r="AE906" s="7">
        <v>32.285213200000001</v>
      </c>
      <c r="AF906" s="7">
        <v>31.370898400000002</v>
      </c>
      <c r="AG906" s="7">
        <v>32.887857199999999</v>
      </c>
      <c r="AH906" s="7">
        <v>33.891737800000001</v>
      </c>
      <c r="AI906" s="7">
        <v>39.360115</v>
      </c>
      <c r="AJ906" s="7">
        <v>41.288272800000001</v>
      </c>
      <c r="AK906" s="7">
        <v>42.920848599999999</v>
      </c>
      <c r="AL906" s="7">
        <v>40.999796699999997</v>
      </c>
      <c r="AM906" s="7">
        <v>41.395620299999997</v>
      </c>
      <c r="AN906" s="7">
        <v>42.544975899999997</v>
      </c>
      <c r="AO906" s="7">
        <v>39.094160100000003</v>
      </c>
      <c r="AP906" s="7">
        <v>39.048462499999999</v>
      </c>
      <c r="AQ906" s="7">
        <v>43.161781300000001</v>
      </c>
      <c r="AR906" s="7">
        <v>42.531076800000001</v>
      </c>
      <c r="AS906" s="7">
        <v>40.825419699999998</v>
      </c>
      <c r="AT906" s="7">
        <v>70.372</v>
      </c>
    </row>
    <row r="907" spans="1:46" x14ac:dyDescent="0.25">
      <c r="A907" s="4" t="s">
        <v>194</v>
      </c>
      <c r="B907" s="4" t="s">
        <v>207</v>
      </c>
      <c r="C907" s="4" t="s">
        <v>246</v>
      </c>
      <c r="D907" s="4" t="s">
        <v>254</v>
      </c>
      <c r="E907" s="4" t="s">
        <v>255</v>
      </c>
      <c r="F907" s="4" t="s">
        <v>195</v>
      </c>
      <c r="G907" s="4" t="s">
        <v>93</v>
      </c>
      <c r="H907" s="4" t="s">
        <v>252</v>
      </c>
      <c r="I907" s="16">
        <v>3.298</v>
      </c>
      <c r="J907" s="16">
        <v>3.371</v>
      </c>
      <c r="K907" s="16">
        <v>3.2040000000000002</v>
      </c>
      <c r="L907" s="16">
        <v>3.8559999999999999</v>
      </c>
      <c r="M907" s="16">
        <v>3.0430000000000001</v>
      </c>
      <c r="N907" s="16">
        <v>3.5</v>
      </c>
      <c r="O907" s="16">
        <v>3.379</v>
      </c>
      <c r="P907" s="16">
        <v>3.1680000000000001</v>
      </c>
      <c r="Q907" s="16">
        <v>3.1230000000000002</v>
      </c>
      <c r="R907" s="16">
        <v>2.6720000000000002</v>
      </c>
      <c r="S907" s="16">
        <v>2.5710000000000002</v>
      </c>
      <c r="T907" s="16">
        <v>3.0129999999999999</v>
      </c>
      <c r="U907" s="16">
        <v>3.109</v>
      </c>
      <c r="V907" s="16">
        <v>3.286</v>
      </c>
      <c r="W907" s="16">
        <v>3.6120000000000001</v>
      </c>
      <c r="X907" s="16">
        <v>2.4849999999999999</v>
      </c>
      <c r="Y907" s="16">
        <v>2.1040000000000001</v>
      </c>
      <c r="Z907" s="16">
        <v>2.3559999999999999</v>
      </c>
      <c r="AA907" s="16">
        <v>2.6259999999999999</v>
      </c>
      <c r="AB907" s="16">
        <v>2.4849999999999999</v>
      </c>
      <c r="AC907" s="16">
        <v>2.6349999999999998</v>
      </c>
      <c r="AD907" s="16">
        <v>2.673</v>
      </c>
      <c r="AE907" s="16">
        <v>2.6440000000000001</v>
      </c>
      <c r="AF907" s="16">
        <v>2.7919999999999998</v>
      </c>
      <c r="AG907" s="16">
        <v>2.738</v>
      </c>
      <c r="AH907" s="16">
        <v>3.1579999999999999</v>
      </c>
      <c r="AI907" s="16">
        <v>3.0249999999999999</v>
      </c>
      <c r="AJ907" s="16">
        <v>2.5619999999999998</v>
      </c>
      <c r="AK907" s="16">
        <v>2.9580000000000002</v>
      </c>
      <c r="AL907" s="16">
        <v>2.194</v>
      </c>
      <c r="AM907" s="16">
        <v>2.6</v>
      </c>
      <c r="AN907" s="16">
        <v>2.5459999999999998</v>
      </c>
      <c r="AO907" s="16">
        <v>2.585</v>
      </c>
      <c r="AP907" s="16">
        <v>3.1230000000000002</v>
      </c>
      <c r="AQ907" s="16">
        <v>2.7549999999999999</v>
      </c>
      <c r="AR907" s="16">
        <v>2.8170000000000002</v>
      </c>
      <c r="AS907" s="16">
        <v>2.7730000000000001</v>
      </c>
      <c r="AT907" s="7">
        <v>40.825419699999998</v>
      </c>
    </row>
    <row r="908" spans="1:46" x14ac:dyDescent="0.25">
      <c r="A908" s="4" t="s">
        <v>194</v>
      </c>
      <c r="B908" s="4" t="s">
        <v>207</v>
      </c>
      <c r="C908" s="4" t="s">
        <v>246</v>
      </c>
      <c r="D908" s="4" t="s">
        <v>254</v>
      </c>
      <c r="E908" s="4" t="s">
        <v>255</v>
      </c>
      <c r="F908" s="4" t="s">
        <v>195</v>
      </c>
      <c r="G908" s="4" t="s">
        <v>138</v>
      </c>
      <c r="H908" s="4" t="s">
        <v>151</v>
      </c>
      <c r="I908" s="5">
        <v>32.831000000000003</v>
      </c>
      <c r="J908" s="5">
        <v>176.81100000000001</v>
      </c>
      <c r="K908" s="5">
        <v>178.46100000000001</v>
      </c>
      <c r="L908" s="5">
        <v>273.20400000000001</v>
      </c>
      <c r="M908" s="5">
        <v>337.53300000000002</v>
      </c>
      <c r="N908" s="5">
        <v>319.70400000000001</v>
      </c>
      <c r="O908" s="5">
        <v>502.05500000000001</v>
      </c>
      <c r="P908" s="5">
        <v>345.08</v>
      </c>
      <c r="Q908" s="5">
        <v>314.428</v>
      </c>
      <c r="R908" s="5">
        <v>35.216999999999999</v>
      </c>
      <c r="S908" s="5">
        <v>46.851999999999997</v>
      </c>
      <c r="T908" s="5">
        <v>43.704000000000001</v>
      </c>
      <c r="U908" s="5">
        <v>164.114</v>
      </c>
      <c r="V908" s="5">
        <v>165.06100000000001</v>
      </c>
      <c r="W908" s="5">
        <v>433.08699999999999</v>
      </c>
      <c r="X908" s="5">
        <v>454.351</v>
      </c>
      <c r="Y908" s="5">
        <v>390.63</v>
      </c>
      <c r="Z908" s="5">
        <v>166.17599999999999</v>
      </c>
      <c r="AA908" s="5">
        <v>364.80500000000001</v>
      </c>
      <c r="AB908" s="5">
        <v>163.07400000000001</v>
      </c>
      <c r="AC908" s="5">
        <v>164.00200000000001</v>
      </c>
      <c r="AD908" s="5">
        <v>177.93</v>
      </c>
      <c r="AE908" s="5">
        <v>93.662000000000006</v>
      </c>
      <c r="AF908" s="5">
        <v>76.655000000000001</v>
      </c>
      <c r="AG908" s="5">
        <v>99.775000000000006</v>
      </c>
      <c r="AH908" s="5">
        <v>592.62199999999996</v>
      </c>
      <c r="AI908" s="5">
        <v>532.52200000000005</v>
      </c>
      <c r="AJ908" s="5">
        <v>755.30200000000002</v>
      </c>
      <c r="AK908" s="5">
        <v>396.05</v>
      </c>
      <c r="AL908" s="5">
        <v>296.53500000000003</v>
      </c>
      <c r="AM908" s="5">
        <v>492.51600000000002</v>
      </c>
      <c r="AN908" s="5">
        <v>517.93600000000004</v>
      </c>
      <c r="AO908" s="5">
        <v>212.755</v>
      </c>
      <c r="AP908" s="5">
        <v>178.095</v>
      </c>
      <c r="AQ908" s="5">
        <v>180.685</v>
      </c>
      <c r="AR908" s="5">
        <v>123.131</v>
      </c>
      <c r="AS908" s="5">
        <v>128.583</v>
      </c>
      <c r="AT908" s="5">
        <v>128.583</v>
      </c>
    </row>
    <row r="909" spans="1:46" x14ac:dyDescent="0.25">
      <c r="A909" s="4" t="s">
        <v>194</v>
      </c>
      <c r="B909" s="4" t="s">
        <v>207</v>
      </c>
      <c r="C909" s="4" t="s">
        <v>246</v>
      </c>
      <c r="D909" s="4" t="s">
        <v>254</v>
      </c>
      <c r="E909" s="4" t="s">
        <v>255</v>
      </c>
      <c r="F909" s="4" t="s">
        <v>195</v>
      </c>
      <c r="G909" s="4" t="s">
        <v>138</v>
      </c>
      <c r="H909" s="4" t="s">
        <v>205</v>
      </c>
      <c r="I909" s="6">
        <v>10070.767</v>
      </c>
      <c r="J909" s="6">
        <v>54013.428</v>
      </c>
      <c r="K909" s="6">
        <v>54521.034</v>
      </c>
      <c r="L909" s="6">
        <v>83181.846999999994</v>
      </c>
      <c r="M909" s="6">
        <v>97362.293999999994</v>
      </c>
      <c r="N909" s="6">
        <v>92286.267000000007</v>
      </c>
      <c r="O909" s="6">
        <v>154483.573</v>
      </c>
      <c r="P909" s="6">
        <v>116800.349</v>
      </c>
      <c r="Q909" s="6">
        <v>104449.781</v>
      </c>
      <c r="R909" s="6">
        <v>9669.5630000000001</v>
      </c>
      <c r="S909" s="6">
        <v>14055.074000000001</v>
      </c>
      <c r="T909" s="6">
        <v>11890.987999999999</v>
      </c>
      <c r="U909" s="6">
        <v>49161.203999999998</v>
      </c>
      <c r="V909" s="6">
        <v>56934.067999999999</v>
      </c>
      <c r="W909" s="6">
        <v>136082.99900000001</v>
      </c>
      <c r="X909" s="6">
        <v>142333.00200000001</v>
      </c>
      <c r="Y909" s="6">
        <v>109678.522</v>
      </c>
      <c r="Z909" s="6">
        <v>56555.46</v>
      </c>
      <c r="AA909" s="6">
        <v>112754.609</v>
      </c>
      <c r="AB909" s="6">
        <v>56159.055999999997</v>
      </c>
      <c r="AC909" s="6">
        <v>58939.053</v>
      </c>
      <c r="AD909" s="6">
        <v>60868.226999999999</v>
      </c>
      <c r="AE909" s="6">
        <v>32449.223999999998</v>
      </c>
      <c r="AF909" s="6">
        <v>25149.260999999999</v>
      </c>
      <c r="AG909" s="6">
        <v>36456.296999999999</v>
      </c>
      <c r="AH909" s="6">
        <v>248825.799</v>
      </c>
      <c r="AI909" s="6">
        <v>217691.42499999999</v>
      </c>
      <c r="AJ909" s="6">
        <v>304288.53700000001</v>
      </c>
      <c r="AK909" s="6">
        <v>143024.15700000001</v>
      </c>
      <c r="AL909" s="6">
        <v>108864.58100000001</v>
      </c>
      <c r="AM909" s="6">
        <v>180471.76500000001</v>
      </c>
      <c r="AN909" s="6">
        <v>186721.125</v>
      </c>
      <c r="AO909" s="6">
        <v>71461.804999999993</v>
      </c>
      <c r="AP909" s="6">
        <v>56016.894</v>
      </c>
      <c r="AQ909" s="6">
        <v>62737.870999999999</v>
      </c>
      <c r="AR909" s="6">
        <v>42072.144</v>
      </c>
      <c r="AS909" s="6">
        <v>47170.427000000003</v>
      </c>
      <c r="AT909" s="6">
        <v>47170.427000000003</v>
      </c>
    </row>
    <row r="910" spans="1:46" x14ac:dyDescent="0.25">
      <c r="A910" s="4" t="s">
        <v>194</v>
      </c>
      <c r="B910" s="4" t="s">
        <v>207</v>
      </c>
      <c r="C910" s="4" t="s">
        <v>246</v>
      </c>
      <c r="D910" s="4" t="s">
        <v>254</v>
      </c>
      <c r="E910" s="4" t="s">
        <v>255</v>
      </c>
      <c r="F910" s="4" t="s">
        <v>195</v>
      </c>
      <c r="G910" s="4" t="s">
        <v>138</v>
      </c>
      <c r="H910" s="4" t="s">
        <v>249</v>
      </c>
      <c r="I910" s="7">
        <v>0</v>
      </c>
      <c r="J910" s="7">
        <v>1E-3</v>
      </c>
      <c r="K910" s="7">
        <v>1E-3</v>
      </c>
      <c r="L910" s="7">
        <v>1E-3</v>
      </c>
      <c r="M910" s="7">
        <v>1E-3</v>
      </c>
      <c r="N910" s="7">
        <v>1E-3</v>
      </c>
      <c r="O910" s="7">
        <v>1E-3</v>
      </c>
      <c r="P910" s="7">
        <v>1E-3</v>
      </c>
      <c r="Q910" s="7">
        <v>1E-3</v>
      </c>
      <c r="R910" s="7">
        <v>0</v>
      </c>
      <c r="S910" s="7">
        <v>0</v>
      </c>
      <c r="T910" s="7">
        <v>0</v>
      </c>
      <c r="U910" s="7">
        <v>1E-3</v>
      </c>
      <c r="V910" s="7">
        <v>1E-3</v>
      </c>
      <c r="W910" s="7">
        <v>1E-3</v>
      </c>
      <c r="X910" s="7">
        <v>1E-3</v>
      </c>
      <c r="Y910" s="7">
        <v>1E-3</v>
      </c>
      <c r="Z910" s="7">
        <v>0</v>
      </c>
      <c r="AA910" s="7">
        <v>1E-3</v>
      </c>
      <c r="AB910" s="7">
        <v>0</v>
      </c>
      <c r="AC910" s="7">
        <v>1E-3</v>
      </c>
      <c r="AD910" s="7">
        <v>1E-3</v>
      </c>
      <c r="AE910" s="7">
        <v>0</v>
      </c>
      <c r="AF910" s="7">
        <v>0</v>
      </c>
      <c r="AG910" s="7">
        <v>1E-3</v>
      </c>
      <c r="AH910" s="7">
        <v>3.0000000000000001E-3</v>
      </c>
      <c r="AI910" s="7">
        <v>2E-3</v>
      </c>
      <c r="AJ910" s="7">
        <v>2E-3</v>
      </c>
      <c r="AK910" s="7">
        <v>1E-3</v>
      </c>
      <c r="AL910" s="7">
        <v>1E-3</v>
      </c>
      <c r="AM910" s="7">
        <v>1E-3</v>
      </c>
      <c r="AN910" s="7">
        <v>1E-3</v>
      </c>
      <c r="AO910" s="7">
        <v>0</v>
      </c>
      <c r="AP910" s="7">
        <v>0</v>
      </c>
      <c r="AQ910" s="7">
        <v>1E-3</v>
      </c>
      <c r="AR910" s="7">
        <v>1E-3</v>
      </c>
      <c r="AS910" s="7">
        <v>1E-3</v>
      </c>
      <c r="AT910" s="7">
        <v>5.3999999999999999E-2</v>
      </c>
    </row>
    <row r="911" spans="1:46" x14ac:dyDescent="0.25">
      <c r="A911" s="4" t="s">
        <v>194</v>
      </c>
      <c r="B911" s="4" t="s">
        <v>207</v>
      </c>
      <c r="C911" s="4" t="s">
        <v>246</v>
      </c>
      <c r="D911" s="4" t="s">
        <v>254</v>
      </c>
      <c r="E911" s="4" t="s">
        <v>255</v>
      </c>
      <c r="F911" s="4" t="s">
        <v>195</v>
      </c>
      <c r="G911" s="4" t="s">
        <v>138</v>
      </c>
      <c r="H911" s="4" t="s">
        <v>250</v>
      </c>
      <c r="I911" s="7">
        <v>19.829999999999998</v>
      </c>
      <c r="J911" s="7">
        <v>21.190999999999999</v>
      </c>
      <c r="K911" s="7">
        <v>22.486000000000001</v>
      </c>
      <c r="L911" s="7">
        <v>18.588999999999999</v>
      </c>
      <c r="M911" s="7">
        <v>25.477</v>
      </c>
      <c r="N911" s="7">
        <v>28.591000000000001</v>
      </c>
      <c r="O911" s="7">
        <v>30.329000000000001</v>
      </c>
      <c r="P911" s="7">
        <v>31.611999999999998</v>
      </c>
      <c r="Q911" s="7">
        <v>32.497</v>
      </c>
      <c r="R911" s="7">
        <v>15.555999999999999</v>
      </c>
      <c r="S911" s="7">
        <v>14.789</v>
      </c>
      <c r="T911" s="7">
        <v>16.257999999999999</v>
      </c>
      <c r="U911" s="7">
        <v>25.707000000000001</v>
      </c>
      <c r="V911" s="7">
        <v>26.213000000000001</v>
      </c>
      <c r="W911" s="7">
        <v>23.032</v>
      </c>
      <c r="X911" s="7">
        <v>23.315999999999999</v>
      </c>
      <c r="Y911" s="7">
        <v>28.015999999999998</v>
      </c>
      <c r="Z911" s="7">
        <v>21.57</v>
      </c>
      <c r="AA911" s="7">
        <v>26.937999999999999</v>
      </c>
      <c r="AB911" s="7">
        <v>20.027000000000001</v>
      </c>
      <c r="AC911" s="7">
        <v>15.382999999999999</v>
      </c>
      <c r="AD911" s="7">
        <v>19.338000000000001</v>
      </c>
      <c r="AE911" s="7">
        <v>23.190999999999999</v>
      </c>
      <c r="AF911" s="7">
        <v>25.681999999999999</v>
      </c>
      <c r="AG911" s="7">
        <v>23.545000000000002</v>
      </c>
      <c r="AH911" s="7">
        <v>30.166</v>
      </c>
      <c r="AI911" s="7">
        <v>31.526</v>
      </c>
      <c r="AJ911" s="7">
        <v>31.106000000000002</v>
      </c>
      <c r="AK911" s="7">
        <v>29.276</v>
      </c>
      <c r="AL911" s="7">
        <v>26.983000000000001</v>
      </c>
      <c r="AM911" s="7">
        <v>25.434000000000001</v>
      </c>
      <c r="AN911" s="7">
        <v>27.23</v>
      </c>
      <c r="AO911" s="7">
        <v>25.305</v>
      </c>
      <c r="AP911" s="7">
        <v>23.044</v>
      </c>
      <c r="AQ911" s="7">
        <v>21.283999999999999</v>
      </c>
      <c r="AR911" s="7">
        <v>19.814</v>
      </c>
      <c r="AS911" s="7">
        <v>21.433</v>
      </c>
      <c r="AT911" s="5">
        <v>508.39</v>
      </c>
    </row>
    <row r="912" spans="1:46" x14ac:dyDescent="0.25">
      <c r="A912" s="4" t="s">
        <v>194</v>
      </c>
      <c r="B912" s="4" t="s">
        <v>207</v>
      </c>
      <c r="C912" s="4" t="s">
        <v>246</v>
      </c>
      <c r="D912" s="4" t="s">
        <v>254</v>
      </c>
      <c r="E912" s="4" t="s">
        <v>255</v>
      </c>
      <c r="F912" s="4" t="s">
        <v>195</v>
      </c>
      <c r="G912" s="4" t="s">
        <v>138</v>
      </c>
      <c r="H912" s="4" t="s">
        <v>251</v>
      </c>
      <c r="I912" s="7">
        <v>6.8635476999999998</v>
      </c>
      <c r="J912" s="7">
        <v>10.2874309</v>
      </c>
      <c r="K912" s="7">
        <v>10.547211300000001</v>
      </c>
      <c r="L912" s="7">
        <v>9.8950297999999997</v>
      </c>
      <c r="M912" s="7">
        <v>11.883980299999999</v>
      </c>
      <c r="N912" s="7">
        <v>12.402870699999999</v>
      </c>
      <c r="O912" s="7">
        <v>12.5610914</v>
      </c>
      <c r="P912" s="7">
        <v>12.8211019</v>
      </c>
      <c r="Q912" s="7">
        <v>13.249567600000001</v>
      </c>
      <c r="R912" s="7">
        <v>9.7314939999999996</v>
      </c>
      <c r="S912" s="7">
        <v>10.110744199999999</v>
      </c>
      <c r="T912" s="7">
        <v>10.6188552</v>
      </c>
      <c r="U912" s="7">
        <v>13.827787000000001</v>
      </c>
      <c r="V912" s="7">
        <v>12.6721108</v>
      </c>
      <c r="W912" s="7">
        <v>12.697653300000001</v>
      </c>
      <c r="X912" s="7">
        <v>12.195316500000001</v>
      </c>
      <c r="Y912" s="7">
        <v>12.9013393</v>
      </c>
      <c r="Z912" s="7">
        <v>11.6819355</v>
      </c>
      <c r="AA912" s="7">
        <v>14.8516198</v>
      </c>
      <c r="AB912" s="7">
        <v>13.231177000000001</v>
      </c>
      <c r="AC912" s="7">
        <v>13.199897500000001</v>
      </c>
      <c r="AD912" s="7">
        <v>13.594674700000001</v>
      </c>
      <c r="AE912" s="7">
        <v>13.1615704</v>
      </c>
      <c r="AF912" s="7">
        <v>12.997964</v>
      </c>
      <c r="AG912" s="7">
        <v>12.127856299999999</v>
      </c>
      <c r="AH912" s="7">
        <v>14.865435</v>
      </c>
      <c r="AI912" s="7">
        <v>15.1425602</v>
      </c>
      <c r="AJ912" s="7">
        <v>12.716027199999999</v>
      </c>
      <c r="AK912" s="7">
        <v>12.7804114</v>
      </c>
      <c r="AL912" s="7">
        <v>10.8673856</v>
      </c>
      <c r="AM912" s="7">
        <v>13.063659100000001</v>
      </c>
      <c r="AN912" s="7">
        <v>15.3725945</v>
      </c>
      <c r="AO912" s="7">
        <v>13.666812999999999</v>
      </c>
      <c r="AP912" s="7">
        <v>11.9140081</v>
      </c>
      <c r="AQ912" s="7">
        <v>9.3538820000000005</v>
      </c>
      <c r="AR912" s="7">
        <v>8.8793504999999993</v>
      </c>
      <c r="AS912" s="7">
        <v>7.8737361000000003</v>
      </c>
      <c r="AT912" s="7">
        <v>21.433</v>
      </c>
    </row>
    <row r="913" spans="1:46" x14ac:dyDescent="0.25">
      <c r="A913" s="4" t="s">
        <v>194</v>
      </c>
      <c r="B913" s="4" t="s">
        <v>207</v>
      </c>
      <c r="C913" s="4" t="s">
        <v>246</v>
      </c>
      <c r="D913" s="4" t="s">
        <v>254</v>
      </c>
      <c r="E913" s="4" t="s">
        <v>255</v>
      </c>
      <c r="F913" s="4" t="s">
        <v>195</v>
      </c>
      <c r="G913" s="4" t="s">
        <v>138</v>
      </c>
      <c r="H913" s="4" t="s">
        <v>252</v>
      </c>
      <c r="I913" s="16">
        <v>0.12</v>
      </c>
      <c r="J913" s="16">
        <v>0.22</v>
      </c>
      <c r="K913" s="16">
        <v>0.12</v>
      </c>
      <c r="L913" s="16">
        <v>0.20499999999999999</v>
      </c>
      <c r="M913" s="16">
        <v>0.28799999999999998</v>
      </c>
      <c r="N913" s="16">
        <v>0.26300000000000001</v>
      </c>
      <c r="O913" s="16">
        <v>0.25</v>
      </c>
      <c r="P913" s="16">
        <v>0.313</v>
      </c>
      <c r="Q913" s="16">
        <v>0.23</v>
      </c>
      <c r="R913" s="16">
        <v>0.23100000000000001</v>
      </c>
      <c r="S913" s="16">
        <v>0.245</v>
      </c>
      <c r="T913" s="16">
        <v>0.25</v>
      </c>
      <c r="U913" s="16">
        <v>0.30299999999999999</v>
      </c>
      <c r="V913" s="16">
        <v>0.24199999999999999</v>
      </c>
      <c r="W913" s="16">
        <v>0.315</v>
      </c>
      <c r="X913" s="16">
        <v>0.28399999999999997</v>
      </c>
      <c r="Y913" s="16">
        <v>0.216</v>
      </c>
      <c r="Z913" s="16">
        <v>0.22600000000000001</v>
      </c>
      <c r="AA913" s="16">
        <v>0.20799999999999999</v>
      </c>
      <c r="AB913" s="16">
        <v>0.28699999999999998</v>
      </c>
      <c r="AC913" s="16">
        <v>0.252</v>
      </c>
      <c r="AD913" s="16">
        <v>0.27200000000000002</v>
      </c>
      <c r="AE913" s="16">
        <v>0.34499999999999997</v>
      </c>
      <c r="AF913" s="16">
        <v>0.33800000000000002</v>
      </c>
      <c r="AG913" s="16">
        <v>0.26100000000000001</v>
      </c>
      <c r="AH913" s="16">
        <v>0.52200000000000002</v>
      </c>
      <c r="AI913" s="16">
        <v>0.33800000000000002</v>
      </c>
      <c r="AJ913" s="16">
        <v>0.30199999999999999</v>
      </c>
      <c r="AK913" s="16">
        <v>0.193</v>
      </c>
      <c r="AL913" s="16">
        <v>0.17</v>
      </c>
      <c r="AM913" s="16">
        <v>0.26800000000000002</v>
      </c>
      <c r="AN913" s="16">
        <v>0.27500000000000002</v>
      </c>
      <c r="AO913" s="16">
        <v>0.29499999999999998</v>
      </c>
      <c r="AP913" s="16">
        <v>0.25600000000000001</v>
      </c>
      <c r="AQ913" s="16">
        <v>0.247</v>
      </c>
      <c r="AR913" s="16">
        <v>0.26200000000000001</v>
      </c>
      <c r="AS913" s="16">
        <v>0.247</v>
      </c>
      <c r="AT913" s="7">
        <v>7.8737361000000003</v>
      </c>
    </row>
    <row r="914" spans="1:46" x14ac:dyDescent="0.25">
      <c r="A914" s="4" t="s">
        <v>194</v>
      </c>
      <c r="B914" s="4" t="s">
        <v>207</v>
      </c>
      <c r="C914" s="4" t="s">
        <v>246</v>
      </c>
      <c r="D914" s="4" t="s">
        <v>254</v>
      </c>
      <c r="E914" s="4" t="s">
        <v>255</v>
      </c>
      <c r="F914" s="4" t="s">
        <v>195</v>
      </c>
      <c r="G914" s="4" t="s">
        <v>140</v>
      </c>
      <c r="H914" s="4" t="s">
        <v>151</v>
      </c>
      <c r="I914" s="5">
        <v>255.25899999999999</v>
      </c>
      <c r="J914" s="5">
        <v>381.59500000000003</v>
      </c>
      <c r="K914" s="5">
        <v>540.17600000000004</v>
      </c>
      <c r="L914" s="5">
        <v>607.99599999999998</v>
      </c>
      <c r="M914" s="5">
        <v>873.76700000000005</v>
      </c>
      <c r="N914" s="5">
        <v>815.89499999999998</v>
      </c>
      <c r="O914" s="5">
        <v>789.06899999999996</v>
      </c>
      <c r="P914" s="5">
        <v>672.45899999999995</v>
      </c>
      <c r="Q914" s="5">
        <v>448.34899999999999</v>
      </c>
      <c r="R914" s="5">
        <v>391.91800000000001</v>
      </c>
      <c r="S914" s="5">
        <v>312.47500000000002</v>
      </c>
      <c r="T914" s="5">
        <v>191.01499999999999</v>
      </c>
      <c r="U914" s="5">
        <v>294.31</v>
      </c>
      <c r="V914" s="5">
        <v>616.25900000000001</v>
      </c>
      <c r="W914" s="5">
        <v>645.65800000000002</v>
      </c>
      <c r="X914" s="5">
        <v>944.84199999999998</v>
      </c>
      <c r="Y914" s="5">
        <v>1033.9059999999999</v>
      </c>
      <c r="Z914" s="5">
        <v>1164.0360000000001</v>
      </c>
      <c r="AA914" s="5">
        <v>979.71400000000006</v>
      </c>
      <c r="AB914" s="5">
        <v>944.40700000000004</v>
      </c>
      <c r="AC914" s="5">
        <v>515.13800000000003</v>
      </c>
      <c r="AD914" s="5">
        <v>411.10500000000002</v>
      </c>
      <c r="AE914" s="5">
        <v>362.18</v>
      </c>
      <c r="AF914" s="5">
        <v>310.71300000000002</v>
      </c>
      <c r="AG914" s="5">
        <v>397.33499999999998</v>
      </c>
      <c r="AH914" s="5">
        <v>743.92100000000005</v>
      </c>
      <c r="AI914" s="5">
        <v>858.36400000000003</v>
      </c>
      <c r="AJ914" s="5">
        <v>1445.4110000000001</v>
      </c>
      <c r="AK914" s="5">
        <v>1511.7239999999999</v>
      </c>
      <c r="AL914" s="5">
        <v>1123.1959999999999</v>
      </c>
      <c r="AM914" s="5">
        <v>1103.578</v>
      </c>
      <c r="AN914" s="5">
        <v>999.32399999999996</v>
      </c>
      <c r="AO914" s="5">
        <v>668.36699999999996</v>
      </c>
      <c r="AP914" s="5">
        <v>458.09100000000001</v>
      </c>
      <c r="AQ914" s="5">
        <v>382.32</v>
      </c>
      <c r="AR914" s="5">
        <v>456.41300000000001</v>
      </c>
      <c r="AS914" s="5">
        <v>356.35399999999998</v>
      </c>
      <c r="AT914" s="5">
        <v>2138.1239999999998</v>
      </c>
    </row>
    <row r="915" spans="1:46" x14ac:dyDescent="0.25">
      <c r="A915" s="4" t="s">
        <v>194</v>
      </c>
      <c r="B915" s="4" t="s">
        <v>207</v>
      </c>
      <c r="C915" s="4" t="s">
        <v>246</v>
      </c>
      <c r="D915" s="4" t="s">
        <v>254</v>
      </c>
      <c r="E915" s="4" t="s">
        <v>255</v>
      </c>
      <c r="F915" s="4" t="s">
        <v>195</v>
      </c>
      <c r="G915" s="4" t="s">
        <v>140</v>
      </c>
      <c r="H915" s="4" t="s">
        <v>205</v>
      </c>
      <c r="I915" s="6">
        <v>68874.482999999993</v>
      </c>
      <c r="J915" s="6">
        <v>109646.308</v>
      </c>
      <c r="K915" s="6">
        <v>157046.15100000001</v>
      </c>
      <c r="L915" s="6">
        <v>177818.58100000001</v>
      </c>
      <c r="M915" s="6">
        <v>252663.73699999999</v>
      </c>
      <c r="N915" s="6">
        <v>237950.15599999999</v>
      </c>
      <c r="O915" s="6">
        <v>218716.04800000001</v>
      </c>
      <c r="P915" s="6">
        <v>189857.946</v>
      </c>
      <c r="Q915" s="6">
        <v>128612.819</v>
      </c>
      <c r="R915" s="6">
        <v>111234.74</v>
      </c>
      <c r="S915" s="6">
        <v>92148.255000000005</v>
      </c>
      <c r="T915" s="6">
        <v>51741.144999999997</v>
      </c>
      <c r="U915" s="6">
        <v>85278.642999999996</v>
      </c>
      <c r="V915" s="6">
        <v>185874.266</v>
      </c>
      <c r="W915" s="6">
        <v>199880.19099999999</v>
      </c>
      <c r="X915" s="6">
        <v>299120.93800000002</v>
      </c>
      <c r="Y915" s="6">
        <v>328025.75699999998</v>
      </c>
      <c r="Z915" s="6">
        <v>365105.55800000002</v>
      </c>
      <c r="AA915" s="6">
        <v>324589.69400000002</v>
      </c>
      <c r="AB915" s="6">
        <v>306830.54100000003</v>
      </c>
      <c r="AC915" s="6">
        <v>158744.95499999999</v>
      </c>
      <c r="AD915" s="6">
        <v>133975.071</v>
      </c>
      <c r="AE915" s="6">
        <v>124290.90300000001</v>
      </c>
      <c r="AF915" s="6">
        <v>113949.75599999999</v>
      </c>
      <c r="AG915" s="6">
        <v>136795.29699999999</v>
      </c>
      <c r="AH915" s="6">
        <v>280403.31199999998</v>
      </c>
      <c r="AI915" s="6">
        <v>309048.40000000002</v>
      </c>
      <c r="AJ915" s="6">
        <v>527781.90599999996</v>
      </c>
      <c r="AK915" s="6">
        <v>564505.125</v>
      </c>
      <c r="AL915" s="6">
        <v>434703.34700000001</v>
      </c>
      <c r="AM915" s="6">
        <v>429947.53100000002</v>
      </c>
      <c r="AN915" s="6">
        <v>391088.67800000001</v>
      </c>
      <c r="AO915" s="6">
        <v>234711.88200000001</v>
      </c>
      <c r="AP915" s="6">
        <v>162173.845</v>
      </c>
      <c r="AQ915" s="6">
        <v>139081.88800000001</v>
      </c>
      <c r="AR915" s="6">
        <v>175484.402</v>
      </c>
      <c r="AS915" s="6">
        <v>136650.39499999999</v>
      </c>
      <c r="AT915" s="6">
        <v>136650.39499999999</v>
      </c>
    </row>
    <row r="916" spans="1:46" x14ac:dyDescent="0.25">
      <c r="A916" s="4" t="s">
        <v>194</v>
      </c>
      <c r="B916" s="4" t="s">
        <v>207</v>
      </c>
      <c r="C916" s="4" t="s">
        <v>246</v>
      </c>
      <c r="D916" s="4" t="s">
        <v>254</v>
      </c>
      <c r="E916" s="4" t="s">
        <v>255</v>
      </c>
      <c r="F916" s="4" t="s">
        <v>195</v>
      </c>
      <c r="G916" s="4" t="s">
        <v>140</v>
      </c>
      <c r="H916" s="4" t="s">
        <v>249</v>
      </c>
      <c r="I916" s="7">
        <v>8.0000000000000002E-3</v>
      </c>
      <c r="J916" s="7">
        <v>8.9999999999999993E-3</v>
      </c>
      <c r="K916" s="7">
        <v>0.01</v>
      </c>
      <c r="L916" s="7">
        <v>8.9999999999999993E-3</v>
      </c>
      <c r="M916" s="7">
        <v>1.0999999999999999E-2</v>
      </c>
      <c r="N916" s="7">
        <v>8.9999999999999993E-3</v>
      </c>
      <c r="O916" s="7">
        <v>0.01</v>
      </c>
      <c r="P916" s="7">
        <v>1.0999999999999999E-2</v>
      </c>
      <c r="Q916" s="7">
        <v>0.01</v>
      </c>
      <c r="R916" s="7">
        <v>1.2E-2</v>
      </c>
      <c r="S916" s="7">
        <v>1.0999999999999999E-2</v>
      </c>
      <c r="T916" s="7">
        <v>7.0000000000000001E-3</v>
      </c>
      <c r="U916" s="7">
        <v>0.01</v>
      </c>
      <c r="V916" s="7">
        <v>1.6E-2</v>
      </c>
      <c r="W916" s="7">
        <v>1.2E-2</v>
      </c>
      <c r="X916" s="7">
        <v>1.4E-2</v>
      </c>
      <c r="Y916" s="7">
        <v>1.2999999999999999E-2</v>
      </c>
      <c r="Z916" s="7">
        <v>1.6E-2</v>
      </c>
      <c r="AA916" s="7">
        <v>1.2999999999999999E-2</v>
      </c>
      <c r="AB916" s="7">
        <v>1.4999999999999999E-2</v>
      </c>
      <c r="AC916" s="7">
        <v>0.01</v>
      </c>
      <c r="AD916" s="7">
        <v>8.9999999999999993E-3</v>
      </c>
      <c r="AE916" s="7">
        <v>0.01</v>
      </c>
      <c r="AF916" s="7">
        <v>1.0999999999999999E-2</v>
      </c>
      <c r="AG916" s="7">
        <v>1.2999999999999999E-2</v>
      </c>
      <c r="AH916" s="7">
        <v>0.02</v>
      </c>
      <c r="AI916" s="7">
        <v>1.7999999999999999E-2</v>
      </c>
      <c r="AJ916" s="7">
        <v>2.1000000000000001E-2</v>
      </c>
      <c r="AK916" s="7">
        <v>1.9E-2</v>
      </c>
      <c r="AL916" s="7">
        <v>1.2E-2</v>
      </c>
      <c r="AM916" s="7">
        <v>1.0999999999999999E-2</v>
      </c>
      <c r="AN916" s="7">
        <v>0.01</v>
      </c>
      <c r="AO916" s="7">
        <v>8.9999999999999993E-3</v>
      </c>
      <c r="AP916" s="7">
        <v>8.0000000000000002E-3</v>
      </c>
      <c r="AQ916" s="7">
        <v>8.9999999999999993E-3</v>
      </c>
      <c r="AR916" s="7">
        <v>1.4999999999999999E-2</v>
      </c>
      <c r="AS916" s="7">
        <v>1.4999999999999999E-2</v>
      </c>
      <c r="AT916" s="7">
        <v>0.89200000000000002</v>
      </c>
    </row>
    <row r="917" spans="1:46" x14ac:dyDescent="0.25">
      <c r="A917" s="4" t="s">
        <v>194</v>
      </c>
      <c r="B917" s="4" t="s">
        <v>207</v>
      </c>
      <c r="C917" s="4" t="s">
        <v>246</v>
      </c>
      <c r="D917" s="4" t="s">
        <v>254</v>
      </c>
      <c r="E917" s="4" t="s">
        <v>255</v>
      </c>
      <c r="F917" s="4" t="s">
        <v>195</v>
      </c>
      <c r="G917" s="4" t="s">
        <v>140</v>
      </c>
      <c r="H917" s="4" t="s">
        <v>250</v>
      </c>
      <c r="I917" s="7">
        <v>15.666</v>
      </c>
      <c r="J917" s="7">
        <v>24.704999999999998</v>
      </c>
      <c r="K917" s="7">
        <v>27.402000000000001</v>
      </c>
      <c r="L917" s="7">
        <v>34.118000000000002</v>
      </c>
      <c r="M917" s="7">
        <v>34.335000000000001</v>
      </c>
      <c r="N917" s="7">
        <v>30.710999999999999</v>
      </c>
      <c r="O917" s="7">
        <v>29.478999999999999</v>
      </c>
      <c r="P917" s="7">
        <v>35.618000000000002</v>
      </c>
      <c r="Q917" s="7">
        <v>33.862000000000002</v>
      </c>
      <c r="R917" s="7">
        <v>30.402999999999999</v>
      </c>
      <c r="S917" s="7">
        <v>28.077000000000002</v>
      </c>
      <c r="T917" s="7">
        <v>23.785</v>
      </c>
      <c r="U917" s="7">
        <v>38.360999999999997</v>
      </c>
      <c r="V917" s="7">
        <v>37.11</v>
      </c>
      <c r="W917" s="7">
        <v>35.561999999999998</v>
      </c>
      <c r="X917" s="7">
        <v>36.698999999999998</v>
      </c>
      <c r="Y917" s="7">
        <v>40.491</v>
      </c>
      <c r="Z917" s="7">
        <v>36.247</v>
      </c>
      <c r="AA917" s="7">
        <v>37.768000000000001</v>
      </c>
      <c r="AB917" s="7">
        <v>32.585999999999999</v>
      </c>
      <c r="AC917" s="7">
        <v>27.404</v>
      </c>
      <c r="AD917" s="7">
        <v>29.416</v>
      </c>
      <c r="AE917" s="7">
        <v>35.79</v>
      </c>
      <c r="AF917" s="7">
        <v>37.191000000000003</v>
      </c>
      <c r="AG917" s="7">
        <v>37.877000000000002</v>
      </c>
      <c r="AH917" s="7">
        <v>46.273000000000003</v>
      </c>
      <c r="AI917" s="7">
        <v>49.857999999999997</v>
      </c>
      <c r="AJ917" s="7">
        <v>54.188000000000002</v>
      </c>
      <c r="AK917" s="7">
        <v>56.945</v>
      </c>
      <c r="AL917" s="7">
        <v>41.387</v>
      </c>
      <c r="AM917" s="7">
        <v>38.661000000000001</v>
      </c>
      <c r="AN917" s="7">
        <v>40.514000000000003</v>
      </c>
      <c r="AO917" s="7">
        <v>29.768000000000001</v>
      </c>
      <c r="AP917" s="7">
        <v>27.218</v>
      </c>
      <c r="AQ917" s="7">
        <v>25.582999999999998</v>
      </c>
      <c r="AR917" s="7">
        <v>27.366</v>
      </c>
      <c r="AS917" s="7">
        <v>26.550999999999998</v>
      </c>
      <c r="AT917" s="5">
        <v>5419.5559999999996</v>
      </c>
    </row>
    <row r="918" spans="1:46" x14ac:dyDescent="0.25">
      <c r="A918" s="4" t="s">
        <v>194</v>
      </c>
      <c r="B918" s="4" t="s">
        <v>207</v>
      </c>
      <c r="C918" s="4" t="s">
        <v>246</v>
      </c>
      <c r="D918" s="4" t="s">
        <v>254</v>
      </c>
      <c r="E918" s="4" t="s">
        <v>255</v>
      </c>
      <c r="F918" s="4" t="s">
        <v>195</v>
      </c>
      <c r="G918" s="4" t="s">
        <v>140</v>
      </c>
      <c r="H918" s="4" t="s">
        <v>251</v>
      </c>
      <c r="I918" s="7">
        <v>14.229562700000001</v>
      </c>
      <c r="J918" s="7">
        <v>16.977526699999999</v>
      </c>
      <c r="K918" s="7">
        <v>16.401087199999999</v>
      </c>
      <c r="L918" s="7">
        <v>17.320513500000001</v>
      </c>
      <c r="M918" s="7">
        <v>18.1883537</v>
      </c>
      <c r="N918" s="7">
        <v>16.7680799</v>
      </c>
      <c r="O918" s="7">
        <v>16.310683300000001</v>
      </c>
      <c r="P918" s="7">
        <v>19.412903400000001</v>
      </c>
      <c r="Q918" s="7">
        <v>19.966515000000001</v>
      </c>
      <c r="R918" s="7">
        <v>19.377030000000001</v>
      </c>
      <c r="S918" s="7">
        <v>17.8852908</v>
      </c>
      <c r="T918" s="7">
        <v>16.925405699999999</v>
      </c>
      <c r="U918" s="7">
        <v>20.256796000000001</v>
      </c>
      <c r="V918" s="7">
        <v>19.736774700000002</v>
      </c>
      <c r="W918" s="7">
        <v>19.0184286</v>
      </c>
      <c r="X918" s="7">
        <v>20.200199699999999</v>
      </c>
      <c r="Y918" s="7">
        <v>20.389596699999998</v>
      </c>
      <c r="Z918" s="7">
        <v>19.459015399999998</v>
      </c>
      <c r="AA918" s="7">
        <v>21.245877799999999</v>
      </c>
      <c r="AB918" s="7">
        <v>21.465892400000001</v>
      </c>
      <c r="AC918" s="7">
        <v>18.839103699999999</v>
      </c>
      <c r="AD918" s="7">
        <v>18.7085109</v>
      </c>
      <c r="AE918" s="7">
        <v>17.974388900000001</v>
      </c>
      <c r="AF918" s="7">
        <v>16.9548396</v>
      </c>
      <c r="AG918" s="7">
        <v>19.067152799999999</v>
      </c>
      <c r="AH918" s="7">
        <v>21.5025218</v>
      </c>
      <c r="AI918" s="7">
        <v>21.968556800000002</v>
      </c>
      <c r="AJ918" s="7">
        <v>21.3651546</v>
      </c>
      <c r="AK918" s="7">
        <v>21.694512199999998</v>
      </c>
      <c r="AL918" s="7">
        <v>18.184461599999999</v>
      </c>
      <c r="AM918" s="7">
        <v>17.8931118</v>
      </c>
      <c r="AN918" s="7">
        <v>19.226064399999998</v>
      </c>
      <c r="AO918" s="7">
        <v>16.743919000000002</v>
      </c>
      <c r="AP918" s="7">
        <v>13.7511095</v>
      </c>
      <c r="AQ918" s="7">
        <v>14.2707377</v>
      </c>
      <c r="AR918" s="7">
        <v>13.317359400000001</v>
      </c>
      <c r="AS918" s="7">
        <v>12.003975199999999</v>
      </c>
      <c r="AT918" s="7">
        <v>26.550999999999998</v>
      </c>
    </row>
    <row r="919" spans="1:46" x14ac:dyDescent="0.25">
      <c r="A919" s="4" t="s">
        <v>194</v>
      </c>
      <c r="B919" s="4" t="s">
        <v>207</v>
      </c>
      <c r="C919" s="4" t="s">
        <v>246</v>
      </c>
      <c r="D919" s="4" t="s">
        <v>254</v>
      </c>
      <c r="E919" s="4" t="s">
        <v>255</v>
      </c>
      <c r="F919" s="4" t="s">
        <v>195</v>
      </c>
      <c r="G919" s="4" t="s">
        <v>140</v>
      </c>
      <c r="H919" s="4" t="s">
        <v>252</v>
      </c>
      <c r="I919" s="16">
        <v>0.314</v>
      </c>
      <c r="J919" s="16">
        <v>0.39400000000000002</v>
      </c>
      <c r="K919" s="16">
        <v>0.19900000000000001</v>
      </c>
      <c r="L919" s="16">
        <v>0.75</v>
      </c>
      <c r="M919" s="16">
        <v>0.36299999999999999</v>
      </c>
      <c r="N919" s="16">
        <v>0.28699999999999998</v>
      </c>
      <c r="O919" s="16">
        <v>0.41499999999999998</v>
      </c>
      <c r="P919" s="16">
        <v>0.43099999999999999</v>
      </c>
      <c r="Q919" s="16">
        <v>0.51800000000000002</v>
      </c>
      <c r="R919" s="16">
        <v>0.47099999999999997</v>
      </c>
      <c r="S919" s="16">
        <v>0.35699999999999998</v>
      </c>
      <c r="T919" s="16">
        <v>0.35899999999999999</v>
      </c>
      <c r="U919" s="16">
        <v>0.38800000000000001</v>
      </c>
      <c r="V919" s="16">
        <v>0.29499999999999998</v>
      </c>
      <c r="W919" s="16">
        <v>0.55700000000000005</v>
      </c>
      <c r="X919" s="16">
        <v>0.53</v>
      </c>
      <c r="Y919" s="16">
        <v>0.28899999999999998</v>
      </c>
      <c r="Z919" s="16">
        <v>0.52800000000000002</v>
      </c>
      <c r="AA919" s="16">
        <v>0.41199999999999998</v>
      </c>
      <c r="AB919" s="16">
        <v>0.33200000000000002</v>
      </c>
      <c r="AC919" s="16">
        <v>0.48099999999999998</v>
      </c>
      <c r="AD919" s="16">
        <v>0.435</v>
      </c>
      <c r="AE919" s="16">
        <v>0.60299999999999998</v>
      </c>
      <c r="AF919" s="16">
        <v>0.58599999999999997</v>
      </c>
      <c r="AG919" s="16">
        <v>0.624</v>
      </c>
      <c r="AH919" s="16">
        <v>1.0229999999999999</v>
      </c>
      <c r="AI919" s="16">
        <v>0.86599999999999999</v>
      </c>
      <c r="AJ919" s="16">
        <v>0.76800000000000002</v>
      </c>
      <c r="AK919" s="16">
        <v>0.502</v>
      </c>
      <c r="AL919" s="16">
        <v>0.47599999999999998</v>
      </c>
      <c r="AM919" s="16">
        <v>0.48099999999999998</v>
      </c>
      <c r="AN919" s="16">
        <v>0.29499999999999998</v>
      </c>
      <c r="AO919" s="16">
        <v>0.36399999999999999</v>
      </c>
      <c r="AP919" s="16">
        <v>0.35199999999999998</v>
      </c>
      <c r="AQ919" s="16">
        <v>0.35899999999999999</v>
      </c>
      <c r="AR919" s="16">
        <v>0.38500000000000001</v>
      </c>
      <c r="AS919" s="16">
        <v>0.439</v>
      </c>
      <c r="AT919" s="7">
        <v>12.003975199999999</v>
      </c>
    </row>
    <row r="920" spans="1:46" x14ac:dyDescent="0.25">
      <c r="A920" s="4" t="s">
        <v>194</v>
      </c>
      <c r="B920" s="4" t="s">
        <v>207</v>
      </c>
      <c r="C920" s="4" t="s">
        <v>246</v>
      </c>
      <c r="D920" s="4" t="s">
        <v>254</v>
      </c>
      <c r="E920" s="4" t="s">
        <v>256</v>
      </c>
      <c r="F920" s="4" t="s">
        <v>195</v>
      </c>
      <c r="G920" s="4" t="s">
        <v>93</v>
      </c>
      <c r="H920" s="4" t="s">
        <v>151</v>
      </c>
      <c r="I920" s="5">
        <v>382.45600000000002</v>
      </c>
      <c r="J920" s="5">
        <v>697.93600000000004</v>
      </c>
      <c r="K920" s="5">
        <v>1012.973</v>
      </c>
      <c r="L920" s="5">
        <v>887.76599999999996</v>
      </c>
      <c r="M920" s="5">
        <v>1452.7929999999999</v>
      </c>
      <c r="N920" s="5">
        <v>1115.7560000000001</v>
      </c>
      <c r="O920" s="5">
        <v>1213.6559999999999</v>
      </c>
      <c r="P920" s="5">
        <v>669.17499999999995</v>
      </c>
      <c r="Q920" s="5">
        <v>715.428</v>
      </c>
      <c r="R920" s="5">
        <v>637.71400000000006</v>
      </c>
      <c r="S920" s="5">
        <v>769.33100000000002</v>
      </c>
      <c r="T920" s="5">
        <v>967.01300000000003</v>
      </c>
      <c r="U920" s="5">
        <v>712.19600000000003</v>
      </c>
      <c r="V920" s="5">
        <v>366.976</v>
      </c>
      <c r="W920" s="5">
        <v>990.13300000000004</v>
      </c>
      <c r="X920" s="5">
        <v>1294.5909999999999</v>
      </c>
      <c r="Y920" s="5">
        <v>1127.3230000000001</v>
      </c>
      <c r="Z920" s="5">
        <v>1272.1379999999999</v>
      </c>
      <c r="AA920" s="5">
        <v>1289.347</v>
      </c>
      <c r="AB920" s="5">
        <v>1038.7049999999999</v>
      </c>
      <c r="AC920" s="5">
        <v>839.14</v>
      </c>
      <c r="AD920" s="5">
        <v>834.61599999999999</v>
      </c>
      <c r="AE920" s="5">
        <v>770.43799999999999</v>
      </c>
      <c r="AF920" s="5">
        <v>544.23</v>
      </c>
      <c r="AG920" s="5">
        <v>594.92600000000004</v>
      </c>
      <c r="AH920" s="5">
        <v>654.726</v>
      </c>
      <c r="AI920" s="5">
        <v>977.22900000000004</v>
      </c>
      <c r="AJ920" s="5">
        <v>788.66899999999998</v>
      </c>
      <c r="AK920" s="5">
        <v>942.30100000000004</v>
      </c>
      <c r="AL920" s="5">
        <v>830.92100000000005</v>
      </c>
      <c r="AM920" s="5">
        <v>616.95500000000004</v>
      </c>
      <c r="AN920" s="5">
        <v>496.55799999999999</v>
      </c>
      <c r="AO920" s="5">
        <v>252.29499999999999</v>
      </c>
      <c r="AP920" s="5">
        <v>319.70499999999998</v>
      </c>
      <c r="AQ920" s="5">
        <v>320.88600000000002</v>
      </c>
      <c r="AR920" s="5">
        <v>406.75</v>
      </c>
      <c r="AS920" s="5">
        <v>411.74299999999999</v>
      </c>
      <c r="AT920" s="5">
        <v>411.74299999999999</v>
      </c>
    </row>
    <row r="921" spans="1:46" x14ac:dyDescent="0.25">
      <c r="A921" s="4" t="s">
        <v>194</v>
      </c>
      <c r="B921" s="4" t="s">
        <v>207</v>
      </c>
      <c r="C921" s="4" t="s">
        <v>246</v>
      </c>
      <c r="D921" s="4" t="s">
        <v>254</v>
      </c>
      <c r="E921" s="4" t="s">
        <v>256</v>
      </c>
      <c r="F921" s="4" t="s">
        <v>195</v>
      </c>
      <c r="G921" s="4" t="s">
        <v>93</v>
      </c>
      <c r="H921" s="4" t="s">
        <v>205</v>
      </c>
      <c r="I921" s="6">
        <v>108421.212</v>
      </c>
      <c r="J921" s="6">
        <v>182194.85200000001</v>
      </c>
      <c r="K921" s="6">
        <v>269982.94900000002</v>
      </c>
      <c r="L921" s="6">
        <v>244809.82199999999</v>
      </c>
      <c r="M921" s="6">
        <v>401186.03600000002</v>
      </c>
      <c r="N921" s="6">
        <v>304265.63</v>
      </c>
      <c r="O921" s="6">
        <v>331573.70299999998</v>
      </c>
      <c r="P921" s="6">
        <v>184998.93700000001</v>
      </c>
      <c r="Q921" s="6">
        <v>198317.27100000001</v>
      </c>
      <c r="R921" s="6">
        <v>163263.21</v>
      </c>
      <c r="S921" s="6">
        <v>196751.62100000001</v>
      </c>
      <c r="T921" s="6">
        <v>247083.617</v>
      </c>
      <c r="U921" s="6">
        <v>184571.60200000001</v>
      </c>
      <c r="V921" s="6">
        <v>101834.41</v>
      </c>
      <c r="W921" s="6">
        <v>259465.68</v>
      </c>
      <c r="X921" s="6">
        <v>362577.005</v>
      </c>
      <c r="Y921" s="6">
        <v>306203.234</v>
      </c>
      <c r="Z921" s="6">
        <v>341941.03100000002</v>
      </c>
      <c r="AA921" s="6">
        <v>378814.26</v>
      </c>
      <c r="AB921" s="6">
        <v>304230.90600000002</v>
      </c>
      <c r="AC921" s="6">
        <v>258325.128</v>
      </c>
      <c r="AD921" s="6">
        <v>256403.269</v>
      </c>
      <c r="AE921" s="6">
        <v>239782.53599999999</v>
      </c>
      <c r="AF921" s="6">
        <v>167781.34400000001</v>
      </c>
      <c r="AG921" s="6">
        <v>190063.40599999999</v>
      </c>
      <c r="AH921" s="6">
        <v>213511.63500000001</v>
      </c>
      <c r="AI921" s="6">
        <v>318667.609</v>
      </c>
      <c r="AJ921" s="6">
        <v>248196.296</v>
      </c>
      <c r="AK921" s="6">
        <v>310253.70400000003</v>
      </c>
      <c r="AL921" s="6">
        <v>257362.196</v>
      </c>
      <c r="AM921" s="6">
        <v>189855.28099999999</v>
      </c>
      <c r="AN921" s="6">
        <v>158006.79699999999</v>
      </c>
      <c r="AO921" s="6">
        <v>78233.062000000005</v>
      </c>
      <c r="AP921" s="6">
        <v>100580.894</v>
      </c>
      <c r="AQ921" s="6">
        <v>101682.849</v>
      </c>
      <c r="AR921" s="6">
        <v>135719.465</v>
      </c>
      <c r="AS921" s="6">
        <v>125555.51</v>
      </c>
      <c r="AT921" s="6">
        <v>125555.51</v>
      </c>
    </row>
    <row r="922" spans="1:46" x14ac:dyDescent="0.25">
      <c r="A922" s="4" t="s">
        <v>194</v>
      </c>
      <c r="B922" s="4" t="s">
        <v>207</v>
      </c>
      <c r="C922" s="4" t="s">
        <v>246</v>
      </c>
      <c r="D922" s="4" t="s">
        <v>254</v>
      </c>
      <c r="E922" s="4" t="s">
        <v>256</v>
      </c>
      <c r="F922" s="4" t="s">
        <v>195</v>
      </c>
      <c r="G922" s="4" t="s">
        <v>93</v>
      </c>
      <c r="H922" s="4" t="s">
        <v>249</v>
      </c>
      <c r="I922" s="7">
        <v>0.79700000000000004</v>
      </c>
      <c r="J922" s="7">
        <v>1.0660000000000001</v>
      </c>
      <c r="K922" s="7">
        <v>1.2470000000000001</v>
      </c>
      <c r="L922" s="7">
        <v>0.84699999999999998</v>
      </c>
      <c r="M922" s="7">
        <v>1.155</v>
      </c>
      <c r="N922" s="7">
        <v>0.82</v>
      </c>
      <c r="O922" s="7">
        <v>0.97</v>
      </c>
      <c r="P922" s="7">
        <v>0.68600000000000005</v>
      </c>
      <c r="Q922" s="7">
        <v>1.012</v>
      </c>
      <c r="R922" s="7">
        <v>1.2290000000000001</v>
      </c>
      <c r="S922" s="7">
        <v>1.72</v>
      </c>
      <c r="T922" s="7">
        <v>2.2410000000000001</v>
      </c>
      <c r="U922" s="7">
        <v>1.5349999999999999</v>
      </c>
      <c r="V922" s="7">
        <v>0.627</v>
      </c>
      <c r="W922" s="7">
        <v>1.218</v>
      </c>
      <c r="X922" s="7">
        <v>1.2889999999999999</v>
      </c>
      <c r="Y922" s="7">
        <v>0.93600000000000005</v>
      </c>
      <c r="Z922" s="7">
        <v>1.1559999999999999</v>
      </c>
      <c r="AA922" s="7">
        <v>1.0880000000000001</v>
      </c>
      <c r="AB922" s="7">
        <v>1.095</v>
      </c>
      <c r="AC922" s="7">
        <v>1.052</v>
      </c>
      <c r="AD922" s="7">
        <v>1.244</v>
      </c>
      <c r="AE922" s="7">
        <v>1.4059999999999999</v>
      </c>
      <c r="AF922" s="7">
        <v>1.238</v>
      </c>
      <c r="AG922" s="7">
        <v>1.2629999999999999</v>
      </c>
      <c r="AH922" s="7">
        <v>1.1379999999999999</v>
      </c>
      <c r="AI922" s="7">
        <v>1.331</v>
      </c>
      <c r="AJ922" s="7">
        <v>0.73599999999999999</v>
      </c>
      <c r="AK922" s="7">
        <v>0.76400000000000001</v>
      </c>
      <c r="AL922" s="7">
        <v>0.58699999999999997</v>
      </c>
      <c r="AM922" s="7">
        <v>0.38600000000000001</v>
      </c>
      <c r="AN922" s="7">
        <v>0.316</v>
      </c>
      <c r="AO922" s="7">
        <v>0.215</v>
      </c>
      <c r="AP922" s="7">
        <v>0.34599999999999997</v>
      </c>
      <c r="AQ922" s="7">
        <v>0.47199999999999998</v>
      </c>
      <c r="AR922" s="7">
        <v>0.88800000000000001</v>
      </c>
      <c r="AS922" s="7">
        <v>1.0980000000000001</v>
      </c>
      <c r="AT922" s="7">
        <v>0.17199999999999999</v>
      </c>
    </row>
    <row r="923" spans="1:46" x14ac:dyDescent="0.25">
      <c r="A923" s="4" t="s">
        <v>194</v>
      </c>
      <c r="B923" s="4" t="s">
        <v>207</v>
      </c>
      <c r="C923" s="4" t="s">
        <v>246</v>
      </c>
      <c r="D923" s="4" t="s">
        <v>254</v>
      </c>
      <c r="E923" s="4" t="s">
        <v>256</v>
      </c>
      <c r="F923" s="4" t="s">
        <v>195</v>
      </c>
      <c r="G923" s="4" t="s">
        <v>93</v>
      </c>
      <c r="H923" s="4" t="s">
        <v>250</v>
      </c>
      <c r="I923" s="7">
        <v>37.045999999999999</v>
      </c>
      <c r="J923" s="7">
        <v>39.146999999999998</v>
      </c>
      <c r="K923" s="7">
        <v>40.585000000000001</v>
      </c>
      <c r="L923" s="7">
        <v>46.487000000000002</v>
      </c>
      <c r="M923" s="7">
        <v>46.231999999999999</v>
      </c>
      <c r="N923" s="7">
        <v>44.436999999999998</v>
      </c>
      <c r="O923" s="7">
        <v>42.317</v>
      </c>
      <c r="P923" s="7">
        <v>44.203000000000003</v>
      </c>
      <c r="Q923" s="7">
        <v>40.654000000000003</v>
      </c>
      <c r="R923" s="7">
        <v>40.456000000000003</v>
      </c>
      <c r="S923" s="7">
        <v>43.017000000000003</v>
      </c>
      <c r="T923" s="7">
        <v>45.262999999999998</v>
      </c>
      <c r="U923" s="7">
        <v>46.411000000000001</v>
      </c>
      <c r="V923" s="7">
        <v>41.423999999999999</v>
      </c>
      <c r="W923" s="7">
        <v>44.774000000000001</v>
      </c>
      <c r="X923" s="7">
        <v>41.421999999999997</v>
      </c>
      <c r="Y923" s="7">
        <v>45.716000000000001</v>
      </c>
      <c r="Z923" s="7">
        <v>49.366999999999997</v>
      </c>
      <c r="AA923" s="7">
        <v>46.237000000000002</v>
      </c>
      <c r="AB923" s="7">
        <v>44.795000000000002</v>
      </c>
      <c r="AC923" s="7">
        <v>45.585000000000001</v>
      </c>
      <c r="AD923" s="7">
        <v>40.133000000000003</v>
      </c>
      <c r="AE923" s="7">
        <v>36.091999999999999</v>
      </c>
      <c r="AF923" s="7">
        <v>34.161000000000001</v>
      </c>
      <c r="AG923" s="7">
        <v>30.099</v>
      </c>
      <c r="AH923" s="7">
        <v>33.926000000000002</v>
      </c>
      <c r="AI923" s="7">
        <v>36.875</v>
      </c>
      <c r="AJ923" s="7">
        <v>28.574999999999999</v>
      </c>
      <c r="AK923" s="7">
        <v>24.853000000000002</v>
      </c>
      <c r="AL923" s="7">
        <v>23.849</v>
      </c>
      <c r="AM923" s="7">
        <v>21.678000000000001</v>
      </c>
      <c r="AN923" s="7">
        <v>22.024000000000001</v>
      </c>
      <c r="AO923" s="7">
        <v>17.977</v>
      </c>
      <c r="AP923" s="7">
        <v>20.337</v>
      </c>
      <c r="AQ923" s="7">
        <v>21.693000000000001</v>
      </c>
      <c r="AR923" s="7">
        <v>25.33</v>
      </c>
      <c r="AS923" s="7">
        <v>25.192</v>
      </c>
      <c r="AT923" s="5">
        <v>950.13499999999999</v>
      </c>
    </row>
    <row r="924" spans="1:46" x14ac:dyDescent="0.25">
      <c r="A924" s="4" t="s">
        <v>194</v>
      </c>
      <c r="B924" s="4" t="s">
        <v>207</v>
      </c>
      <c r="C924" s="4" t="s">
        <v>246</v>
      </c>
      <c r="D924" s="4" t="s">
        <v>254</v>
      </c>
      <c r="E924" s="4" t="s">
        <v>256</v>
      </c>
      <c r="F924" s="4" t="s">
        <v>195</v>
      </c>
      <c r="G924" s="4" t="s">
        <v>93</v>
      </c>
      <c r="H924" s="4" t="s">
        <v>251</v>
      </c>
      <c r="I924" s="7">
        <v>22.197049199999999</v>
      </c>
      <c r="J924" s="7">
        <v>23.7828491</v>
      </c>
      <c r="K924" s="7">
        <v>24.546962300000001</v>
      </c>
      <c r="L924" s="7">
        <v>25.952193600000001</v>
      </c>
      <c r="M924" s="7">
        <v>24.612670699999999</v>
      </c>
      <c r="N924" s="7">
        <v>23.963603800000001</v>
      </c>
      <c r="O924" s="7">
        <v>24.052731300000001</v>
      </c>
      <c r="P924" s="7">
        <v>25.686685900000001</v>
      </c>
      <c r="Q924" s="7">
        <v>22.726067700000002</v>
      </c>
      <c r="R924" s="7">
        <v>24.817837600000001</v>
      </c>
      <c r="S924" s="7">
        <v>24.827584399999999</v>
      </c>
      <c r="T924" s="7">
        <v>26.631593599999999</v>
      </c>
      <c r="U924" s="7">
        <v>23.294269799999999</v>
      </c>
      <c r="V924" s="7">
        <v>22.757482100000001</v>
      </c>
      <c r="W924" s="7">
        <v>24.695500200000001</v>
      </c>
      <c r="X924" s="7">
        <v>22.717597099999999</v>
      </c>
      <c r="Y924" s="7">
        <v>18.893124799999999</v>
      </c>
      <c r="Z924" s="7">
        <v>22.7077189</v>
      </c>
      <c r="AA924" s="7">
        <v>20.996103000000002</v>
      </c>
      <c r="AB924" s="7">
        <v>20.5633591</v>
      </c>
      <c r="AC924" s="7">
        <v>20.772041300000001</v>
      </c>
      <c r="AD924" s="7">
        <v>20.2290691</v>
      </c>
      <c r="AE924" s="7">
        <v>19.5662606</v>
      </c>
      <c r="AF924" s="7">
        <v>18.985191400000001</v>
      </c>
      <c r="AG924" s="7">
        <v>19.065567399999999</v>
      </c>
      <c r="AH924" s="7">
        <v>18.321043400000001</v>
      </c>
      <c r="AI924" s="7">
        <v>19.8830934</v>
      </c>
      <c r="AJ924" s="7">
        <v>18.687777000000001</v>
      </c>
      <c r="AK924" s="7">
        <v>16.9356258</v>
      </c>
      <c r="AL924" s="7">
        <v>16.315139500000001</v>
      </c>
      <c r="AM924" s="7">
        <v>15.6408451</v>
      </c>
      <c r="AN924" s="7">
        <v>15.5229029</v>
      </c>
      <c r="AO924" s="7">
        <v>12.2261889</v>
      </c>
      <c r="AP924" s="7">
        <v>12.493666299999999</v>
      </c>
      <c r="AQ924" s="7">
        <v>13.9282045</v>
      </c>
      <c r="AR924" s="7">
        <v>14.5606654</v>
      </c>
      <c r="AS924" s="7">
        <v>14.7197786</v>
      </c>
      <c r="AT924" s="7">
        <v>25.192</v>
      </c>
    </row>
    <row r="925" spans="1:46" x14ac:dyDescent="0.25">
      <c r="A925" s="4" t="s">
        <v>194</v>
      </c>
      <c r="B925" s="4" t="s">
        <v>207</v>
      </c>
      <c r="C925" s="4" t="s">
        <v>246</v>
      </c>
      <c r="D925" s="4" t="s">
        <v>254</v>
      </c>
      <c r="E925" s="4" t="s">
        <v>256</v>
      </c>
      <c r="F925" s="4" t="s">
        <v>195</v>
      </c>
      <c r="G925" s="4" t="s">
        <v>93</v>
      </c>
      <c r="H925" s="4" t="s">
        <v>252</v>
      </c>
      <c r="I925" s="16">
        <v>0.94399999999999995</v>
      </c>
      <c r="J925" s="16">
        <v>0.76200000000000001</v>
      </c>
      <c r="K925" s="16">
        <v>0.91600000000000004</v>
      </c>
      <c r="L925" s="16">
        <v>0.997</v>
      </c>
      <c r="M925" s="16">
        <v>0.98899999999999999</v>
      </c>
      <c r="N925" s="16">
        <v>0.89400000000000002</v>
      </c>
      <c r="O925" s="16">
        <v>0.872</v>
      </c>
      <c r="P925" s="16">
        <v>0.91</v>
      </c>
      <c r="Q925" s="16">
        <v>1.02</v>
      </c>
      <c r="R925" s="16">
        <v>0.999</v>
      </c>
      <c r="S925" s="16">
        <v>0.91900000000000004</v>
      </c>
      <c r="T925" s="16">
        <v>0.93</v>
      </c>
      <c r="U925" s="16">
        <v>0.78400000000000003</v>
      </c>
      <c r="V925" s="16">
        <v>0.88100000000000001</v>
      </c>
      <c r="W925" s="16">
        <v>0.93200000000000005</v>
      </c>
      <c r="X925" s="16">
        <v>0.67100000000000004</v>
      </c>
      <c r="Y925" s="16">
        <v>0.65200000000000002</v>
      </c>
      <c r="Z925" s="16">
        <v>0.71299999999999997</v>
      </c>
      <c r="AA925" s="16">
        <v>0.67400000000000004</v>
      </c>
      <c r="AB925" s="16">
        <v>0.70799999999999996</v>
      </c>
      <c r="AC925" s="16">
        <v>0.71</v>
      </c>
      <c r="AD925" s="16">
        <v>0.69199999999999995</v>
      </c>
      <c r="AE925" s="16">
        <v>0.748</v>
      </c>
      <c r="AF925" s="16">
        <v>0.81599999999999995</v>
      </c>
      <c r="AG925" s="16">
        <v>0.83899999999999997</v>
      </c>
      <c r="AH925" s="16">
        <v>0.91600000000000004</v>
      </c>
      <c r="AI925" s="16">
        <v>0.58799999999999997</v>
      </c>
      <c r="AJ925" s="16">
        <v>0.61599999999999999</v>
      </c>
      <c r="AK925" s="16">
        <v>0.51500000000000001</v>
      </c>
      <c r="AL925" s="16">
        <v>0.60299999999999998</v>
      </c>
      <c r="AM925" s="16">
        <v>0.47699999999999998</v>
      </c>
      <c r="AN925" s="16">
        <v>0.38100000000000001</v>
      </c>
      <c r="AO925" s="16">
        <v>0.499</v>
      </c>
      <c r="AP925" s="16">
        <v>0.47</v>
      </c>
      <c r="AQ925" s="16">
        <v>0.48099999999999998</v>
      </c>
      <c r="AR925" s="16">
        <v>0.39600000000000002</v>
      </c>
      <c r="AS925" s="16">
        <v>0.434</v>
      </c>
      <c r="AT925" s="7">
        <v>14.7197786</v>
      </c>
    </row>
    <row r="926" spans="1:46" x14ac:dyDescent="0.25">
      <c r="A926" s="4" t="s">
        <v>194</v>
      </c>
      <c r="B926" s="4" t="s">
        <v>207</v>
      </c>
      <c r="C926" s="4" t="s">
        <v>246</v>
      </c>
      <c r="D926" s="4" t="s">
        <v>254</v>
      </c>
      <c r="E926" s="4" t="s">
        <v>257</v>
      </c>
      <c r="F926" s="4" t="s">
        <v>203</v>
      </c>
      <c r="G926" s="4" t="s">
        <v>93</v>
      </c>
      <c r="H926" s="4" t="s">
        <v>151</v>
      </c>
      <c r="I926" s="5">
        <v>159.33699999999999</v>
      </c>
      <c r="J926" s="5">
        <v>419.07499999999999</v>
      </c>
      <c r="K926" s="5">
        <v>664.05399999999997</v>
      </c>
      <c r="L926" s="5">
        <v>583.69200000000001</v>
      </c>
      <c r="M926" s="5">
        <v>975.61800000000005</v>
      </c>
      <c r="N926" s="5">
        <v>1046.1669999999999</v>
      </c>
      <c r="O926" s="5">
        <v>1111.6120000000001</v>
      </c>
      <c r="P926" s="5">
        <v>805.03499999999997</v>
      </c>
      <c r="Q926" s="5">
        <v>357.47199999999998</v>
      </c>
      <c r="R926" s="5">
        <v>268.73700000000002</v>
      </c>
      <c r="S926" s="5">
        <v>232.017</v>
      </c>
      <c r="T926" s="5">
        <v>229.86600000000001</v>
      </c>
      <c r="U926" s="5">
        <v>398.82900000000001</v>
      </c>
      <c r="V926" s="5">
        <v>383.19600000000003</v>
      </c>
      <c r="W926" s="5">
        <v>875.30399999999997</v>
      </c>
      <c r="X926" s="5">
        <v>815.72500000000002</v>
      </c>
      <c r="Y926" s="5">
        <v>980.67600000000004</v>
      </c>
      <c r="Z926" s="5">
        <v>660.04200000000003</v>
      </c>
      <c r="AA926" s="5">
        <v>446.02</v>
      </c>
      <c r="AB926" s="5">
        <v>324.02800000000002</v>
      </c>
      <c r="AC926" s="5">
        <v>301.12400000000002</v>
      </c>
      <c r="AD926" s="5">
        <v>341.64600000000002</v>
      </c>
      <c r="AE926" s="5">
        <v>189.82</v>
      </c>
      <c r="AF926" s="5">
        <v>312.53300000000002</v>
      </c>
      <c r="AG926" s="5">
        <v>242.22</v>
      </c>
      <c r="AH926" s="5">
        <v>432.46499999999997</v>
      </c>
      <c r="AI926" s="5">
        <v>389.41300000000001</v>
      </c>
      <c r="AJ926" s="5">
        <v>315.04199999999997</v>
      </c>
      <c r="AK926" s="5">
        <v>554.29100000000005</v>
      </c>
      <c r="AL926" s="5">
        <v>556.17100000000005</v>
      </c>
      <c r="AM926" s="5">
        <v>762.14499999999998</v>
      </c>
      <c r="AN926" s="5">
        <v>340.15</v>
      </c>
      <c r="AO926" s="5">
        <v>437.79500000000002</v>
      </c>
      <c r="AP926" s="5">
        <v>277.505</v>
      </c>
      <c r="AQ926" s="5">
        <v>193.80600000000001</v>
      </c>
      <c r="AR926" s="5">
        <v>0</v>
      </c>
      <c r="AS926" s="5">
        <v>59.99</v>
      </c>
      <c r="AT926" s="5">
        <v>59.99</v>
      </c>
    </row>
    <row r="927" spans="1:46" x14ac:dyDescent="0.25">
      <c r="A927" s="4" t="s">
        <v>194</v>
      </c>
      <c r="B927" s="4" t="s">
        <v>207</v>
      </c>
      <c r="C927" s="4" t="s">
        <v>246</v>
      </c>
      <c r="D927" s="4" t="s">
        <v>254</v>
      </c>
      <c r="E927" s="4" t="s">
        <v>257</v>
      </c>
      <c r="F927" s="4" t="s">
        <v>203</v>
      </c>
      <c r="G927" s="4" t="s">
        <v>93</v>
      </c>
      <c r="H927" s="4" t="s">
        <v>205</v>
      </c>
      <c r="I927" s="6">
        <v>19766.164000000001</v>
      </c>
      <c r="J927" s="6">
        <v>54450.917000000001</v>
      </c>
      <c r="K927" s="6">
        <v>88760.678</v>
      </c>
      <c r="L927" s="6">
        <v>78715.573999999993</v>
      </c>
      <c r="M927" s="6">
        <v>135118.601</v>
      </c>
      <c r="N927" s="6">
        <v>147198.856</v>
      </c>
      <c r="O927" s="6">
        <v>157885.44899999999</v>
      </c>
      <c r="P927" s="6">
        <v>114100.74400000001</v>
      </c>
      <c r="Q927" s="6">
        <v>50039.423999999999</v>
      </c>
      <c r="R927" s="6">
        <v>37990.911999999997</v>
      </c>
      <c r="S927" s="6">
        <v>31595.611000000001</v>
      </c>
      <c r="T927" s="6">
        <v>33456.565999999999</v>
      </c>
      <c r="U927" s="6">
        <v>54976.796999999999</v>
      </c>
      <c r="V927" s="6">
        <v>52866.758999999998</v>
      </c>
      <c r="W927" s="6">
        <v>120269.099</v>
      </c>
      <c r="X927" s="6">
        <v>115659.625</v>
      </c>
      <c r="Y927" s="6">
        <v>142634.291</v>
      </c>
      <c r="Z927" s="6">
        <v>92721.407000000007</v>
      </c>
      <c r="AA927" s="6">
        <v>67679.343999999997</v>
      </c>
      <c r="AB927" s="6">
        <v>48764.107000000004</v>
      </c>
      <c r="AC927" s="6">
        <v>43353.917999999998</v>
      </c>
      <c r="AD927" s="6">
        <v>51641.758000000002</v>
      </c>
      <c r="AE927" s="6">
        <v>28183.683000000001</v>
      </c>
      <c r="AF927" s="6">
        <v>45281.561999999998</v>
      </c>
      <c r="AG927" s="6">
        <v>33718.32</v>
      </c>
      <c r="AH927" s="6">
        <v>61814.589</v>
      </c>
      <c r="AI927" s="6">
        <v>59227.775000000001</v>
      </c>
      <c r="AJ927" s="6">
        <v>45331.34</v>
      </c>
      <c r="AK927" s="6">
        <v>81492.978000000003</v>
      </c>
      <c r="AL927" s="6">
        <v>75713.486999999994</v>
      </c>
      <c r="AM927" s="6">
        <v>108337.613</v>
      </c>
      <c r="AN927" s="6">
        <v>44693.906999999999</v>
      </c>
      <c r="AO927" s="6">
        <v>59581.919999999998</v>
      </c>
      <c r="AP927" s="6">
        <v>43992.773999999998</v>
      </c>
      <c r="AQ927" s="6">
        <v>27583.975999999999</v>
      </c>
      <c r="AR927" s="6">
        <v>0</v>
      </c>
      <c r="AS927" s="6">
        <v>8698.5400000000009</v>
      </c>
      <c r="AT927" s="6">
        <v>8698.5400000000009</v>
      </c>
    </row>
    <row r="928" spans="1:46" x14ac:dyDescent="0.25">
      <c r="A928" s="4" t="s">
        <v>194</v>
      </c>
      <c r="B928" s="4" t="s">
        <v>207</v>
      </c>
      <c r="C928" s="4" t="s">
        <v>246</v>
      </c>
      <c r="D928" s="4" t="s">
        <v>254</v>
      </c>
      <c r="E928" s="4" t="s">
        <v>257</v>
      </c>
      <c r="F928" s="4" t="s">
        <v>203</v>
      </c>
      <c r="G928" s="4" t="s">
        <v>93</v>
      </c>
      <c r="H928" s="4" t="s">
        <v>249</v>
      </c>
      <c r="I928" s="7">
        <v>0.255</v>
      </c>
      <c r="J928" s="7">
        <v>0.49299999999999999</v>
      </c>
      <c r="K928" s="7">
        <v>0.629</v>
      </c>
      <c r="L928" s="7">
        <v>0.42899999999999999</v>
      </c>
      <c r="M928" s="7">
        <v>0.59699999999999998</v>
      </c>
      <c r="N928" s="7">
        <v>0.59099999999999997</v>
      </c>
      <c r="O928" s="7">
        <v>0.68300000000000005</v>
      </c>
      <c r="P928" s="7">
        <v>0.63500000000000001</v>
      </c>
      <c r="Q928" s="7">
        <v>0.38900000000000001</v>
      </c>
      <c r="R928" s="7">
        <v>0.39800000000000002</v>
      </c>
      <c r="S928" s="7">
        <v>0.39900000000000002</v>
      </c>
      <c r="T928" s="7">
        <v>0.41</v>
      </c>
      <c r="U928" s="7">
        <v>0.66100000000000003</v>
      </c>
      <c r="V928" s="7">
        <v>0.504</v>
      </c>
      <c r="W928" s="7">
        <v>0.82799999999999996</v>
      </c>
      <c r="X928" s="7">
        <v>0.625</v>
      </c>
      <c r="Y928" s="7">
        <v>0.627</v>
      </c>
      <c r="Z928" s="7">
        <v>0.46100000000000002</v>
      </c>
      <c r="AA928" s="7">
        <v>0.28999999999999998</v>
      </c>
      <c r="AB928" s="7">
        <v>0.26300000000000001</v>
      </c>
      <c r="AC928" s="7">
        <v>0.28999999999999998</v>
      </c>
      <c r="AD928" s="7">
        <v>0.39200000000000002</v>
      </c>
      <c r="AE928" s="7">
        <v>0.26600000000000001</v>
      </c>
      <c r="AF928" s="7">
        <v>0.54700000000000004</v>
      </c>
      <c r="AG928" s="7">
        <v>0.39600000000000002</v>
      </c>
      <c r="AH928" s="7">
        <v>0.57799999999999996</v>
      </c>
      <c r="AI928" s="7">
        <v>0.40799999999999997</v>
      </c>
      <c r="AJ928" s="7">
        <v>0.22600000000000001</v>
      </c>
      <c r="AK928" s="7">
        <v>0.34599999999999997</v>
      </c>
      <c r="AL928" s="7">
        <v>0.30199999999999999</v>
      </c>
      <c r="AM928" s="7">
        <v>0.36599999999999999</v>
      </c>
      <c r="AN928" s="7">
        <v>0.16700000000000001</v>
      </c>
      <c r="AO928" s="7">
        <v>0.28799999999999998</v>
      </c>
      <c r="AP928" s="7">
        <v>0.23100000000000001</v>
      </c>
      <c r="AQ928" s="7">
        <v>0.219</v>
      </c>
      <c r="AR928" s="7">
        <v>0</v>
      </c>
      <c r="AS928" s="7">
        <v>0.123</v>
      </c>
      <c r="AT928" s="7">
        <v>2.5000000000000001E-2</v>
      </c>
    </row>
    <row r="929" spans="1:46" x14ac:dyDescent="0.25">
      <c r="A929" s="4" t="s">
        <v>194</v>
      </c>
      <c r="B929" s="4" t="s">
        <v>207</v>
      </c>
      <c r="C929" s="4" t="s">
        <v>246</v>
      </c>
      <c r="D929" s="4" t="s">
        <v>254</v>
      </c>
      <c r="E929" s="4" t="s">
        <v>257</v>
      </c>
      <c r="F929" s="4" t="s">
        <v>203</v>
      </c>
      <c r="G929" s="4" t="s">
        <v>93</v>
      </c>
      <c r="H929" s="4" t="s">
        <v>250</v>
      </c>
      <c r="I929" s="7">
        <v>10.72</v>
      </c>
      <c r="J929" s="7">
        <v>14.221</v>
      </c>
      <c r="K929" s="7">
        <v>25.632999999999999</v>
      </c>
      <c r="L929" s="7">
        <v>26.742000000000001</v>
      </c>
      <c r="M929" s="7">
        <v>25.739000000000001</v>
      </c>
      <c r="N929" s="7">
        <v>18.023</v>
      </c>
      <c r="O929" s="7">
        <v>15.673999999999999</v>
      </c>
      <c r="P929" s="7">
        <v>15.231</v>
      </c>
      <c r="Q929" s="7">
        <v>10.769</v>
      </c>
      <c r="R929" s="7">
        <v>9.4250000000000007</v>
      </c>
      <c r="S929" s="7">
        <v>12.569000000000001</v>
      </c>
      <c r="T929" s="7">
        <v>12.301</v>
      </c>
      <c r="U929" s="7">
        <v>22.974</v>
      </c>
      <c r="V929" s="7">
        <v>20.161999999999999</v>
      </c>
      <c r="W929" s="7">
        <v>25.483000000000001</v>
      </c>
      <c r="X929" s="7">
        <v>23.693999999999999</v>
      </c>
      <c r="Y929" s="7">
        <v>25.384</v>
      </c>
      <c r="Z929" s="7">
        <v>23.388999999999999</v>
      </c>
      <c r="AA929" s="7">
        <v>12.242000000000001</v>
      </c>
      <c r="AB929" s="7">
        <v>11.205</v>
      </c>
      <c r="AC929" s="7">
        <v>14.223000000000001</v>
      </c>
      <c r="AD929" s="7">
        <v>14.308</v>
      </c>
      <c r="AE929" s="7">
        <v>11.308</v>
      </c>
      <c r="AF929" s="7">
        <v>10.196999999999999</v>
      </c>
      <c r="AG929" s="7">
        <v>9.1820000000000004</v>
      </c>
      <c r="AH929" s="7">
        <v>16.948</v>
      </c>
      <c r="AI929" s="7">
        <v>7.6470000000000002</v>
      </c>
      <c r="AJ929" s="7">
        <v>7.2309999999999999</v>
      </c>
      <c r="AK929" s="7">
        <v>10.92</v>
      </c>
      <c r="AL929" s="7">
        <v>10.583</v>
      </c>
      <c r="AM929" s="7">
        <v>9.58</v>
      </c>
      <c r="AN929" s="7">
        <v>9.9580000000000002</v>
      </c>
      <c r="AO929" s="7">
        <v>11.563000000000001</v>
      </c>
      <c r="AP929" s="7">
        <v>6.63</v>
      </c>
      <c r="AQ929" s="7">
        <v>7.835</v>
      </c>
      <c r="AR929" s="7">
        <v>5.9749999999999996</v>
      </c>
      <c r="AS929" s="7">
        <v>6.0529999999999999</v>
      </c>
      <c r="AT929" s="5">
        <v>267.017</v>
      </c>
    </row>
    <row r="930" spans="1:46" x14ac:dyDescent="0.25">
      <c r="A930" s="4" t="s">
        <v>194</v>
      </c>
      <c r="B930" s="4" t="s">
        <v>207</v>
      </c>
      <c r="C930" s="4" t="s">
        <v>246</v>
      </c>
      <c r="D930" s="4" t="s">
        <v>254</v>
      </c>
      <c r="E930" s="4" t="s">
        <v>257</v>
      </c>
      <c r="F930" s="4" t="s">
        <v>203</v>
      </c>
      <c r="G930" s="4" t="s">
        <v>93</v>
      </c>
      <c r="H930" s="4" t="s">
        <v>251</v>
      </c>
      <c r="I930" s="7">
        <v>8.8316224000000005</v>
      </c>
      <c r="J930" s="7">
        <v>10.171419200000001</v>
      </c>
      <c r="K930" s="7">
        <v>11.2410984</v>
      </c>
      <c r="L930" s="7">
        <v>11.708893</v>
      </c>
      <c r="M930" s="7">
        <v>12.769534999999999</v>
      </c>
      <c r="N930" s="7">
        <v>11.1699269</v>
      </c>
      <c r="O930" s="7">
        <v>12.5026929</v>
      </c>
      <c r="P930" s="7">
        <v>12.1902439</v>
      </c>
      <c r="Q930" s="7">
        <v>12.2932538</v>
      </c>
      <c r="R930" s="7">
        <v>12.6726426</v>
      </c>
      <c r="S930" s="7">
        <v>13.0656319</v>
      </c>
      <c r="T930" s="7">
        <v>12.725252899999999</v>
      </c>
      <c r="U930" s="7">
        <v>16.0935293</v>
      </c>
      <c r="V930" s="7">
        <v>17.380483399999999</v>
      </c>
      <c r="W930" s="7">
        <v>19.829985799999999</v>
      </c>
      <c r="X930" s="7">
        <v>21.1466976</v>
      </c>
      <c r="Y930" s="7">
        <v>19.8125781</v>
      </c>
      <c r="Z930" s="7">
        <v>16.150564200000002</v>
      </c>
      <c r="AA930" s="7">
        <v>12.337434699999999</v>
      </c>
      <c r="AB930" s="7">
        <v>12.367494600000001</v>
      </c>
      <c r="AC930" s="7">
        <v>12.786421600000001</v>
      </c>
      <c r="AD930" s="7">
        <v>12.0311038</v>
      </c>
      <c r="AE930" s="7">
        <v>10.439027400000001</v>
      </c>
      <c r="AF930" s="7">
        <v>11.1135903</v>
      </c>
      <c r="AG930" s="7">
        <v>9.8192302999999992</v>
      </c>
      <c r="AH930" s="7">
        <v>11.896563</v>
      </c>
      <c r="AI930" s="7">
        <v>10.967689</v>
      </c>
      <c r="AJ930" s="7">
        <v>9.1062218000000001</v>
      </c>
      <c r="AK930" s="7">
        <v>10.3241098</v>
      </c>
      <c r="AL930" s="7">
        <v>8.1157686000000009</v>
      </c>
      <c r="AM930" s="7">
        <v>7.9485403999999997</v>
      </c>
      <c r="AN930" s="7">
        <v>6.5730130999999998</v>
      </c>
      <c r="AO930" s="7">
        <v>5.5220225999999997</v>
      </c>
      <c r="AP930" s="7">
        <v>3.7862491999999999</v>
      </c>
      <c r="AQ930" s="7">
        <v>4.9097442999999998</v>
      </c>
      <c r="AR930" s="7">
        <v>4.2896244000000001</v>
      </c>
      <c r="AS930" s="7">
        <v>4.3423385999999997</v>
      </c>
      <c r="AT930" s="7">
        <v>6.0529999999999999</v>
      </c>
    </row>
    <row r="931" spans="1:46" x14ac:dyDescent="0.25">
      <c r="A931" s="4" t="s">
        <v>194</v>
      </c>
      <c r="B931" s="4" t="s">
        <v>207</v>
      </c>
      <c r="C931" s="4" t="s">
        <v>246</v>
      </c>
      <c r="D931" s="4" t="s">
        <v>254</v>
      </c>
      <c r="E931" s="4" t="s">
        <v>257</v>
      </c>
      <c r="F931" s="4" t="s">
        <v>203</v>
      </c>
      <c r="G931" s="4" t="s">
        <v>93</v>
      </c>
      <c r="H931" s="4" t="s">
        <v>252</v>
      </c>
      <c r="I931" s="16">
        <v>0.38600000000000001</v>
      </c>
      <c r="J931" s="16">
        <v>0.40300000000000002</v>
      </c>
      <c r="K931" s="16">
        <v>0.51500000000000001</v>
      </c>
      <c r="L931" s="16">
        <v>0.39100000000000001</v>
      </c>
      <c r="M931" s="16">
        <v>0.24299999999999999</v>
      </c>
      <c r="N931" s="16">
        <v>0.42699999999999999</v>
      </c>
      <c r="O931" s="16">
        <v>0.33100000000000002</v>
      </c>
      <c r="P931" s="16">
        <v>0.502</v>
      </c>
      <c r="Q931" s="16">
        <v>0.52400000000000002</v>
      </c>
      <c r="R931" s="16">
        <v>0.52800000000000002</v>
      </c>
      <c r="S931" s="16">
        <v>0.497</v>
      </c>
      <c r="T931" s="16">
        <v>0.56899999999999995</v>
      </c>
      <c r="U931" s="16">
        <v>0.68300000000000005</v>
      </c>
      <c r="V931" s="16">
        <v>1.1160000000000001</v>
      </c>
      <c r="W931" s="16">
        <v>0.82299999999999995</v>
      </c>
      <c r="X931" s="16">
        <v>0.621</v>
      </c>
      <c r="Y931" s="16">
        <v>0.55700000000000005</v>
      </c>
      <c r="Z931" s="16">
        <v>0.60499999999999998</v>
      </c>
      <c r="AA931" s="16">
        <v>0.52700000000000002</v>
      </c>
      <c r="AB931" s="16">
        <v>0.47299999999999998</v>
      </c>
      <c r="AC931" s="16">
        <v>0.432</v>
      </c>
      <c r="AD931" s="16">
        <v>0.624</v>
      </c>
      <c r="AE931" s="16">
        <v>0.54800000000000004</v>
      </c>
      <c r="AF931" s="16">
        <v>0.45600000000000002</v>
      </c>
      <c r="AG931" s="16">
        <v>0.46</v>
      </c>
      <c r="AH931" s="16">
        <v>0.39600000000000002</v>
      </c>
      <c r="AI931" s="16">
        <v>0.35499999999999998</v>
      </c>
      <c r="AJ931" s="16">
        <v>0.378</v>
      </c>
      <c r="AK931" s="16">
        <v>0.27</v>
      </c>
      <c r="AL931" s="16">
        <v>0.26400000000000001</v>
      </c>
      <c r="AM931" s="16">
        <v>0.23799999999999999</v>
      </c>
      <c r="AN931" s="16">
        <v>0.224</v>
      </c>
      <c r="AO931" s="16">
        <v>0.14799999999999999</v>
      </c>
      <c r="AP931" s="16">
        <v>0.114</v>
      </c>
      <c r="AQ931" s="16">
        <v>0.13800000000000001</v>
      </c>
      <c r="AR931" s="16">
        <v>0.14899999999999999</v>
      </c>
      <c r="AS931" s="16">
        <v>0.13</v>
      </c>
      <c r="AT931" s="7">
        <v>4.3423385999999997</v>
      </c>
    </row>
    <row r="932" spans="1:46" x14ac:dyDescent="0.25">
      <c r="A932" s="4" t="s">
        <v>194</v>
      </c>
      <c r="B932" s="4" t="s">
        <v>207</v>
      </c>
      <c r="C932" s="4" t="s">
        <v>246</v>
      </c>
      <c r="D932" s="4" t="s">
        <v>254</v>
      </c>
      <c r="E932" s="4" t="s">
        <v>258</v>
      </c>
      <c r="F932" s="4" t="s">
        <v>203</v>
      </c>
      <c r="G932" s="4" t="s">
        <v>93</v>
      </c>
      <c r="H932" s="4" t="s">
        <v>151</v>
      </c>
      <c r="I932" s="5">
        <v>543.56399999999996</v>
      </c>
      <c r="J932" s="5">
        <v>651.48500000000001</v>
      </c>
      <c r="K932" s="5">
        <v>920.66899999999998</v>
      </c>
      <c r="L932" s="5">
        <v>563.39200000000005</v>
      </c>
      <c r="M932" s="5">
        <v>432.97399999999999</v>
      </c>
      <c r="N932" s="5">
        <v>1033.0170000000001</v>
      </c>
      <c r="O932" s="5">
        <v>1318.768</v>
      </c>
      <c r="P932" s="5">
        <v>898.83100000000002</v>
      </c>
      <c r="Q932" s="5">
        <v>434.55700000000002</v>
      </c>
      <c r="R932" s="5">
        <v>360.77600000000001</v>
      </c>
      <c r="S932" s="5">
        <v>419.55200000000002</v>
      </c>
      <c r="T932" s="5">
        <v>264.96800000000002</v>
      </c>
      <c r="U932" s="5">
        <v>428.52600000000001</v>
      </c>
      <c r="V932" s="5">
        <v>437.62</v>
      </c>
      <c r="W932" s="5">
        <v>554.26199999999994</v>
      </c>
      <c r="X932" s="5">
        <v>605.95699999999999</v>
      </c>
      <c r="Y932" s="5">
        <v>480.29399999999998</v>
      </c>
      <c r="Z932" s="5">
        <v>298.57799999999997</v>
      </c>
      <c r="AA932" s="5">
        <v>562.86599999999999</v>
      </c>
      <c r="AB932" s="5">
        <v>430.17500000000001</v>
      </c>
      <c r="AC932" s="5">
        <v>417.59199999999998</v>
      </c>
      <c r="AD932" s="5">
        <v>362.69900000000001</v>
      </c>
      <c r="AE932" s="5">
        <v>334.73599999999999</v>
      </c>
      <c r="AF932" s="5">
        <v>240.53100000000001</v>
      </c>
      <c r="AG932" s="5">
        <v>291.48200000000003</v>
      </c>
      <c r="AH932" s="5">
        <v>315.85199999999998</v>
      </c>
      <c r="AI932" s="5">
        <v>591.40300000000002</v>
      </c>
      <c r="AJ932" s="5">
        <v>1251.27</v>
      </c>
      <c r="AK932" s="5">
        <v>1452.2329999999999</v>
      </c>
      <c r="AL932" s="5">
        <v>1377.509</v>
      </c>
      <c r="AM932" s="5">
        <v>877.33199999999999</v>
      </c>
      <c r="AN932" s="5">
        <v>1402.5630000000001</v>
      </c>
      <c r="AO932" s="5">
        <v>856.72500000000002</v>
      </c>
      <c r="AP932" s="5">
        <v>566.24099999999999</v>
      </c>
      <c r="AQ932" s="5">
        <v>541.73099999999999</v>
      </c>
      <c r="AR932" s="5">
        <v>431.202</v>
      </c>
      <c r="AS932" s="5">
        <v>610.64400000000001</v>
      </c>
      <c r="AT932" s="5">
        <v>610.64400000000001</v>
      </c>
    </row>
    <row r="933" spans="1:46" x14ac:dyDescent="0.25">
      <c r="A933" s="4" t="s">
        <v>194</v>
      </c>
      <c r="B933" s="4" t="s">
        <v>207</v>
      </c>
      <c r="C933" s="4" t="s">
        <v>246</v>
      </c>
      <c r="D933" s="4" t="s">
        <v>254</v>
      </c>
      <c r="E933" s="4" t="s">
        <v>258</v>
      </c>
      <c r="F933" s="4" t="s">
        <v>203</v>
      </c>
      <c r="G933" s="4" t="s">
        <v>93</v>
      </c>
      <c r="H933" s="4" t="s">
        <v>205</v>
      </c>
      <c r="I933" s="6">
        <v>78192.251999999993</v>
      </c>
      <c r="J933" s="6">
        <v>92185.888000000006</v>
      </c>
      <c r="K933" s="6">
        <v>134118.87100000001</v>
      </c>
      <c r="L933" s="6">
        <v>84772.411999999997</v>
      </c>
      <c r="M933" s="6">
        <v>57526.540999999997</v>
      </c>
      <c r="N933" s="6">
        <v>148980.97700000001</v>
      </c>
      <c r="O933" s="6">
        <v>146308.29300000001</v>
      </c>
      <c r="P933" s="6">
        <v>103064.477</v>
      </c>
      <c r="Q933" s="6">
        <v>43988.548000000003</v>
      </c>
      <c r="R933" s="6">
        <v>36576.031000000003</v>
      </c>
      <c r="S933" s="6">
        <v>39068.970999999998</v>
      </c>
      <c r="T933" s="6">
        <v>25237.002</v>
      </c>
      <c r="U933" s="6">
        <v>44633.3</v>
      </c>
      <c r="V933" s="6">
        <v>45307.832999999999</v>
      </c>
      <c r="W933" s="6">
        <v>65594.118000000002</v>
      </c>
      <c r="X933" s="6">
        <v>74900.320999999996</v>
      </c>
      <c r="Y933" s="6">
        <v>57722.726000000002</v>
      </c>
      <c r="Z933" s="6">
        <v>38420.474000000002</v>
      </c>
      <c r="AA933" s="6">
        <v>72716.899000000005</v>
      </c>
      <c r="AB933" s="6">
        <v>57891.447999999997</v>
      </c>
      <c r="AC933" s="6">
        <v>54654.114999999998</v>
      </c>
      <c r="AD933" s="6">
        <v>47509.754000000001</v>
      </c>
      <c r="AE933" s="6">
        <v>45857.326999999997</v>
      </c>
      <c r="AF933" s="6">
        <v>32151.217000000001</v>
      </c>
      <c r="AG933" s="6">
        <v>43221.648999999998</v>
      </c>
      <c r="AH933" s="6">
        <v>49892.213000000003</v>
      </c>
      <c r="AI933" s="6">
        <v>87520.282999999996</v>
      </c>
      <c r="AJ933" s="6">
        <v>195394.633</v>
      </c>
      <c r="AK933" s="6">
        <v>221033.014</v>
      </c>
      <c r="AL933" s="6">
        <v>223996.14600000001</v>
      </c>
      <c r="AM933" s="6">
        <v>141068.31200000001</v>
      </c>
      <c r="AN933" s="6">
        <v>208097.579</v>
      </c>
      <c r="AO933" s="6">
        <v>138123.89000000001</v>
      </c>
      <c r="AP933" s="6">
        <v>92922.418999999994</v>
      </c>
      <c r="AQ933" s="6">
        <v>72124.317999999999</v>
      </c>
      <c r="AR933" s="6">
        <v>67617.240999999995</v>
      </c>
      <c r="AS933" s="6">
        <v>96843.728000000003</v>
      </c>
      <c r="AT933" s="6">
        <v>96843.728000000003</v>
      </c>
    </row>
    <row r="934" spans="1:46" x14ac:dyDescent="0.25">
      <c r="A934" s="4" t="s">
        <v>194</v>
      </c>
      <c r="B934" s="4" t="s">
        <v>207</v>
      </c>
      <c r="C934" s="4" t="s">
        <v>246</v>
      </c>
      <c r="D934" s="4" t="s">
        <v>254</v>
      </c>
      <c r="E934" s="4" t="s">
        <v>258</v>
      </c>
      <c r="F934" s="4" t="s">
        <v>203</v>
      </c>
      <c r="G934" s="4" t="s">
        <v>93</v>
      </c>
      <c r="H934" s="4" t="s">
        <v>249</v>
      </c>
      <c r="I934" s="7">
        <v>0.875</v>
      </c>
      <c r="J934" s="7">
        <v>0.77200000000000002</v>
      </c>
      <c r="K934" s="7">
        <v>0.872</v>
      </c>
      <c r="L934" s="7">
        <v>0.41399999999999998</v>
      </c>
      <c r="M934" s="7">
        <v>0.26500000000000001</v>
      </c>
      <c r="N934" s="7">
        <v>0.58899999999999997</v>
      </c>
      <c r="O934" s="7">
        <v>0.81599999999999995</v>
      </c>
      <c r="P934" s="7">
        <v>0.71499999999999997</v>
      </c>
      <c r="Q934" s="7">
        <v>0.47599999999999998</v>
      </c>
      <c r="R934" s="7">
        <v>0.53500000000000003</v>
      </c>
      <c r="S934" s="7">
        <v>0.72099999999999997</v>
      </c>
      <c r="T934" s="7">
        <v>0.47199999999999998</v>
      </c>
      <c r="U934" s="7">
        <v>0.73199999999999998</v>
      </c>
      <c r="V934" s="7">
        <v>0.58199999999999996</v>
      </c>
      <c r="W934" s="7">
        <v>0.52400000000000002</v>
      </c>
      <c r="X934" s="7">
        <v>0.46400000000000002</v>
      </c>
      <c r="Y934" s="7">
        <v>0.309</v>
      </c>
      <c r="Z934" s="7">
        <v>0.21</v>
      </c>
      <c r="AA934" s="7">
        <v>0.36499999999999999</v>
      </c>
      <c r="AB934" s="7">
        <v>0.34899999999999998</v>
      </c>
      <c r="AC934" s="7">
        <v>0.40300000000000002</v>
      </c>
      <c r="AD934" s="7">
        <v>0.41899999999999998</v>
      </c>
      <c r="AE934" s="7">
        <v>0.47299999999999998</v>
      </c>
      <c r="AF934" s="7">
        <v>0.44400000000000001</v>
      </c>
      <c r="AG934" s="7">
        <v>0.51</v>
      </c>
      <c r="AH934" s="7">
        <v>0.432</v>
      </c>
      <c r="AI934" s="7">
        <v>0.64300000000000002</v>
      </c>
      <c r="AJ934" s="7">
        <v>0.92</v>
      </c>
      <c r="AK934" s="7">
        <v>0.92</v>
      </c>
      <c r="AL934" s="7">
        <v>0.753</v>
      </c>
      <c r="AM934" s="7">
        <v>0.42699999999999999</v>
      </c>
      <c r="AN934" s="7">
        <v>0.68700000000000006</v>
      </c>
      <c r="AO934" s="7">
        <v>0.56299999999999994</v>
      </c>
      <c r="AP934" s="7">
        <v>0.47499999999999998</v>
      </c>
      <c r="AQ934" s="7">
        <v>0.61299999999999999</v>
      </c>
      <c r="AR934" s="7">
        <v>0.72599999999999998</v>
      </c>
      <c r="AS934" s="7">
        <v>1.2529999999999999</v>
      </c>
      <c r="AT934" s="7">
        <v>0.255</v>
      </c>
    </row>
    <row r="935" spans="1:46" x14ac:dyDescent="0.25">
      <c r="A935" s="4" t="s">
        <v>194</v>
      </c>
      <c r="B935" s="4" t="s">
        <v>207</v>
      </c>
      <c r="C935" s="4" t="s">
        <v>246</v>
      </c>
      <c r="D935" s="4" t="s">
        <v>254</v>
      </c>
      <c r="E935" s="4" t="s">
        <v>258</v>
      </c>
      <c r="F935" s="4" t="s">
        <v>203</v>
      </c>
      <c r="G935" s="4" t="s">
        <v>93</v>
      </c>
      <c r="H935" s="4" t="s">
        <v>250</v>
      </c>
      <c r="I935" s="7">
        <v>22.765999999999998</v>
      </c>
      <c r="J935" s="7">
        <v>18.972000000000001</v>
      </c>
      <c r="K935" s="7">
        <v>15.861000000000001</v>
      </c>
      <c r="L935" s="7">
        <v>9.1419999999999995</v>
      </c>
      <c r="M935" s="7">
        <v>8.7590000000000003</v>
      </c>
      <c r="N935" s="7">
        <v>10.845000000000001</v>
      </c>
      <c r="O935" s="7">
        <v>15.32</v>
      </c>
      <c r="P935" s="7">
        <v>17.061</v>
      </c>
      <c r="Q935" s="7">
        <v>16.001000000000001</v>
      </c>
      <c r="R935" s="7">
        <v>14.848000000000001</v>
      </c>
      <c r="S935" s="7">
        <v>14.885</v>
      </c>
      <c r="T935" s="7">
        <v>14.952</v>
      </c>
      <c r="U935" s="7">
        <v>13.881</v>
      </c>
      <c r="V935" s="7">
        <v>13.035</v>
      </c>
      <c r="W935" s="7">
        <v>12.398</v>
      </c>
      <c r="X935" s="7">
        <v>12.867000000000001</v>
      </c>
      <c r="Y935" s="7">
        <v>13.898999999999999</v>
      </c>
      <c r="Z935" s="7">
        <v>15.026999999999999</v>
      </c>
      <c r="AA935" s="7">
        <v>14.24</v>
      </c>
      <c r="AB935" s="7">
        <v>12.342000000000001</v>
      </c>
      <c r="AC935" s="7">
        <v>14.398999999999999</v>
      </c>
      <c r="AD935" s="7">
        <v>20.251000000000001</v>
      </c>
      <c r="AE935" s="7">
        <v>20.931000000000001</v>
      </c>
      <c r="AF935" s="7">
        <v>24.818000000000001</v>
      </c>
      <c r="AG935" s="7">
        <v>25.626000000000001</v>
      </c>
      <c r="AH935" s="7">
        <v>18.645</v>
      </c>
      <c r="AI935" s="7">
        <v>19.844000000000001</v>
      </c>
      <c r="AJ935" s="7">
        <v>26.585999999999999</v>
      </c>
      <c r="AK935" s="7">
        <v>27.504000000000001</v>
      </c>
      <c r="AL935" s="7">
        <v>18.608000000000001</v>
      </c>
      <c r="AM935" s="7">
        <v>15.154999999999999</v>
      </c>
      <c r="AN935" s="7">
        <v>19.068999999999999</v>
      </c>
      <c r="AO935" s="7">
        <v>20.265000000000001</v>
      </c>
      <c r="AP935" s="7">
        <v>21.399000000000001</v>
      </c>
      <c r="AQ935" s="7">
        <v>21.277000000000001</v>
      </c>
      <c r="AR935" s="7">
        <v>21.867000000000001</v>
      </c>
      <c r="AS935" s="7">
        <v>24.61</v>
      </c>
      <c r="AT935" s="5">
        <v>1650.172</v>
      </c>
    </row>
    <row r="936" spans="1:46" x14ac:dyDescent="0.25">
      <c r="A936" s="4" t="s">
        <v>194</v>
      </c>
      <c r="B936" s="4" t="s">
        <v>207</v>
      </c>
      <c r="C936" s="4" t="s">
        <v>246</v>
      </c>
      <c r="D936" s="4" t="s">
        <v>254</v>
      </c>
      <c r="E936" s="4" t="s">
        <v>258</v>
      </c>
      <c r="F936" s="4" t="s">
        <v>203</v>
      </c>
      <c r="G936" s="4" t="s">
        <v>93</v>
      </c>
      <c r="H936" s="4" t="s">
        <v>251</v>
      </c>
      <c r="I936" s="7">
        <v>8.1293506000000004</v>
      </c>
      <c r="J936" s="7">
        <v>9.2085930000000005</v>
      </c>
      <c r="K936" s="7">
        <v>9.0708835000000008</v>
      </c>
      <c r="L936" s="7">
        <v>6.8554928999999998</v>
      </c>
      <c r="M936" s="7">
        <v>5.8474243000000001</v>
      </c>
      <c r="N936" s="7">
        <v>7.5179999999999998</v>
      </c>
      <c r="O936" s="7">
        <v>8.5964083000000002</v>
      </c>
      <c r="P936" s="7">
        <v>7.7866628999999996</v>
      </c>
      <c r="Q936" s="7">
        <v>5.0600535000000004</v>
      </c>
      <c r="R936" s="7">
        <v>4.1390158000000001</v>
      </c>
      <c r="S936" s="7">
        <v>4.1400646999999999</v>
      </c>
      <c r="T936" s="7">
        <v>3.9895548000000001</v>
      </c>
      <c r="U936" s="7">
        <v>4.8769305999999997</v>
      </c>
      <c r="V936" s="7">
        <v>4.7582475000000004</v>
      </c>
      <c r="W936" s="7">
        <v>4.2908020000000002</v>
      </c>
      <c r="X936" s="7">
        <v>4.3368301999999996</v>
      </c>
      <c r="Y936" s="7">
        <v>4.8722178999999999</v>
      </c>
      <c r="Z936" s="7">
        <v>4.8562608999999997</v>
      </c>
      <c r="AA936" s="7">
        <v>5.6770797999999996</v>
      </c>
      <c r="AB936" s="7">
        <v>5.9300294999999998</v>
      </c>
      <c r="AC936" s="7">
        <v>5.2753321</v>
      </c>
      <c r="AD936" s="7">
        <v>7.4877975000000001</v>
      </c>
      <c r="AE936" s="7">
        <v>7.5718002000000002</v>
      </c>
      <c r="AF936" s="7">
        <v>7.9099228000000004</v>
      </c>
      <c r="AG936" s="7">
        <v>7.6816021000000001</v>
      </c>
      <c r="AH936" s="7">
        <v>7.8736689000000002</v>
      </c>
      <c r="AI936" s="7">
        <v>8.1785508999999994</v>
      </c>
      <c r="AJ936" s="7">
        <v>10.9934896</v>
      </c>
      <c r="AK936" s="7">
        <v>12.765973900000001</v>
      </c>
      <c r="AL936" s="7">
        <v>11.027941800000001</v>
      </c>
      <c r="AM936" s="7">
        <v>9.7775061999999995</v>
      </c>
      <c r="AN936" s="7">
        <v>10.897554</v>
      </c>
      <c r="AO936" s="7">
        <v>12.1479681</v>
      </c>
      <c r="AP936" s="7">
        <v>10.400540899999999</v>
      </c>
      <c r="AQ936" s="7">
        <v>11.065248</v>
      </c>
      <c r="AR936" s="7">
        <v>11.925668999999999</v>
      </c>
      <c r="AS936" s="7">
        <v>13.280488099999999</v>
      </c>
      <c r="AT936" s="7">
        <v>24.61</v>
      </c>
    </row>
    <row r="937" spans="1:46" x14ac:dyDescent="0.25">
      <c r="A937" s="4" t="s">
        <v>194</v>
      </c>
      <c r="B937" s="4" t="s">
        <v>207</v>
      </c>
      <c r="C937" s="4" t="s">
        <v>246</v>
      </c>
      <c r="D937" s="4" t="s">
        <v>254</v>
      </c>
      <c r="E937" s="4" t="s">
        <v>258</v>
      </c>
      <c r="F937" s="4" t="s">
        <v>203</v>
      </c>
      <c r="G937" s="4" t="s">
        <v>93</v>
      </c>
      <c r="H937" s="4" t="s">
        <v>252</v>
      </c>
      <c r="I937" s="16">
        <v>0.63</v>
      </c>
      <c r="J937" s="16">
        <v>0.39600000000000002</v>
      </c>
      <c r="K937" s="16">
        <v>0.45700000000000002</v>
      </c>
      <c r="L937" s="16">
        <v>0.33400000000000002</v>
      </c>
      <c r="M937" s="16">
        <v>0.29699999999999999</v>
      </c>
      <c r="N937" s="16">
        <v>0.49099999999999999</v>
      </c>
      <c r="O937" s="16">
        <v>0.52500000000000002</v>
      </c>
      <c r="P937" s="16">
        <v>0.48499999999999999</v>
      </c>
      <c r="Q937" s="16">
        <v>0.46800000000000003</v>
      </c>
      <c r="R937" s="16">
        <v>0.38800000000000001</v>
      </c>
      <c r="S937" s="16">
        <v>0.39200000000000002</v>
      </c>
      <c r="T937" s="16">
        <v>0.23599999999999999</v>
      </c>
      <c r="U937" s="16">
        <v>0.251</v>
      </c>
      <c r="V937" s="16">
        <v>0.26600000000000001</v>
      </c>
      <c r="W937" s="16">
        <v>0.187</v>
      </c>
      <c r="X937" s="16">
        <v>0.18099999999999999</v>
      </c>
      <c r="Y937" s="16">
        <v>0.20599999999999999</v>
      </c>
      <c r="Z937" s="16">
        <v>0.18099999999999999</v>
      </c>
      <c r="AA937" s="16">
        <v>0.246</v>
      </c>
      <c r="AB937" s="16">
        <v>0.24299999999999999</v>
      </c>
      <c r="AC937" s="16">
        <v>0.27800000000000002</v>
      </c>
      <c r="AD937" s="16">
        <v>0.51800000000000002</v>
      </c>
      <c r="AE937" s="16">
        <v>0.48199999999999998</v>
      </c>
      <c r="AF937" s="16">
        <v>0.45300000000000001</v>
      </c>
      <c r="AG937" s="16">
        <v>0.432</v>
      </c>
      <c r="AH937" s="16">
        <v>0.36699999999999999</v>
      </c>
      <c r="AI937" s="16">
        <v>0.50800000000000001</v>
      </c>
      <c r="AJ937" s="16">
        <v>0.58899999999999997</v>
      </c>
      <c r="AK937" s="16">
        <v>0.435</v>
      </c>
      <c r="AL937" s="16">
        <v>0.32700000000000001</v>
      </c>
      <c r="AM937" s="16">
        <v>0.2</v>
      </c>
      <c r="AN937" s="16">
        <v>0.49199999999999999</v>
      </c>
      <c r="AO937" s="16">
        <v>0.54500000000000004</v>
      </c>
      <c r="AP937" s="16">
        <v>0.67700000000000005</v>
      </c>
      <c r="AQ937" s="16">
        <v>0.83399999999999996</v>
      </c>
      <c r="AR937" s="16">
        <v>0.74</v>
      </c>
      <c r="AS937" s="16">
        <v>0.77400000000000002</v>
      </c>
      <c r="AT937" s="7">
        <v>13.280488099999999</v>
      </c>
    </row>
    <row r="938" spans="1:46" x14ac:dyDescent="0.25">
      <c r="A938" s="4" t="s">
        <v>194</v>
      </c>
      <c r="B938" s="4" t="s">
        <v>207</v>
      </c>
      <c r="C938" s="4" t="s">
        <v>246</v>
      </c>
      <c r="D938" s="4" t="s">
        <v>254</v>
      </c>
      <c r="E938" s="4" t="s">
        <v>258</v>
      </c>
      <c r="F938" s="4" t="s">
        <v>195</v>
      </c>
      <c r="G938" s="4" t="s">
        <v>93</v>
      </c>
      <c r="H938" s="4" t="s">
        <v>151</v>
      </c>
      <c r="I938" s="5">
        <v>258.53800000000001</v>
      </c>
      <c r="J938" s="5">
        <v>103.157</v>
      </c>
      <c r="K938" s="5">
        <v>346.06099999999998</v>
      </c>
      <c r="L938" s="5">
        <v>228.00700000000001</v>
      </c>
      <c r="M938" s="5">
        <v>374.68400000000003</v>
      </c>
      <c r="N938" s="5">
        <v>404.25799999999998</v>
      </c>
      <c r="O938" s="5">
        <v>286.767</v>
      </c>
      <c r="P938" s="5">
        <v>171.49700000000001</v>
      </c>
      <c r="Q938" s="5">
        <v>160.696</v>
      </c>
      <c r="R938" s="5">
        <v>411.94400000000002</v>
      </c>
      <c r="S938" s="5">
        <v>488.32100000000003</v>
      </c>
      <c r="T938" s="5">
        <v>244.12299999999999</v>
      </c>
      <c r="U938" s="5">
        <v>367.07600000000002</v>
      </c>
      <c r="V938" s="5">
        <v>474.01900000000001</v>
      </c>
      <c r="W938" s="5">
        <v>835.85</v>
      </c>
      <c r="X938" s="5">
        <v>1622.9749999999999</v>
      </c>
      <c r="Y938" s="5">
        <v>2107.692</v>
      </c>
      <c r="Z938" s="5">
        <v>1710.588</v>
      </c>
      <c r="AA938" s="5">
        <v>2435.5050000000001</v>
      </c>
      <c r="AB938" s="5">
        <v>1338.49</v>
      </c>
      <c r="AC938" s="5">
        <v>1045.8019999999999</v>
      </c>
      <c r="AD938" s="5">
        <v>794.96400000000006</v>
      </c>
      <c r="AE938" s="5">
        <v>721.66600000000005</v>
      </c>
      <c r="AF938" s="5">
        <v>933.98900000000003</v>
      </c>
      <c r="AG938" s="5">
        <v>578.875</v>
      </c>
      <c r="AH938" s="5">
        <v>1304.8689999999999</v>
      </c>
      <c r="AI938" s="5">
        <v>2155.9490000000001</v>
      </c>
      <c r="AJ938" s="5">
        <v>3610.2159999999999</v>
      </c>
      <c r="AK938" s="5">
        <v>3128.3</v>
      </c>
      <c r="AL938" s="5">
        <v>3194.5050000000001</v>
      </c>
      <c r="AM938" s="5">
        <v>3625.9659999999999</v>
      </c>
      <c r="AN938" s="5">
        <v>2966.2579999999998</v>
      </c>
      <c r="AO938" s="5">
        <v>2180.4870000000001</v>
      </c>
      <c r="AP938" s="5">
        <v>1820.6189999999999</v>
      </c>
      <c r="AQ938" s="5">
        <v>1626.934</v>
      </c>
      <c r="AR938" s="5">
        <v>1110.23</v>
      </c>
      <c r="AS938" s="5">
        <v>1148.3499999999999</v>
      </c>
      <c r="AT938" s="5">
        <v>1148.3499999999999</v>
      </c>
    </row>
    <row r="939" spans="1:46" x14ac:dyDescent="0.25">
      <c r="A939" s="4" t="s">
        <v>194</v>
      </c>
      <c r="B939" s="4" t="s">
        <v>207</v>
      </c>
      <c r="C939" s="4" t="s">
        <v>246</v>
      </c>
      <c r="D939" s="4" t="s">
        <v>254</v>
      </c>
      <c r="E939" s="4" t="s">
        <v>258</v>
      </c>
      <c r="F939" s="4" t="s">
        <v>195</v>
      </c>
      <c r="G939" s="4" t="s">
        <v>93</v>
      </c>
      <c r="H939" s="4" t="s">
        <v>205</v>
      </c>
      <c r="I939" s="6">
        <v>58167.048999999999</v>
      </c>
      <c r="J939" s="6">
        <v>29366.738000000001</v>
      </c>
      <c r="K939" s="6">
        <v>92119.733999999997</v>
      </c>
      <c r="L939" s="6">
        <v>64559.726000000002</v>
      </c>
      <c r="M939" s="6">
        <v>112422.22</v>
      </c>
      <c r="N939" s="6">
        <v>97099.801000000007</v>
      </c>
      <c r="O939" s="6">
        <v>83262.914000000004</v>
      </c>
      <c r="P939" s="6">
        <v>49305.489000000001</v>
      </c>
      <c r="Q939" s="6">
        <v>41322.398000000001</v>
      </c>
      <c r="R939" s="6">
        <v>116383.594</v>
      </c>
      <c r="S939" s="6">
        <v>136677.14600000001</v>
      </c>
      <c r="T939" s="6">
        <v>66461.38</v>
      </c>
      <c r="U939" s="6">
        <v>90214.789000000004</v>
      </c>
      <c r="V939" s="6">
        <v>110844.57</v>
      </c>
      <c r="W939" s="6">
        <v>195921.97700000001</v>
      </c>
      <c r="X939" s="6">
        <v>380834.46899999998</v>
      </c>
      <c r="Y939" s="6">
        <v>493959.62300000002</v>
      </c>
      <c r="Z939" s="6">
        <v>431237.57799999998</v>
      </c>
      <c r="AA939" s="6">
        <v>594834.50399999996</v>
      </c>
      <c r="AB939" s="6">
        <v>328130.71799999999</v>
      </c>
      <c r="AC939" s="6">
        <v>259011.99799999999</v>
      </c>
      <c r="AD939" s="6">
        <v>206357.182</v>
      </c>
      <c r="AE939" s="6">
        <v>189983.58799999999</v>
      </c>
      <c r="AF939" s="6">
        <v>237852.17800000001</v>
      </c>
      <c r="AG939" s="6">
        <v>150368.86300000001</v>
      </c>
      <c r="AH939" s="6">
        <v>328845.25400000002</v>
      </c>
      <c r="AI939" s="6">
        <v>567726.16599999997</v>
      </c>
      <c r="AJ939" s="6">
        <v>924552.647</v>
      </c>
      <c r="AK939" s="6">
        <v>844854.05599999998</v>
      </c>
      <c r="AL939" s="6">
        <v>926886.66899999999</v>
      </c>
      <c r="AM939" s="6">
        <v>1013826.4570000001</v>
      </c>
      <c r="AN939" s="6">
        <v>821879.96900000004</v>
      </c>
      <c r="AO939" s="6">
        <v>632937.92799999996</v>
      </c>
      <c r="AP939" s="6">
        <v>530922.06200000003</v>
      </c>
      <c r="AQ939" s="6">
        <v>470403.95799999998</v>
      </c>
      <c r="AR939" s="6">
        <v>326502.98300000001</v>
      </c>
      <c r="AS939" s="6">
        <v>336874.54100000003</v>
      </c>
      <c r="AT939" s="6">
        <v>336874.54100000003</v>
      </c>
    </row>
    <row r="940" spans="1:46" x14ac:dyDescent="0.25">
      <c r="A940" s="4" t="s">
        <v>194</v>
      </c>
      <c r="B940" s="4" t="s">
        <v>207</v>
      </c>
      <c r="C940" s="4" t="s">
        <v>246</v>
      </c>
      <c r="D940" s="4" t="s">
        <v>254</v>
      </c>
      <c r="E940" s="4" t="s">
        <v>258</v>
      </c>
      <c r="F940" s="4" t="s">
        <v>195</v>
      </c>
      <c r="G940" s="4" t="s">
        <v>93</v>
      </c>
      <c r="H940" s="4" t="s">
        <v>249</v>
      </c>
      <c r="I940" s="7">
        <v>0.497</v>
      </c>
      <c r="J940" s="7">
        <v>0.14499999999999999</v>
      </c>
      <c r="K940" s="7">
        <v>0.39300000000000002</v>
      </c>
      <c r="L940" s="7">
        <v>0.20100000000000001</v>
      </c>
      <c r="M940" s="7">
        <v>0.27500000000000002</v>
      </c>
      <c r="N940" s="7">
        <v>0.27400000000000002</v>
      </c>
      <c r="O940" s="7">
        <v>0.21099999999999999</v>
      </c>
      <c r="P940" s="7">
        <v>0.16200000000000001</v>
      </c>
      <c r="Q940" s="7">
        <v>0.21</v>
      </c>
      <c r="R940" s="7">
        <v>0.73299999999999998</v>
      </c>
      <c r="S940" s="7">
        <v>1.008</v>
      </c>
      <c r="T940" s="7">
        <v>0.52200000000000002</v>
      </c>
      <c r="U940" s="7">
        <v>0.73</v>
      </c>
      <c r="V940" s="7">
        <v>0.748</v>
      </c>
      <c r="W940" s="7">
        <v>0.94899999999999995</v>
      </c>
      <c r="X940" s="7">
        <v>1.4910000000000001</v>
      </c>
      <c r="Y940" s="7">
        <v>1.6160000000000001</v>
      </c>
      <c r="Z940" s="7">
        <v>1.4350000000000001</v>
      </c>
      <c r="AA940" s="7">
        <v>1.8979999999999999</v>
      </c>
      <c r="AB940" s="7">
        <v>1.3029999999999999</v>
      </c>
      <c r="AC940" s="7">
        <v>1.21</v>
      </c>
      <c r="AD940" s="7">
        <v>1.0940000000000001</v>
      </c>
      <c r="AE940" s="7">
        <v>1.2150000000000001</v>
      </c>
      <c r="AF940" s="7">
        <v>1.9610000000000001</v>
      </c>
      <c r="AG940" s="7">
        <v>1.1359999999999999</v>
      </c>
      <c r="AH940" s="7">
        <v>2.105</v>
      </c>
      <c r="AI940" s="7">
        <v>2.746</v>
      </c>
      <c r="AJ940" s="7">
        <v>3.169</v>
      </c>
      <c r="AK940" s="7">
        <v>2.4119999999999999</v>
      </c>
      <c r="AL940" s="7">
        <v>2.1520000000000001</v>
      </c>
      <c r="AM940" s="7">
        <v>2.1539999999999999</v>
      </c>
      <c r="AN940" s="7">
        <v>1.7809999999999999</v>
      </c>
      <c r="AO940" s="7">
        <v>1.766</v>
      </c>
      <c r="AP940" s="7">
        <v>1.875</v>
      </c>
      <c r="AQ940" s="7">
        <v>2.266</v>
      </c>
      <c r="AR940" s="7">
        <v>2.3239999999999998</v>
      </c>
      <c r="AS940" s="7">
        <v>2.8940000000000001</v>
      </c>
      <c r="AT940" s="7">
        <v>0.47899999999999998</v>
      </c>
    </row>
    <row r="941" spans="1:46" x14ac:dyDescent="0.25">
      <c r="A941" s="4" t="s">
        <v>194</v>
      </c>
      <c r="B941" s="4" t="s">
        <v>207</v>
      </c>
      <c r="C941" s="4" t="s">
        <v>246</v>
      </c>
      <c r="D941" s="4" t="s">
        <v>254</v>
      </c>
      <c r="E941" s="4" t="s">
        <v>258</v>
      </c>
      <c r="F941" s="4" t="s">
        <v>195</v>
      </c>
      <c r="G941" s="4" t="s">
        <v>93</v>
      </c>
      <c r="H941" s="4" t="s">
        <v>250</v>
      </c>
      <c r="I941" s="7">
        <v>4.6779999999999999</v>
      </c>
      <c r="J941" s="7">
        <v>4.0289999999999999</v>
      </c>
      <c r="K941" s="7">
        <v>5.0090000000000003</v>
      </c>
      <c r="L941" s="7">
        <v>2.16</v>
      </c>
      <c r="M941" s="7">
        <v>2.9049999999999998</v>
      </c>
      <c r="N941" s="7">
        <v>2.375</v>
      </c>
      <c r="O941" s="7">
        <v>4.9880000000000004</v>
      </c>
      <c r="P941" s="7">
        <v>4.5350000000000001</v>
      </c>
      <c r="Q941" s="7">
        <v>4.9009999999999998</v>
      </c>
      <c r="R941" s="7">
        <v>13.18</v>
      </c>
      <c r="S941" s="7">
        <v>11.4</v>
      </c>
      <c r="T941" s="7">
        <v>10.711</v>
      </c>
      <c r="U941" s="7">
        <v>16.045999999999999</v>
      </c>
      <c r="V941" s="7">
        <v>14.244999999999999</v>
      </c>
      <c r="W941" s="7">
        <v>22.927</v>
      </c>
      <c r="X941" s="7">
        <v>27.667999999999999</v>
      </c>
      <c r="Y941" s="7">
        <v>45.49</v>
      </c>
      <c r="Z941" s="7">
        <v>47.750999999999998</v>
      </c>
      <c r="AA941" s="7">
        <v>47.109000000000002</v>
      </c>
      <c r="AB941" s="7">
        <v>43.682000000000002</v>
      </c>
      <c r="AC941" s="7">
        <v>38.377000000000002</v>
      </c>
      <c r="AD941" s="7">
        <v>30.484000000000002</v>
      </c>
      <c r="AE941" s="7">
        <v>25.585000000000001</v>
      </c>
      <c r="AF941" s="7">
        <v>30.385000000000002</v>
      </c>
      <c r="AG941" s="7">
        <v>27.692</v>
      </c>
      <c r="AH941" s="7">
        <v>38.593000000000004</v>
      </c>
      <c r="AI941" s="7">
        <v>43.956000000000003</v>
      </c>
      <c r="AJ941" s="7">
        <v>47.719000000000001</v>
      </c>
      <c r="AK941" s="7">
        <v>52.69</v>
      </c>
      <c r="AL941" s="7">
        <v>46.798999999999999</v>
      </c>
      <c r="AM941" s="7">
        <v>44.057000000000002</v>
      </c>
      <c r="AN941" s="7">
        <v>51.548000000000002</v>
      </c>
      <c r="AO941" s="7">
        <v>42.463000000000001</v>
      </c>
      <c r="AP941" s="7">
        <v>40.326999999999998</v>
      </c>
      <c r="AQ941" s="7">
        <v>40.706000000000003</v>
      </c>
      <c r="AR941" s="7">
        <v>49.81</v>
      </c>
      <c r="AS941" s="7">
        <v>52.835999999999999</v>
      </c>
      <c r="AT941" s="5">
        <v>1916.35</v>
      </c>
    </row>
    <row r="942" spans="1:46" x14ac:dyDescent="0.25">
      <c r="A942" s="4" t="s">
        <v>194</v>
      </c>
      <c r="B942" s="4" t="s">
        <v>207</v>
      </c>
      <c r="C942" s="4" t="s">
        <v>246</v>
      </c>
      <c r="D942" s="4" t="s">
        <v>254</v>
      </c>
      <c r="E942" s="4" t="s">
        <v>258</v>
      </c>
      <c r="F942" s="4" t="s">
        <v>195</v>
      </c>
      <c r="G942" s="4" t="s">
        <v>93</v>
      </c>
      <c r="H942" s="4" t="s">
        <v>251</v>
      </c>
      <c r="I942" s="7">
        <v>4.4997553000000003</v>
      </c>
      <c r="J942" s="7">
        <v>4.2486531000000003</v>
      </c>
      <c r="K942" s="7">
        <v>4.5272929</v>
      </c>
      <c r="L942" s="7">
        <v>3.4012566999999998</v>
      </c>
      <c r="M942" s="7">
        <v>4.1896886999999996</v>
      </c>
      <c r="N942" s="7">
        <v>3.9070860999999999</v>
      </c>
      <c r="O942" s="7">
        <v>3.0641970999999999</v>
      </c>
      <c r="P942" s="7">
        <v>3.5289158</v>
      </c>
      <c r="Q942" s="7">
        <v>4.4331966999999999</v>
      </c>
      <c r="R942" s="7">
        <v>8.0288938000000005</v>
      </c>
      <c r="S942" s="7">
        <v>7.5845019000000002</v>
      </c>
      <c r="T942" s="7">
        <v>7.5791744999999997</v>
      </c>
      <c r="U942" s="7">
        <v>8.6027156999999992</v>
      </c>
      <c r="V942" s="7">
        <v>8.6276232000000004</v>
      </c>
      <c r="W942" s="7">
        <v>11.501185599999999</v>
      </c>
      <c r="X942" s="7">
        <v>13.1431951</v>
      </c>
      <c r="Y942" s="7">
        <v>19.476462699999999</v>
      </c>
      <c r="Z942" s="7">
        <v>23.1763169</v>
      </c>
      <c r="AA942" s="7">
        <v>24.774986200000001</v>
      </c>
      <c r="AB942" s="7">
        <v>22.722028900000002</v>
      </c>
      <c r="AC942" s="7">
        <v>20.703364799999999</v>
      </c>
      <c r="AD942" s="7">
        <v>20.084609400000002</v>
      </c>
      <c r="AE942" s="7">
        <v>16.243033</v>
      </c>
      <c r="AF942" s="7">
        <v>17.100431</v>
      </c>
      <c r="AG942" s="7">
        <v>18.6523805</v>
      </c>
      <c r="AH942" s="7">
        <v>21.7787787</v>
      </c>
      <c r="AI942" s="7">
        <v>24.746364700000001</v>
      </c>
      <c r="AJ942" s="7">
        <v>24.332809900000001</v>
      </c>
      <c r="AK942" s="7">
        <v>22.268151100000001</v>
      </c>
      <c r="AL942" s="7">
        <v>22.4108497</v>
      </c>
      <c r="AM942" s="7">
        <v>22.2396384</v>
      </c>
      <c r="AN942" s="7">
        <v>25.194823800000002</v>
      </c>
      <c r="AO942" s="7">
        <v>24.913100700000001</v>
      </c>
      <c r="AP942" s="7">
        <v>23.841438700000001</v>
      </c>
      <c r="AQ942" s="7">
        <v>24.868467500000001</v>
      </c>
      <c r="AR942" s="7">
        <v>28.1999055</v>
      </c>
      <c r="AS942" s="7">
        <v>26.831277</v>
      </c>
      <c r="AT942" s="7">
        <v>52.835999999999999</v>
      </c>
    </row>
    <row r="943" spans="1:46" x14ac:dyDescent="0.25">
      <c r="A943" s="4" t="s">
        <v>194</v>
      </c>
      <c r="B943" s="4" t="s">
        <v>207</v>
      </c>
      <c r="C943" s="4" t="s">
        <v>246</v>
      </c>
      <c r="D943" s="4" t="s">
        <v>254</v>
      </c>
      <c r="E943" s="4" t="s">
        <v>258</v>
      </c>
      <c r="F943" s="4" t="s">
        <v>195</v>
      </c>
      <c r="G943" s="4" t="s">
        <v>93</v>
      </c>
      <c r="H943" s="4" t="s">
        <v>252</v>
      </c>
      <c r="I943" s="16">
        <v>0.17100000000000001</v>
      </c>
      <c r="J943" s="16">
        <v>0.121</v>
      </c>
      <c r="K943" s="16">
        <v>0.13100000000000001</v>
      </c>
      <c r="L943" s="16">
        <v>8.7999999999999995E-2</v>
      </c>
      <c r="M943" s="16">
        <v>0.14299999999999999</v>
      </c>
      <c r="N943" s="16">
        <v>3.7999999999999999E-2</v>
      </c>
      <c r="O943" s="16">
        <v>1.4999999999999999E-2</v>
      </c>
      <c r="P943" s="16">
        <v>4.7E-2</v>
      </c>
      <c r="Q943" s="16">
        <v>3.1E-2</v>
      </c>
      <c r="R943" s="16">
        <v>0.19600000000000001</v>
      </c>
      <c r="S943" s="16">
        <v>0.17299999999999999</v>
      </c>
      <c r="T943" s="16">
        <v>0.20100000000000001</v>
      </c>
      <c r="U943" s="16">
        <v>0.161</v>
      </c>
      <c r="V943" s="16">
        <v>0.22800000000000001</v>
      </c>
      <c r="W943" s="16">
        <v>0.29099999999999998</v>
      </c>
      <c r="X943" s="16">
        <v>0.44600000000000001</v>
      </c>
      <c r="Y943" s="16">
        <v>0.64</v>
      </c>
      <c r="Z943" s="16">
        <v>0.75800000000000001</v>
      </c>
      <c r="AA943" s="16">
        <v>0.82699999999999996</v>
      </c>
      <c r="AB943" s="16">
        <v>0.60899999999999999</v>
      </c>
      <c r="AC943" s="16">
        <v>0.57899999999999996</v>
      </c>
      <c r="AD943" s="16">
        <v>0.75900000000000001</v>
      </c>
      <c r="AE943" s="16">
        <v>0.82399999999999995</v>
      </c>
      <c r="AF943" s="16">
        <v>0.82099999999999995</v>
      </c>
      <c r="AG943" s="16">
        <v>0.88400000000000001</v>
      </c>
      <c r="AH943" s="16">
        <v>1.238</v>
      </c>
      <c r="AI943" s="16">
        <v>1.1830000000000001</v>
      </c>
      <c r="AJ943" s="16">
        <v>0.80900000000000005</v>
      </c>
      <c r="AK943" s="16">
        <v>0.92300000000000004</v>
      </c>
      <c r="AL943" s="16">
        <v>0.81299999999999994</v>
      </c>
      <c r="AM943" s="16">
        <v>1.18</v>
      </c>
      <c r="AN943" s="16">
        <v>1.024</v>
      </c>
      <c r="AO943" s="16">
        <v>0.94199999999999995</v>
      </c>
      <c r="AP943" s="16">
        <v>0.872</v>
      </c>
      <c r="AQ943" s="16">
        <v>0.92800000000000005</v>
      </c>
      <c r="AR943" s="16">
        <v>1.0509999999999999</v>
      </c>
      <c r="AS943" s="16">
        <v>0.93200000000000005</v>
      </c>
      <c r="AT943" s="7">
        <v>26.831277</v>
      </c>
    </row>
    <row r="944" spans="1:46" x14ac:dyDescent="0.25">
      <c r="A944" s="4" t="s">
        <v>194</v>
      </c>
      <c r="B944" s="4" t="s">
        <v>207</v>
      </c>
      <c r="C944" s="4" t="s">
        <v>246</v>
      </c>
      <c r="D944" s="4" t="s">
        <v>259</v>
      </c>
      <c r="E944" s="4" t="s">
        <v>248</v>
      </c>
      <c r="F944" s="4" t="s">
        <v>203</v>
      </c>
      <c r="G944" s="4" t="s">
        <v>93</v>
      </c>
      <c r="H944" s="4" t="s">
        <v>151</v>
      </c>
      <c r="I944" s="5">
        <v>3466.8209999999999</v>
      </c>
      <c r="J944" s="5">
        <v>3727.3409999999999</v>
      </c>
      <c r="K944" s="5">
        <v>5460.7520000000004</v>
      </c>
      <c r="L944" s="5">
        <v>8658.7559999999994</v>
      </c>
      <c r="M944" s="5">
        <v>9213.4169999999995</v>
      </c>
      <c r="N944" s="5">
        <v>10689.136</v>
      </c>
      <c r="O944" s="5">
        <v>9003.8130000000001</v>
      </c>
      <c r="P944" s="5">
        <v>7666.1120000000001</v>
      </c>
      <c r="Q944" s="5">
        <v>5604.9170000000004</v>
      </c>
      <c r="R944" s="5">
        <v>2737.194</v>
      </c>
      <c r="S944" s="5">
        <v>2598.2089999999998</v>
      </c>
      <c r="T944" s="5">
        <v>3276.5309999999999</v>
      </c>
      <c r="U944" s="5">
        <v>3097.9679999999998</v>
      </c>
      <c r="V944" s="5">
        <v>4574.1170000000002</v>
      </c>
      <c r="W944" s="5">
        <v>6739.6490000000003</v>
      </c>
      <c r="X944" s="5">
        <v>9330.3790000000008</v>
      </c>
      <c r="Y944" s="5">
        <v>10173.208000000001</v>
      </c>
      <c r="Z944" s="5">
        <v>9872.1579999999994</v>
      </c>
      <c r="AA944" s="5">
        <v>7900.7250000000004</v>
      </c>
      <c r="AB944" s="5">
        <v>5706.5010000000002</v>
      </c>
      <c r="AC944" s="5">
        <v>4996.75</v>
      </c>
      <c r="AD944" s="5">
        <v>4772.9960000000001</v>
      </c>
      <c r="AE944" s="5">
        <v>4306.2929999999997</v>
      </c>
      <c r="AF944" s="5">
        <v>3107.6190000000001</v>
      </c>
      <c r="AG944" s="5">
        <v>3103.5479999999998</v>
      </c>
      <c r="AH944" s="5">
        <v>3765.5320000000002</v>
      </c>
      <c r="AI944" s="5">
        <v>4736.9470000000001</v>
      </c>
      <c r="AJ944" s="5">
        <v>5537.1049999999996</v>
      </c>
      <c r="AK944" s="5">
        <v>6667.326</v>
      </c>
      <c r="AL944" s="5">
        <v>7204.1559999999999</v>
      </c>
      <c r="AM944" s="5">
        <v>9701.8359999999993</v>
      </c>
      <c r="AN944" s="5">
        <v>9846.2369999999992</v>
      </c>
      <c r="AO944" s="5">
        <v>7280.4219999999996</v>
      </c>
      <c r="AP944" s="5">
        <v>5641.8580000000002</v>
      </c>
      <c r="AQ944" s="5">
        <v>5125.2340000000004</v>
      </c>
      <c r="AR944" s="5">
        <v>3081.431</v>
      </c>
      <c r="AS944" s="5">
        <v>2590.4580000000001</v>
      </c>
      <c r="AT944" s="5">
        <v>2590.4580000000001</v>
      </c>
    </row>
    <row r="945" spans="1:46" x14ac:dyDescent="0.25">
      <c r="A945" s="4" t="s">
        <v>194</v>
      </c>
      <c r="B945" s="4" t="s">
        <v>207</v>
      </c>
      <c r="C945" s="4" t="s">
        <v>246</v>
      </c>
      <c r="D945" s="4" t="s">
        <v>259</v>
      </c>
      <c r="E945" s="4" t="s">
        <v>248</v>
      </c>
      <c r="F945" s="4" t="s">
        <v>203</v>
      </c>
      <c r="G945" s="4" t="s">
        <v>93</v>
      </c>
      <c r="H945" s="4" t="s">
        <v>205</v>
      </c>
      <c r="I945" s="6">
        <v>315037.02899999998</v>
      </c>
      <c r="J945" s="6">
        <v>338062.64500000002</v>
      </c>
      <c r="K945" s="6">
        <v>504964.90100000001</v>
      </c>
      <c r="L945" s="6">
        <v>838341.74699999997</v>
      </c>
      <c r="M945" s="6">
        <v>878949.26800000004</v>
      </c>
      <c r="N945" s="6">
        <v>1036858.33</v>
      </c>
      <c r="O945" s="6">
        <v>877795.75600000005</v>
      </c>
      <c r="P945" s="6">
        <v>716678.23100000003</v>
      </c>
      <c r="Q945" s="6">
        <v>539926.17000000004</v>
      </c>
      <c r="R945" s="6">
        <v>264778.72499999998</v>
      </c>
      <c r="S945" s="6">
        <v>247394.23499999999</v>
      </c>
      <c r="T945" s="6">
        <v>335095.61099999998</v>
      </c>
      <c r="U945" s="6">
        <v>313596.16700000002</v>
      </c>
      <c r="V945" s="6">
        <v>464957.26</v>
      </c>
      <c r="W945" s="6">
        <v>676030.37</v>
      </c>
      <c r="X945" s="6">
        <v>947218.33799999999</v>
      </c>
      <c r="Y945" s="6">
        <v>1067863.855</v>
      </c>
      <c r="Z945" s="6">
        <v>1040161.726</v>
      </c>
      <c r="AA945" s="6">
        <v>844084.90399999998</v>
      </c>
      <c r="AB945" s="6">
        <v>616908.51500000001</v>
      </c>
      <c r="AC945" s="6">
        <v>559808.12699999998</v>
      </c>
      <c r="AD945" s="6">
        <v>543770.94499999995</v>
      </c>
      <c r="AE945" s="6">
        <v>503110.08500000002</v>
      </c>
      <c r="AF945" s="6">
        <v>356723.66899999999</v>
      </c>
      <c r="AG945" s="6">
        <v>346245.61900000001</v>
      </c>
      <c r="AH945" s="6">
        <v>425992.01</v>
      </c>
      <c r="AI945" s="6">
        <v>532643.81799999997</v>
      </c>
      <c r="AJ945" s="6">
        <v>648088.32400000002</v>
      </c>
      <c r="AK945" s="6">
        <v>783391.77599999995</v>
      </c>
      <c r="AL945" s="6">
        <v>831972.98100000003</v>
      </c>
      <c r="AM945" s="6">
        <v>1137754.4879999999</v>
      </c>
      <c r="AN945" s="6">
        <v>1158462.3189999999</v>
      </c>
      <c r="AO945" s="6">
        <v>900040.52399999998</v>
      </c>
      <c r="AP945" s="6">
        <v>703599.71699999995</v>
      </c>
      <c r="AQ945" s="6">
        <v>626248.85800000001</v>
      </c>
      <c r="AR945" s="6">
        <v>381092.375</v>
      </c>
      <c r="AS945" s="6">
        <v>315879.28899999999</v>
      </c>
      <c r="AT945" s="6">
        <v>315879.28899999999</v>
      </c>
    </row>
    <row r="946" spans="1:46" x14ac:dyDescent="0.25">
      <c r="A946" s="4" t="s">
        <v>194</v>
      </c>
      <c r="B946" s="4" t="s">
        <v>207</v>
      </c>
      <c r="C946" s="4" t="s">
        <v>246</v>
      </c>
      <c r="D946" s="4" t="s">
        <v>259</v>
      </c>
      <c r="E946" s="4" t="s">
        <v>248</v>
      </c>
      <c r="F946" s="4" t="s">
        <v>203</v>
      </c>
      <c r="G946" s="4" t="s">
        <v>93</v>
      </c>
      <c r="H946" s="4" t="s">
        <v>249</v>
      </c>
      <c r="I946" s="7">
        <v>5.633</v>
      </c>
      <c r="J946" s="7">
        <v>4.4189999999999996</v>
      </c>
      <c r="K946" s="7">
        <v>5.2050000000000001</v>
      </c>
      <c r="L946" s="7">
        <v>6.4169999999999998</v>
      </c>
      <c r="M946" s="7">
        <v>5.7430000000000003</v>
      </c>
      <c r="N946" s="7">
        <v>6.09</v>
      </c>
      <c r="O946" s="7">
        <v>5.5810000000000004</v>
      </c>
      <c r="P946" s="7">
        <v>6.117</v>
      </c>
      <c r="Q946" s="7">
        <v>6.1680000000000001</v>
      </c>
      <c r="R946" s="7">
        <v>4.1529999999999996</v>
      </c>
      <c r="S946" s="7">
        <v>4.5759999999999996</v>
      </c>
      <c r="T946" s="7">
        <v>5.91</v>
      </c>
      <c r="U946" s="7">
        <v>5.1630000000000003</v>
      </c>
      <c r="V946" s="7">
        <v>6.03</v>
      </c>
      <c r="W946" s="7">
        <v>6.383</v>
      </c>
      <c r="X946" s="7">
        <v>7.1520000000000001</v>
      </c>
      <c r="Y946" s="7">
        <v>6.5060000000000002</v>
      </c>
      <c r="Z946" s="7">
        <v>6.93</v>
      </c>
      <c r="AA946" s="7">
        <v>5.1820000000000004</v>
      </c>
      <c r="AB946" s="7">
        <v>4.6379999999999999</v>
      </c>
      <c r="AC946" s="7">
        <v>4.8209999999999997</v>
      </c>
      <c r="AD946" s="7">
        <v>5.5110000000000001</v>
      </c>
      <c r="AE946" s="7">
        <v>6.101</v>
      </c>
      <c r="AF946" s="7">
        <v>5.4379999999999997</v>
      </c>
      <c r="AG946" s="7">
        <v>5.0750000000000002</v>
      </c>
      <c r="AH946" s="7">
        <v>5.0439999999999996</v>
      </c>
      <c r="AI946" s="7">
        <v>4.9749999999999996</v>
      </c>
      <c r="AJ946" s="7">
        <v>3.9860000000000002</v>
      </c>
      <c r="AK946" s="7">
        <v>4.165</v>
      </c>
      <c r="AL946" s="7">
        <v>3.923</v>
      </c>
      <c r="AM946" s="7">
        <v>4.7009999999999996</v>
      </c>
      <c r="AN946" s="7">
        <v>4.8410000000000002</v>
      </c>
      <c r="AO946" s="7">
        <v>4.8239999999999998</v>
      </c>
      <c r="AP946" s="7">
        <v>4.7439999999999998</v>
      </c>
      <c r="AQ946" s="7">
        <v>5.8289999999999997</v>
      </c>
      <c r="AR946" s="7">
        <v>5.2160000000000002</v>
      </c>
      <c r="AS946" s="7">
        <v>5.3540000000000001</v>
      </c>
      <c r="AT946" s="7">
        <v>1.081</v>
      </c>
    </row>
    <row r="947" spans="1:46" x14ac:dyDescent="0.25">
      <c r="A947" s="4" t="s">
        <v>194</v>
      </c>
      <c r="B947" s="4" t="s">
        <v>207</v>
      </c>
      <c r="C947" s="4" t="s">
        <v>246</v>
      </c>
      <c r="D947" s="4" t="s">
        <v>259</v>
      </c>
      <c r="E947" s="4" t="s">
        <v>248</v>
      </c>
      <c r="F947" s="4" t="s">
        <v>203</v>
      </c>
      <c r="G947" s="4" t="s">
        <v>93</v>
      </c>
      <c r="H947" s="4" t="s">
        <v>250</v>
      </c>
      <c r="I947" s="7">
        <v>59.283000000000001</v>
      </c>
      <c r="J947" s="7">
        <v>58.375999999999998</v>
      </c>
      <c r="K947" s="7">
        <v>70.045000000000002</v>
      </c>
      <c r="L947" s="7">
        <v>74.099999999999994</v>
      </c>
      <c r="M947" s="7">
        <v>77.445999999999998</v>
      </c>
      <c r="N947" s="7">
        <v>72.200999999999993</v>
      </c>
      <c r="O947" s="7">
        <v>77.260000000000005</v>
      </c>
      <c r="P947" s="7">
        <v>70.659000000000006</v>
      </c>
      <c r="Q947" s="7">
        <v>66.507000000000005</v>
      </c>
      <c r="R947" s="7">
        <v>63.210999999999999</v>
      </c>
      <c r="S947" s="7">
        <v>65.819000000000003</v>
      </c>
      <c r="T947" s="7">
        <v>63.390999999999998</v>
      </c>
      <c r="U947" s="7">
        <v>64.691000000000003</v>
      </c>
      <c r="V947" s="7">
        <v>65.77</v>
      </c>
      <c r="W947" s="7">
        <v>62.167999999999999</v>
      </c>
      <c r="X947" s="7">
        <v>65.302000000000007</v>
      </c>
      <c r="Y947" s="7">
        <v>69.84</v>
      </c>
      <c r="Z947" s="7">
        <v>70.763999999999996</v>
      </c>
      <c r="AA947" s="7">
        <v>72.606999999999999</v>
      </c>
      <c r="AB947" s="7">
        <v>64.037000000000006</v>
      </c>
      <c r="AC947" s="7">
        <v>58.47</v>
      </c>
      <c r="AD947" s="7">
        <v>58.381</v>
      </c>
      <c r="AE947" s="7">
        <v>54.243000000000002</v>
      </c>
      <c r="AF947" s="7">
        <v>54.604999999999997</v>
      </c>
      <c r="AG947" s="7">
        <v>51.293999999999997</v>
      </c>
      <c r="AH947" s="7">
        <v>58.898000000000003</v>
      </c>
      <c r="AI947" s="7">
        <v>61.436999999999998</v>
      </c>
      <c r="AJ947" s="7">
        <v>59.847999999999999</v>
      </c>
      <c r="AK947" s="7">
        <v>55.231000000000002</v>
      </c>
      <c r="AL947" s="7">
        <v>46.790999999999997</v>
      </c>
      <c r="AM947" s="7">
        <v>47.573</v>
      </c>
      <c r="AN947" s="7">
        <v>48.926000000000002</v>
      </c>
      <c r="AO947" s="7">
        <v>48.966000000000001</v>
      </c>
      <c r="AP947" s="7">
        <v>50.984999999999999</v>
      </c>
      <c r="AQ947" s="7">
        <v>48.290999999999997</v>
      </c>
      <c r="AR947" s="7">
        <v>52.734999999999999</v>
      </c>
      <c r="AS947" s="7">
        <v>55.014000000000003</v>
      </c>
      <c r="AT947" s="5">
        <v>7131.5290000000005</v>
      </c>
    </row>
    <row r="948" spans="1:46" x14ac:dyDescent="0.25">
      <c r="A948" s="4" t="s">
        <v>194</v>
      </c>
      <c r="B948" s="4" t="s">
        <v>207</v>
      </c>
      <c r="C948" s="4" t="s">
        <v>246</v>
      </c>
      <c r="D948" s="4" t="s">
        <v>259</v>
      </c>
      <c r="E948" s="4" t="s">
        <v>248</v>
      </c>
      <c r="F948" s="4" t="s">
        <v>203</v>
      </c>
      <c r="G948" s="4" t="s">
        <v>93</v>
      </c>
      <c r="H948" s="4" t="s">
        <v>251</v>
      </c>
      <c r="I948" s="7">
        <v>43.200696499999999</v>
      </c>
      <c r="J948" s="7">
        <v>47.038542200000002</v>
      </c>
      <c r="K948" s="7">
        <v>55.924281299999997</v>
      </c>
      <c r="L948" s="7">
        <v>56.547034699999998</v>
      </c>
      <c r="M948" s="7">
        <v>57.468294700000001</v>
      </c>
      <c r="N948" s="7">
        <v>55.048360199999998</v>
      </c>
      <c r="O948" s="7">
        <v>57.631368600000002</v>
      </c>
      <c r="P948" s="7">
        <v>51.882420000000003</v>
      </c>
      <c r="Q948" s="7">
        <v>47.925796599999998</v>
      </c>
      <c r="R948" s="7">
        <v>45.708117100000003</v>
      </c>
      <c r="S948" s="7">
        <v>46.921632600000002</v>
      </c>
      <c r="T948" s="7">
        <v>45.2297102</v>
      </c>
      <c r="U948" s="7">
        <v>47.047882000000001</v>
      </c>
      <c r="V948" s="7">
        <v>51.816031299999999</v>
      </c>
      <c r="W948" s="7">
        <v>50.320183900000004</v>
      </c>
      <c r="X948" s="7">
        <v>51.704831400000003</v>
      </c>
      <c r="Y948" s="7">
        <v>51.287012500000003</v>
      </c>
      <c r="Z948" s="7">
        <v>49.139901500000001</v>
      </c>
      <c r="AA948" s="7">
        <v>48.083163200000001</v>
      </c>
      <c r="AB948" s="7">
        <v>45.563560299999999</v>
      </c>
      <c r="AC948" s="7">
        <v>38.712452499999998</v>
      </c>
      <c r="AD948" s="7">
        <v>39.688120099999999</v>
      </c>
      <c r="AE948" s="7">
        <v>39.631422000000001</v>
      </c>
      <c r="AF948" s="7">
        <v>39.078192000000001</v>
      </c>
      <c r="AG948" s="7">
        <v>37.954491099999998</v>
      </c>
      <c r="AH948" s="7">
        <v>39.434933999999998</v>
      </c>
      <c r="AI948" s="7">
        <v>39.545884800000003</v>
      </c>
      <c r="AJ948" s="7">
        <v>40.2032484</v>
      </c>
      <c r="AK948" s="7">
        <v>37.918802700000001</v>
      </c>
      <c r="AL948" s="7">
        <v>35.678554400000003</v>
      </c>
      <c r="AM948" s="7">
        <v>36.982703299999997</v>
      </c>
      <c r="AN948" s="7">
        <v>36.407062199999999</v>
      </c>
      <c r="AO948" s="7">
        <v>35.110747799999999</v>
      </c>
      <c r="AP948" s="7">
        <v>34.0904302</v>
      </c>
      <c r="AQ948" s="7">
        <v>33.8628407</v>
      </c>
      <c r="AR948" s="7">
        <v>35.058530300000001</v>
      </c>
      <c r="AS948" s="7">
        <v>35.889474100000001</v>
      </c>
      <c r="AT948" s="7">
        <v>55.014000000000003</v>
      </c>
    </row>
    <row r="949" spans="1:46" x14ac:dyDescent="0.25">
      <c r="A949" s="4" t="s">
        <v>194</v>
      </c>
      <c r="B949" s="4" t="s">
        <v>207</v>
      </c>
      <c r="C949" s="4" t="s">
        <v>246</v>
      </c>
      <c r="D949" s="4" t="s">
        <v>259</v>
      </c>
      <c r="E949" s="4" t="s">
        <v>248</v>
      </c>
      <c r="F949" s="4" t="s">
        <v>203</v>
      </c>
      <c r="G949" s="4" t="s">
        <v>93</v>
      </c>
      <c r="H949" s="4" t="s">
        <v>252</v>
      </c>
      <c r="I949" s="16">
        <v>2.9860000000000002</v>
      </c>
      <c r="J949" s="16">
        <v>2.9449999999999998</v>
      </c>
      <c r="K949" s="16">
        <v>4.2549999999999999</v>
      </c>
      <c r="L949" s="16">
        <v>5.2640000000000002</v>
      </c>
      <c r="M949" s="16">
        <v>4.3209999999999997</v>
      </c>
      <c r="N949" s="16">
        <v>4.2320000000000002</v>
      </c>
      <c r="O949" s="16">
        <v>4.1079999999999997</v>
      </c>
      <c r="P949" s="16">
        <v>3.5579999999999998</v>
      </c>
      <c r="Q949" s="16">
        <v>3.6349999999999998</v>
      </c>
      <c r="R949" s="16">
        <v>3.4350000000000001</v>
      </c>
      <c r="S949" s="16">
        <v>3.427</v>
      </c>
      <c r="T949" s="16">
        <v>3.218</v>
      </c>
      <c r="U949" s="16">
        <v>3.4420000000000002</v>
      </c>
      <c r="V949" s="16">
        <v>2.6970000000000001</v>
      </c>
      <c r="W949" s="16">
        <v>3.7879999999999998</v>
      </c>
      <c r="X949" s="16">
        <v>5.1619999999999999</v>
      </c>
      <c r="Y949" s="16">
        <v>5.8849999999999998</v>
      </c>
      <c r="Z949" s="16">
        <v>3.7839999999999998</v>
      </c>
      <c r="AA949" s="16">
        <v>2.7709999999999999</v>
      </c>
      <c r="AB949" s="16">
        <v>3.2120000000000002</v>
      </c>
      <c r="AC949" s="16">
        <v>2.71</v>
      </c>
      <c r="AD949" s="16">
        <v>2.8090000000000002</v>
      </c>
      <c r="AE949" s="16">
        <v>2.952</v>
      </c>
      <c r="AF949" s="16">
        <v>2.9209999999999998</v>
      </c>
      <c r="AG949" s="16">
        <v>2.8540000000000001</v>
      </c>
      <c r="AH949" s="16">
        <v>3.0169999999999999</v>
      </c>
      <c r="AI949" s="16">
        <v>3.4209999999999998</v>
      </c>
      <c r="AJ949" s="16">
        <v>2.7210000000000001</v>
      </c>
      <c r="AK949" s="16">
        <v>3.254</v>
      </c>
      <c r="AL949" s="16">
        <v>2.8279999999999998</v>
      </c>
      <c r="AM949" s="16">
        <v>3.16</v>
      </c>
      <c r="AN949" s="16">
        <v>3.5590000000000002</v>
      </c>
      <c r="AO949" s="16">
        <v>3.2010000000000001</v>
      </c>
      <c r="AP949" s="16">
        <v>3.0529999999999999</v>
      </c>
      <c r="AQ949" s="16">
        <v>4.1440000000000001</v>
      </c>
      <c r="AR949" s="16">
        <v>3.6080000000000001</v>
      </c>
      <c r="AS949" s="16">
        <v>3.4670000000000001</v>
      </c>
      <c r="AT949" s="7">
        <v>35.889474100000001</v>
      </c>
    </row>
    <row r="950" spans="1:46" x14ac:dyDescent="0.25">
      <c r="A950" s="4" t="s">
        <v>194</v>
      </c>
      <c r="B950" s="4" t="s">
        <v>207</v>
      </c>
      <c r="C950" s="4" t="s">
        <v>246</v>
      </c>
      <c r="D950" s="4" t="s">
        <v>259</v>
      </c>
      <c r="E950" s="4" t="s">
        <v>248</v>
      </c>
      <c r="F950" s="4" t="s">
        <v>201</v>
      </c>
      <c r="G950" s="4" t="s">
        <v>93</v>
      </c>
      <c r="H950" s="4" t="s">
        <v>151</v>
      </c>
      <c r="I950" s="5">
        <v>3598.3560000000002</v>
      </c>
      <c r="J950" s="5">
        <v>6181.8280000000004</v>
      </c>
      <c r="K950" s="5">
        <v>8488.4240000000009</v>
      </c>
      <c r="L950" s="5">
        <v>10381.368</v>
      </c>
      <c r="M950" s="5">
        <v>12732.992</v>
      </c>
      <c r="N950" s="5">
        <v>14222.734</v>
      </c>
      <c r="O950" s="5">
        <v>13616.300999999999</v>
      </c>
      <c r="P950" s="5">
        <v>12615.069</v>
      </c>
      <c r="Q950" s="5">
        <v>8740.5509999999995</v>
      </c>
      <c r="R950" s="5">
        <v>5614.8559999999998</v>
      </c>
      <c r="S950" s="5">
        <v>5119.26</v>
      </c>
      <c r="T950" s="5">
        <v>4910.7700000000004</v>
      </c>
      <c r="U950" s="5">
        <v>6088.0110000000004</v>
      </c>
      <c r="V950" s="5">
        <v>6551.1559999999999</v>
      </c>
      <c r="W950" s="5">
        <v>8897.7219999999998</v>
      </c>
      <c r="X950" s="5">
        <v>9888.9159999999993</v>
      </c>
      <c r="Y950" s="5">
        <v>10868.102000000001</v>
      </c>
      <c r="Z950" s="5">
        <v>11056.709000000001</v>
      </c>
      <c r="AA950" s="5">
        <v>11394.303</v>
      </c>
      <c r="AB950" s="5">
        <v>9444.8029999999999</v>
      </c>
      <c r="AC950" s="5">
        <v>9044.6020000000008</v>
      </c>
      <c r="AD950" s="5">
        <v>7136.63</v>
      </c>
      <c r="AE950" s="5">
        <v>4722.57</v>
      </c>
      <c r="AF950" s="5">
        <v>3982.5889999999999</v>
      </c>
      <c r="AG950" s="5">
        <v>4476.7849999999999</v>
      </c>
      <c r="AH950" s="5">
        <v>6076.5219999999999</v>
      </c>
      <c r="AI950" s="5">
        <v>7134.41</v>
      </c>
      <c r="AJ950" s="5">
        <v>10919.898999999999</v>
      </c>
      <c r="AK950" s="5">
        <v>11204.764999999999</v>
      </c>
      <c r="AL950" s="5">
        <v>12368.958000000001</v>
      </c>
      <c r="AM950" s="5">
        <v>12625.522000000001</v>
      </c>
      <c r="AN950" s="5">
        <v>11607.782999999999</v>
      </c>
      <c r="AO950" s="5">
        <v>9172.2900000000009</v>
      </c>
      <c r="AP950" s="5">
        <v>8058.0510000000004</v>
      </c>
      <c r="AQ950" s="5">
        <v>4700.5039999999999</v>
      </c>
      <c r="AR950" s="5">
        <v>3323.6509999999998</v>
      </c>
      <c r="AS950" s="5">
        <v>1991.5719999999999</v>
      </c>
      <c r="AT950" s="5">
        <v>2079.7489999999998</v>
      </c>
    </row>
    <row r="951" spans="1:46" x14ac:dyDescent="0.25">
      <c r="A951" s="4" t="s">
        <v>194</v>
      </c>
      <c r="B951" s="4" t="s">
        <v>207</v>
      </c>
      <c r="C951" s="4" t="s">
        <v>246</v>
      </c>
      <c r="D951" s="4" t="s">
        <v>259</v>
      </c>
      <c r="E951" s="4" t="s">
        <v>248</v>
      </c>
      <c r="F951" s="4" t="s">
        <v>201</v>
      </c>
      <c r="G951" s="4" t="s">
        <v>93</v>
      </c>
      <c r="H951" s="4" t="s">
        <v>205</v>
      </c>
      <c r="I951" s="6">
        <v>477290.25900000002</v>
      </c>
      <c r="J951" s="6">
        <v>830102.93</v>
      </c>
      <c r="K951" s="6">
        <v>1127299.8060000001</v>
      </c>
      <c r="L951" s="6">
        <v>1378960.7439999999</v>
      </c>
      <c r="M951" s="6">
        <v>1667655.977</v>
      </c>
      <c r="N951" s="6">
        <v>1850275.0519999999</v>
      </c>
      <c r="O951" s="6">
        <v>1741298.064</v>
      </c>
      <c r="P951" s="6">
        <v>1670456.5959999999</v>
      </c>
      <c r="Q951" s="6">
        <v>1152170.318</v>
      </c>
      <c r="R951" s="6">
        <v>758450.97400000005</v>
      </c>
      <c r="S951" s="6">
        <v>687973.25800000003</v>
      </c>
      <c r="T951" s="6">
        <v>676164.58400000003</v>
      </c>
      <c r="U951" s="6">
        <v>826309.42299999995</v>
      </c>
      <c r="V951" s="6">
        <v>933770.06400000001</v>
      </c>
      <c r="W951" s="6">
        <v>1334503.442</v>
      </c>
      <c r="X951" s="6">
        <v>1483450.8149999999</v>
      </c>
      <c r="Y951" s="6">
        <v>1573724.4609999999</v>
      </c>
      <c r="Z951" s="6">
        <v>1647799.6980000001</v>
      </c>
      <c r="AA951" s="6">
        <v>1717512.733</v>
      </c>
      <c r="AB951" s="6">
        <v>1454603.858</v>
      </c>
      <c r="AC951" s="6">
        <v>1348831.777</v>
      </c>
      <c r="AD951" s="6">
        <v>1070437.257</v>
      </c>
      <c r="AE951" s="6">
        <v>707483.18500000006</v>
      </c>
      <c r="AF951" s="6">
        <v>611458.56000000006</v>
      </c>
      <c r="AG951" s="6">
        <v>730380.26199999999</v>
      </c>
      <c r="AH951" s="6">
        <v>1024667.453</v>
      </c>
      <c r="AI951" s="6">
        <v>1190905.8799999999</v>
      </c>
      <c r="AJ951" s="6">
        <v>1876329.5689999999</v>
      </c>
      <c r="AK951" s="6">
        <v>1935789.666</v>
      </c>
      <c r="AL951" s="6">
        <v>2131783.307</v>
      </c>
      <c r="AM951" s="6">
        <v>2251267.4870000002</v>
      </c>
      <c r="AN951" s="6">
        <v>2008270.7749999999</v>
      </c>
      <c r="AO951" s="6">
        <v>1610294.27</v>
      </c>
      <c r="AP951" s="6">
        <v>1236077.129</v>
      </c>
      <c r="AQ951" s="6">
        <v>728674.973</v>
      </c>
      <c r="AR951" s="6">
        <v>532974.17599999998</v>
      </c>
      <c r="AS951" s="6">
        <v>328054.43199999997</v>
      </c>
      <c r="AT951" s="6">
        <v>328054.43199999997</v>
      </c>
    </row>
    <row r="952" spans="1:46" x14ac:dyDescent="0.25">
      <c r="A952" s="4" t="s">
        <v>194</v>
      </c>
      <c r="B952" s="4" t="s">
        <v>207</v>
      </c>
      <c r="C952" s="4" t="s">
        <v>246</v>
      </c>
      <c r="D952" s="4" t="s">
        <v>259</v>
      </c>
      <c r="E952" s="4" t="s">
        <v>248</v>
      </c>
      <c r="F952" s="4" t="s">
        <v>201</v>
      </c>
      <c r="G952" s="4" t="s">
        <v>93</v>
      </c>
      <c r="H952" s="4" t="s">
        <v>249</v>
      </c>
      <c r="I952" s="7">
        <v>6.9139999999999997</v>
      </c>
      <c r="J952" s="7">
        <v>8.718</v>
      </c>
      <c r="K952" s="7">
        <v>9.6270000000000007</v>
      </c>
      <c r="L952" s="7">
        <v>9.141</v>
      </c>
      <c r="M952" s="7">
        <v>9.3379999999999992</v>
      </c>
      <c r="N952" s="7">
        <v>9.6359999999999992</v>
      </c>
      <c r="O952" s="7">
        <v>10.032999999999999</v>
      </c>
      <c r="P952" s="7">
        <v>11.898</v>
      </c>
      <c r="Q952" s="7">
        <v>11.417999999999999</v>
      </c>
      <c r="R952" s="7">
        <v>9.9879999999999995</v>
      </c>
      <c r="S952" s="7">
        <v>10.564</v>
      </c>
      <c r="T952" s="7">
        <v>10.503</v>
      </c>
      <c r="U952" s="7">
        <v>12.090999999999999</v>
      </c>
      <c r="V952" s="7">
        <v>10.334</v>
      </c>
      <c r="W952" s="7">
        <v>10.035</v>
      </c>
      <c r="X952" s="7">
        <v>9.0860000000000003</v>
      </c>
      <c r="Y952" s="7">
        <v>8.3230000000000004</v>
      </c>
      <c r="Z952" s="7">
        <v>9.2330000000000005</v>
      </c>
      <c r="AA952" s="7">
        <v>8.8030000000000008</v>
      </c>
      <c r="AB952" s="7">
        <v>9.1910000000000007</v>
      </c>
      <c r="AC952" s="7">
        <v>10.468</v>
      </c>
      <c r="AD952" s="7">
        <v>9.8179999999999996</v>
      </c>
      <c r="AE952" s="7">
        <v>7.9340000000000002</v>
      </c>
      <c r="AF952" s="7">
        <v>7.9530000000000003</v>
      </c>
      <c r="AG952" s="7">
        <v>8.06</v>
      </c>
      <c r="AH952" s="7">
        <v>9.3840000000000003</v>
      </c>
      <c r="AI952" s="7">
        <v>8.7530000000000001</v>
      </c>
      <c r="AJ952" s="7">
        <v>8.9390000000000001</v>
      </c>
      <c r="AK952" s="7">
        <v>7.9279999999999999</v>
      </c>
      <c r="AL952" s="7">
        <v>7.8659999999999997</v>
      </c>
      <c r="AM952" s="7">
        <v>7.2720000000000002</v>
      </c>
      <c r="AN952" s="7">
        <v>6.8220000000000001</v>
      </c>
      <c r="AO952" s="7">
        <v>7.2309999999999999</v>
      </c>
      <c r="AP952" s="7">
        <v>8.0609999999999999</v>
      </c>
      <c r="AQ952" s="7">
        <v>6.3780000000000001</v>
      </c>
      <c r="AR952" s="7">
        <v>6.7009999999999996</v>
      </c>
      <c r="AS952" s="7">
        <v>4.9029999999999996</v>
      </c>
      <c r="AT952" s="7">
        <v>0.86799999999999999</v>
      </c>
    </row>
    <row r="953" spans="1:46" x14ac:dyDescent="0.25">
      <c r="A953" s="4" t="s">
        <v>194</v>
      </c>
      <c r="B953" s="4" t="s">
        <v>207</v>
      </c>
      <c r="C953" s="4" t="s">
        <v>246</v>
      </c>
      <c r="D953" s="4" t="s">
        <v>259</v>
      </c>
      <c r="E953" s="4" t="s">
        <v>248</v>
      </c>
      <c r="F953" s="4" t="s">
        <v>201</v>
      </c>
      <c r="G953" s="4" t="s">
        <v>93</v>
      </c>
      <c r="H953" s="4" t="s">
        <v>250</v>
      </c>
      <c r="I953" s="7">
        <v>79.56</v>
      </c>
      <c r="J953" s="7">
        <v>87.715000000000003</v>
      </c>
      <c r="K953" s="7">
        <v>90.741</v>
      </c>
      <c r="L953" s="7">
        <v>87.343000000000004</v>
      </c>
      <c r="M953" s="7">
        <v>87.200999999999993</v>
      </c>
      <c r="N953" s="7">
        <v>88.266999999999996</v>
      </c>
      <c r="O953" s="7">
        <v>84.075999999999993</v>
      </c>
      <c r="P953" s="7">
        <v>85.805999999999997</v>
      </c>
      <c r="Q953" s="7">
        <v>86.251999999999995</v>
      </c>
      <c r="R953" s="7">
        <v>87.201999999999998</v>
      </c>
      <c r="S953" s="7">
        <v>80.040999999999997</v>
      </c>
      <c r="T953" s="7">
        <v>80.216999999999999</v>
      </c>
      <c r="U953" s="7">
        <v>87.783000000000001</v>
      </c>
      <c r="V953" s="7">
        <v>85.808999999999997</v>
      </c>
      <c r="W953" s="7">
        <v>85.375</v>
      </c>
      <c r="X953" s="7">
        <v>84.796000000000006</v>
      </c>
      <c r="Y953" s="7">
        <v>88.701999999999998</v>
      </c>
      <c r="Z953" s="7">
        <v>87.608999999999995</v>
      </c>
      <c r="AA953" s="7">
        <v>88.004999999999995</v>
      </c>
      <c r="AB953" s="7">
        <v>84.872</v>
      </c>
      <c r="AC953" s="7">
        <v>87.87</v>
      </c>
      <c r="AD953" s="7">
        <v>89.617999999999995</v>
      </c>
      <c r="AE953" s="7">
        <v>84.614000000000004</v>
      </c>
      <c r="AF953" s="7">
        <v>86.593999999999994</v>
      </c>
      <c r="AG953" s="7">
        <v>86.715999999999994</v>
      </c>
      <c r="AH953" s="7">
        <v>90.382000000000005</v>
      </c>
      <c r="AI953" s="7">
        <v>88.248999999999995</v>
      </c>
      <c r="AJ953" s="7">
        <v>87.867000000000004</v>
      </c>
      <c r="AK953" s="7">
        <v>86.144000000000005</v>
      </c>
      <c r="AL953" s="7">
        <v>80.441000000000003</v>
      </c>
      <c r="AM953" s="7">
        <v>74.796000000000006</v>
      </c>
      <c r="AN953" s="7">
        <v>76.834999999999994</v>
      </c>
      <c r="AO953" s="7">
        <v>71.751000000000005</v>
      </c>
      <c r="AP953" s="7">
        <v>70.81</v>
      </c>
      <c r="AQ953" s="7">
        <v>71.593999999999994</v>
      </c>
      <c r="AR953" s="7">
        <v>74.385000000000005</v>
      </c>
      <c r="AS953" s="7">
        <v>74.326999999999998</v>
      </c>
      <c r="AT953" s="5">
        <v>8940.6209999999992</v>
      </c>
    </row>
    <row r="954" spans="1:46" x14ac:dyDescent="0.25">
      <c r="A954" s="4" t="s">
        <v>194</v>
      </c>
      <c r="B954" s="4" t="s">
        <v>207</v>
      </c>
      <c r="C954" s="4" t="s">
        <v>246</v>
      </c>
      <c r="D954" s="4" t="s">
        <v>259</v>
      </c>
      <c r="E954" s="4" t="s">
        <v>248</v>
      </c>
      <c r="F954" s="4" t="s">
        <v>201</v>
      </c>
      <c r="G954" s="4" t="s">
        <v>93</v>
      </c>
      <c r="H954" s="4" t="s">
        <v>251</v>
      </c>
      <c r="I954" s="7">
        <v>60.821847699999999</v>
      </c>
      <c r="J954" s="7">
        <v>69.740497199999993</v>
      </c>
      <c r="K954" s="7">
        <v>73.453836899999999</v>
      </c>
      <c r="L954" s="7">
        <v>70.277046499999997</v>
      </c>
      <c r="M954" s="7">
        <v>70.831277999999998</v>
      </c>
      <c r="N954" s="7">
        <v>70.009050599999995</v>
      </c>
      <c r="O954" s="7">
        <v>65.019722599999994</v>
      </c>
      <c r="P954" s="7">
        <v>63.226377300000003</v>
      </c>
      <c r="Q954" s="7">
        <v>61.8076905</v>
      </c>
      <c r="R954" s="7">
        <v>62.875382799999997</v>
      </c>
      <c r="S954" s="7">
        <v>62.439228999999997</v>
      </c>
      <c r="T954" s="7">
        <v>64.662056100000001</v>
      </c>
      <c r="U954" s="7">
        <v>65.718024600000007</v>
      </c>
      <c r="V954" s="7">
        <v>63.847886000000003</v>
      </c>
      <c r="W954" s="7">
        <v>64.826280400000002</v>
      </c>
      <c r="X954" s="7">
        <v>65.076270600000001</v>
      </c>
      <c r="Y954" s="7">
        <v>67.020208299999993</v>
      </c>
      <c r="Z954" s="7">
        <v>65.757340200000002</v>
      </c>
      <c r="AA954" s="7">
        <v>64.925701700000005</v>
      </c>
      <c r="AB954" s="7">
        <v>64.906874999999999</v>
      </c>
      <c r="AC954" s="7">
        <v>63.4136448</v>
      </c>
      <c r="AD954" s="7">
        <v>62.158324</v>
      </c>
      <c r="AE954" s="7">
        <v>57.876941100000003</v>
      </c>
      <c r="AF954" s="7">
        <v>56.3436266</v>
      </c>
      <c r="AG954" s="7">
        <v>56.763716299999999</v>
      </c>
      <c r="AH954" s="7">
        <v>61.4139062</v>
      </c>
      <c r="AI954" s="7">
        <v>62.256708799999998</v>
      </c>
      <c r="AJ954" s="7">
        <v>64.908217899999997</v>
      </c>
      <c r="AK954" s="7">
        <v>62.087721199999997</v>
      </c>
      <c r="AL954" s="7">
        <v>57.600895899999998</v>
      </c>
      <c r="AM954" s="7">
        <v>56.243984900000001</v>
      </c>
      <c r="AN954" s="7">
        <v>56.805891799999998</v>
      </c>
      <c r="AO954" s="7">
        <v>52.512968000000001</v>
      </c>
      <c r="AP954" s="7">
        <v>52.371730800000002</v>
      </c>
      <c r="AQ954" s="7">
        <v>51.639620999999998</v>
      </c>
      <c r="AR954" s="7">
        <v>51.225576500000003</v>
      </c>
      <c r="AS954" s="7">
        <v>51.0812612</v>
      </c>
      <c r="AT954" s="7">
        <v>74.326999999999998</v>
      </c>
    </row>
    <row r="955" spans="1:46" x14ac:dyDescent="0.25">
      <c r="A955" s="4" t="s">
        <v>194</v>
      </c>
      <c r="B955" s="4" t="s">
        <v>207</v>
      </c>
      <c r="C955" s="4" t="s">
        <v>246</v>
      </c>
      <c r="D955" s="4" t="s">
        <v>259</v>
      </c>
      <c r="E955" s="4" t="s">
        <v>248</v>
      </c>
      <c r="F955" s="4" t="s">
        <v>201</v>
      </c>
      <c r="G955" s="4" t="s">
        <v>93</v>
      </c>
      <c r="H955" s="4" t="s">
        <v>252</v>
      </c>
      <c r="I955" s="16">
        <v>4.2430000000000003</v>
      </c>
      <c r="J955" s="16">
        <v>5.14</v>
      </c>
      <c r="K955" s="16">
        <v>5.1970000000000001</v>
      </c>
      <c r="L955" s="16">
        <v>7.3769999999999998</v>
      </c>
      <c r="M955" s="16">
        <v>6.1859999999999999</v>
      </c>
      <c r="N955" s="16">
        <v>5.0579999999999998</v>
      </c>
      <c r="O955" s="16">
        <v>4.9340000000000002</v>
      </c>
      <c r="P955" s="16">
        <v>4.28</v>
      </c>
      <c r="Q955" s="16">
        <v>4.234</v>
      </c>
      <c r="R955" s="16">
        <v>4.1829999999999998</v>
      </c>
      <c r="S955" s="16">
        <v>4.3780000000000001</v>
      </c>
      <c r="T955" s="16">
        <v>4.8470000000000004</v>
      </c>
      <c r="U955" s="16">
        <v>4.5919999999999996</v>
      </c>
      <c r="V955" s="16">
        <v>4.6130000000000004</v>
      </c>
      <c r="W955" s="16">
        <v>5.7249999999999996</v>
      </c>
      <c r="X955" s="16">
        <v>6.2130000000000001</v>
      </c>
      <c r="Y955" s="16">
        <v>6.0860000000000003</v>
      </c>
      <c r="Z955" s="16">
        <v>5.6020000000000003</v>
      </c>
      <c r="AA955" s="16">
        <v>6.0860000000000003</v>
      </c>
      <c r="AB955" s="16">
        <v>5.3470000000000004</v>
      </c>
      <c r="AC955" s="16">
        <v>4.9550000000000001</v>
      </c>
      <c r="AD955" s="16">
        <v>4.5490000000000004</v>
      </c>
      <c r="AE955" s="16">
        <v>5.1219999999999999</v>
      </c>
      <c r="AF955" s="16">
        <v>5.077</v>
      </c>
      <c r="AG955" s="16">
        <v>4.96</v>
      </c>
      <c r="AH955" s="16">
        <v>5.4329999999999998</v>
      </c>
      <c r="AI955" s="16">
        <v>5.2640000000000002</v>
      </c>
      <c r="AJ955" s="16">
        <v>5.1239999999999997</v>
      </c>
      <c r="AK955" s="16">
        <v>4.8650000000000002</v>
      </c>
      <c r="AL955" s="16">
        <v>4.6639999999999997</v>
      </c>
      <c r="AM955" s="16">
        <v>4.1529999999999996</v>
      </c>
      <c r="AN955" s="16">
        <v>4.218</v>
      </c>
      <c r="AO955" s="16">
        <v>3.7570000000000001</v>
      </c>
      <c r="AP955" s="16">
        <v>3.6749999999999998</v>
      </c>
      <c r="AQ955" s="16">
        <v>3.5960000000000001</v>
      </c>
      <c r="AR955" s="16">
        <v>3.7450000000000001</v>
      </c>
      <c r="AS955" s="16">
        <v>3.827</v>
      </c>
      <c r="AT955" s="7">
        <v>51.0812612</v>
      </c>
    </row>
    <row r="956" spans="1:46" x14ac:dyDescent="0.25">
      <c r="A956" s="4" t="s">
        <v>194</v>
      </c>
      <c r="B956" s="4" t="s">
        <v>207</v>
      </c>
      <c r="C956" s="4" t="s">
        <v>246</v>
      </c>
      <c r="D956" s="4" t="s">
        <v>259</v>
      </c>
      <c r="E956" s="4" t="s">
        <v>248</v>
      </c>
      <c r="F956" s="4" t="s">
        <v>195</v>
      </c>
      <c r="G956" s="4" t="s">
        <v>93</v>
      </c>
      <c r="H956" s="4" t="s">
        <v>151</v>
      </c>
      <c r="I956" s="5">
        <v>8101.8270000000002</v>
      </c>
      <c r="J956" s="5">
        <v>12654.079</v>
      </c>
      <c r="K956" s="5">
        <v>16405.402999999998</v>
      </c>
      <c r="L956" s="5">
        <v>19983.830000000002</v>
      </c>
      <c r="M956" s="5">
        <v>22300.243999999999</v>
      </c>
      <c r="N956" s="5">
        <v>24535.438999999998</v>
      </c>
      <c r="O956" s="5">
        <v>21342.812999999998</v>
      </c>
      <c r="P956" s="5">
        <v>17379.717000000001</v>
      </c>
      <c r="Q956" s="5">
        <v>11922.700999999999</v>
      </c>
      <c r="R956" s="5">
        <v>9693.8119999999999</v>
      </c>
      <c r="S956" s="5">
        <v>7455.9390000000003</v>
      </c>
      <c r="T956" s="5">
        <v>6822.3630000000003</v>
      </c>
      <c r="U956" s="5">
        <v>6542.9610000000002</v>
      </c>
      <c r="V956" s="5">
        <v>10766.065000000001</v>
      </c>
      <c r="W956" s="5">
        <v>14547.365</v>
      </c>
      <c r="X956" s="5">
        <v>21118.386999999999</v>
      </c>
      <c r="Y956" s="5">
        <v>26685.004000000001</v>
      </c>
      <c r="Z956" s="5">
        <v>21167.77</v>
      </c>
      <c r="AA956" s="5">
        <v>23801.513999999999</v>
      </c>
      <c r="AB956" s="5">
        <v>19285.971000000001</v>
      </c>
      <c r="AC956" s="5">
        <v>16123.434999999999</v>
      </c>
      <c r="AD956" s="5">
        <v>12450.352000000001</v>
      </c>
      <c r="AE956" s="5">
        <v>9586.8359999999993</v>
      </c>
      <c r="AF956" s="5">
        <v>7666.73</v>
      </c>
      <c r="AG956" s="5">
        <v>8208.1910000000007</v>
      </c>
      <c r="AH956" s="5">
        <v>10886.484</v>
      </c>
      <c r="AI956" s="5">
        <v>12893.619000000001</v>
      </c>
      <c r="AJ956" s="5">
        <v>20543.366000000002</v>
      </c>
      <c r="AK956" s="5">
        <v>23038.771000000001</v>
      </c>
      <c r="AL956" s="5">
        <v>26955.448</v>
      </c>
      <c r="AM956" s="5">
        <v>31449.617999999999</v>
      </c>
      <c r="AN956" s="5">
        <v>30497.974999999999</v>
      </c>
      <c r="AO956" s="5">
        <v>21094.937999999998</v>
      </c>
      <c r="AP956" s="5">
        <v>15729.206</v>
      </c>
      <c r="AQ956" s="5">
        <v>11220.749</v>
      </c>
      <c r="AR956" s="5">
        <v>6756.4319999999998</v>
      </c>
      <c r="AS956" s="5">
        <v>5329.1149999999998</v>
      </c>
      <c r="AT956" s="5">
        <v>5909.7269999999999</v>
      </c>
    </row>
    <row r="957" spans="1:46" x14ac:dyDescent="0.25">
      <c r="A957" s="4" t="s">
        <v>194</v>
      </c>
      <c r="B957" s="4" t="s">
        <v>207</v>
      </c>
      <c r="C957" s="4" t="s">
        <v>246</v>
      </c>
      <c r="D957" s="4" t="s">
        <v>259</v>
      </c>
      <c r="E957" s="4" t="s">
        <v>248</v>
      </c>
      <c r="F957" s="4" t="s">
        <v>195</v>
      </c>
      <c r="G957" s="4" t="s">
        <v>93</v>
      </c>
      <c r="H957" s="4" t="s">
        <v>205</v>
      </c>
      <c r="I957" s="6">
        <v>1656545.379</v>
      </c>
      <c r="J957" s="6">
        <v>2665107.0950000002</v>
      </c>
      <c r="K957" s="6">
        <v>3434821.5639999998</v>
      </c>
      <c r="L957" s="6">
        <v>4164399.1159999999</v>
      </c>
      <c r="M957" s="6">
        <v>4690055.6979999999</v>
      </c>
      <c r="N957" s="6">
        <v>5201145.5810000002</v>
      </c>
      <c r="O957" s="6">
        <v>4416165.6399999997</v>
      </c>
      <c r="P957" s="6">
        <v>3703814.72</v>
      </c>
      <c r="Q957" s="6">
        <v>2481609.7769999998</v>
      </c>
      <c r="R957" s="6">
        <v>1975613.18</v>
      </c>
      <c r="S957" s="6">
        <v>1495111.3019999999</v>
      </c>
      <c r="T957" s="6">
        <v>1380671.2039999999</v>
      </c>
      <c r="U957" s="6">
        <v>1377206.568</v>
      </c>
      <c r="V957" s="6">
        <v>2296667.4440000001</v>
      </c>
      <c r="W957" s="6">
        <v>3331279.3080000002</v>
      </c>
      <c r="X957" s="6">
        <v>4867990.25</v>
      </c>
      <c r="Y957" s="6">
        <v>6316411.5060000001</v>
      </c>
      <c r="Z957" s="6">
        <v>4888486.983</v>
      </c>
      <c r="AA957" s="6">
        <v>5502062.0240000002</v>
      </c>
      <c r="AB957" s="6">
        <v>4462434.9570000004</v>
      </c>
      <c r="AC957" s="6">
        <v>3768406.5079999999</v>
      </c>
      <c r="AD957" s="6">
        <v>2909675.5249999999</v>
      </c>
      <c r="AE957" s="6">
        <v>2216635.7710000002</v>
      </c>
      <c r="AF957" s="6">
        <v>1757324.993</v>
      </c>
      <c r="AG957" s="6">
        <v>1901107.5349999999</v>
      </c>
      <c r="AH957" s="6">
        <v>2703184.22</v>
      </c>
      <c r="AI957" s="6">
        <v>3284036.6469999999</v>
      </c>
      <c r="AJ957" s="6">
        <v>5322749.4610000001</v>
      </c>
      <c r="AK957" s="6">
        <v>6292069.4139999999</v>
      </c>
      <c r="AL957" s="6">
        <v>7168219.8360000001</v>
      </c>
      <c r="AM957" s="6">
        <v>8459676.0930000003</v>
      </c>
      <c r="AN957" s="6">
        <v>8057816.3679999998</v>
      </c>
      <c r="AO957" s="6">
        <v>5579526.1629999997</v>
      </c>
      <c r="AP957" s="6">
        <v>4071967.31</v>
      </c>
      <c r="AQ957" s="6">
        <v>2827303.3020000001</v>
      </c>
      <c r="AR957" s="6">
        <v>1691802.5160000001</v>
      </c>
      <c r="AS957" s="6">
        <v>1396264.2520000001</v>
      </c>
      <c r="AT957" s="6">
        <v>1396264.2520000001</v>
      </c>
    </row>
    <row r="958" spans="1:46" x14ac:dyDescent="0.25">
      <c r="A958" s="4" t="s">
        <v>194</v>
      </c>
      <c r="B958" s="4" t="s">
        <v>207</v>
      </c>
      <c r="C958" s="4" t="s">
        <v>246</v>
      </c>
      <c r="D958" s="4" t="s">
        <v>259</v>
      </c>
      <c r="E958" s="4" t="s">
        <v>248</v>
      </c>
      <c r="F958" s="4" t="s">
        <v>195</v>
      </c>
      <c r="G958" s="4" t="s">
        <v>93</v>
      </c>
      <c r="H958" s="4" t="s">
        <v>249</v>
      </c>
      <c r="I958" s="7">
        <v>16.311</v>
      </c>
      <c r="J958" s="7">
        <v>18.800999999999998</v>
      </c>
      <c r="K958" s="7">
        <v>19.798999999999999</v>
      </c>
      <c r="L958" s="7">
        <v>18.780999999999999</v>
      </c>
      <c r="M958" s="7">
        <v>17.538</v>
      </c>
      <c r="N958" s="7">
        <v>17.823</v>
      </c>
      <c r="O958" s="7">
        <v>16.885999999999999</v>
      </c>
      <c r="P958" s="7">
        <v>17.687000000000001</v>
      </c>
      <c r="Q958" s="7">
        <v>16.489999999999998</v>
      </c>
      <c r="R958" s="7">
        <v>18.137</v>
      </c>
      <c r="S958" s="7">
        <v>16.222999999999999</v>
      </c>
      <c r="T958" s="7">
        <v>15.353999999999999</v>
      </c>
      <c r="U958" s="7">
        <v>13.981999999999999</v>
      </c>
      <c r="V958" s="7">
        <v>17.945</v>
      </c>
      <c r="W958" s="7">
        <v>17.771999999999998</v>
      </c>
      <c r="X958" s="7">
        <v>20.957000000000001</v>
      </c>
      <c r="Y958" s="7">
        <v>22.117999999999999</v>
      </c>
      <c r="Z958" s="7">
        <v>19.085999999999999</v>
      </c>
      <c r="AA958" s="7">
        <v>19.858000000000001</v>
      </c>
      <c r="AB958" s="7">
        <v>19.943999999999999</v>
      </c>
      <c r="AC958" s="7">
        <v>19.934000000000001</v>
      </c>
      <c r="AD958" s="7">
        <v>18.363</v>
      </c>
      <c r="AE958" s="7">
        <v>17.247</v>
      </c>
      <c r="AF958" s="7">
        <v>17.199000000000002</v>
      </c>
      <c r="AG958" s="7">
        <v>17.210999999999999</v>
      </c>
      <c r="AH958" s="7">
        <v>18.739999999999998</v>
      </c>
      <c r="AI958" s="7">
        <v>17.45</v>
      </c>
      <c r="AJ958" s="7">
        <v>19.053000000000001</v>
      </c>
      <c r="AK958" s="7">
        <v>18.372</v>
      </c>
      <c r="AL958" s="7">
        <v>18.827999999999999</v>
      </c>
      <c r="AM958" s="7">
        <v>19.521000000000001</v>
      </c>
      <c r="AN958" s="7">
        <v>19.312000000000001</v>
      </c>
      <c r="AO958" s="7">
        <v>17.928000000000001</v>
      </c>
      <c r="AP958" s="7">
        <v>16.850999999999999</v>
      </c>
      <c r="AQ958" s="7">
        <v>16.120999999999999</v>
      </c>
      <c r="AR958" s="7">
        <v>14.476000000000001</v>
      </c>
      <c r="AS958" s="7">
        <v>14.023999999999999</v>
      </c>
      <c r="AT958" s="7">
        <v>2.4649999999999999</v>
      </c>
    </row>
    <row r="959" spans="1:46" x14ac:dyDescent="0.25">
      <c r="A959" s="4" t="s">
        <v>194</v>
      </c>
      <c r="B959" s="4" t="s">
        <v>207</v>
      </c>
      <c r="C959" s="4" t="s">
        <v>246</v>
      </c>
      <c r="D959" s="4" t="s">
        <v>259</v>
      </c>
      <c r="E959" s="4" t="s">
        <v>248</v>
      </c>
      <c r="F959" s="4" t="s">
        <v>195</v>
      </c>
      <c r="G959" s="4" t="s">
        <v>93</v>
      </c>
      <c r="H959" s="4" t="s">
        <v>250</v>
      </c>
      <c r="I959" s="7">
        <v>87.307000000000002</v>
      </c>
      <c r="J959" s="7">
        <v>89.331000000000003</v>
      </c>
      <c r="K959" s="7">
        <v>92.141000000000005</v>
      </c>
      <c r="L959" s="7">
        <v>94.899000000000001</v>
      </c>
      <c r="M959" s="7">
        <v>93.447000000000003</v>
      </c>
      <c r="N959" s="7">
        <v>95.317999999999998</v>
      </c>
      <c r="O959" s="7">
        <v>94.668000000000006</v>
      </c>
      <c r="P959" s="7">
        <v>93.625</v>
      </c>
      <c r="Q959" s="7">
        <v>94.781000000000006</v>
      </c>
      <c r="R959" s="7">
        <v>93.411000000000001</v>
      </c>
      <c r="S959" s="7">
        <v>93.820999999999998</v>
      </c>
      <c r="T959" s="7">
        <v>93.808999999999997</v>
      </c>
      <c r="U959" s="7">
        <v>89.144999999999996</v>
      </c>
      <c r="V959" s="7">
        <v>89.900999999999996</v>
      </c>
      <c r="W959" s="7">
        <v>93.433000000000007</v>
      </c>
      <c r="X959" s="7">
        <v>94.597999999999999</v>
      </c>
      <c r="Y959" s="7">
        <v>94.665999999999997</v>
      </c>
      <c r="Z959" s="7">
        <v>92.906000000000006</v>
      </c>
      <c r="AA959" s="7">
        <v>92.915000000000006</v>
      </c>
      <c r="AB959" s="7">
        <v>93.331000000000003</v>
      </c>
      <c r="AC959" s="7">
        <v>90.54</v>
      </c>
      <c r="AD959" s="7">
        <v>91.04</v>
      </c>
      <c r="AE959" s="7">
        <v>88.646000000000001</v>
      </c>
      <c r="AF959" s="7">
        <v>88.796000000000006</v>
      </c>
      <c r="AG959" s="7">
        <v>90.108000000000004</v>
      </c>
      <c r="AH959" s="7">
        <v>91.691000000000003</v>
      </c>
      <c r="AI959" s="7">
        <v>93.698999999999998</v>
      </c>
      <c r="AJ959" s="7">
        <v>94.983000000000004</v>
      </c>
      <c r="AK959" s="7">
        <v>94.950999999999993</v>
      </c>
      <c r="AL959" s="7">
        <v>93.406000000000006</v>
      </c>
      <c r="AM959" s="7">
        <v>93.444000000000003</v>
      </c>
      <c r="AN959" s="7">
        <v>95.941000000000003</v>
      </c>
      <c r="AO959" s="7">
        <v>95.097999999999999</v>
      </c>
      <c r="AP959" s="7">
        <v>94.242999999999995</v>
      </c>
      <c r="AQ959" s="7">
        <v>94.465000000000003</v>
      </c>
      <c r="AR959" s="7">
        <v>94.525999999999996</v>
      </c>
      <c r="AS959" s="7">
        <v>93.965999999999994</v>
      </c>
      <c r="AT959" s="5">
        <v>18696.179</v>
      </c>
    </row>
    <row r="960" spans="1:46" x14ac:dyDescent="0.25">
      <c r="A960" s="4" t="s">
        <v>194</v>
      </c>
      <c r="B960" s="4" t="s">
        <v>207</v>
      </c>
      <c r="C960" s="4" t="s">
        <v>246</v>
      </c>
      <c r="D960" s="4" t="s">
        <v>259</v>
      </c>
      <c r="E960" s="4" t="s">
        <v>248</v>
      </c>
      <c r="F960" s="4" t="s">
        <v>195</v>
      </c>
      <c r="G960" s="4" t="s">
        <v>93</v>
      </c>
      <c r="H960" s="4" t="s">
        <v>251</v>
      </c>
      <c r="I960" s="7">
        <v>68.550354499999997</v>
      </c>
      <c r="J960" s="7">
        <v>73.042213599999997</v>
      </c>
      <c r="K960" s="7">
        <v>73.427483899999999</v>
      </c>
      <c r="L960" s="7">
        <v>76.620792399999999</v>
      </c>
      <c r="M960" s="7">
        <v>73.547219499999997</v>
      </c>
      <c r="N960" s="7">
        <v>76.580222800000001</v>
      </c>
      <c r="O960" s="7">
        <v>75.518099399999997</v>
      </c>
      <c r="P960" s="7">
        <v>72.522091900000007</v>
      </c>
      <c r="Q960" s="7">
        <v>73.152986600000006</v>
      </c>
      <c r="R960" s="7">
        <v>73.128170999999995</v>
      </c>
      <c r="S960" s="7">
        <v>73.677551600000001</v>
      </c>
      <c r="T960" s="7">
        <v>74.085358400000004</v>
      </c>
      <c r="U960" s="7">
        <v>71.814870999999997</v>
      </c>
      <c r="V960" s="7">
        <v>73.0032341</v>
      </c>
      <c r="W960" s="7">
        <v>74.816367600000007</v>
      </c>
      <c r="X960" s="7">
        <v>73.751772000000003</v>
      </c>
      <c r="Y960" s="7">
        <v>74.249293800000004</v>
      </c>
      <c r="Z960" s="7">
        <v>73.073520299999998</v>
      </c>
      <c r="AA960" s="7">
        <v>70.218099899999999</v>
      </c>
      <c r="AB960" s="7">
        <v>73.802474900000007</v>
      </c>
      <c r="AC960" s="7">
        <v>68.541244000000006</v>
      </c>
      <c r="AD960" s="7">
        <v>69.7299273</v>
      </c>
      <c r="AE960" s="7">
        <v>63.007346200000001</v>
      </c>
      <c r="AF960" s="7">
        <v>60.753826799999999</v>
      </c>
      <c r="AG960" s="7">
        <v>63.707537199999997</v>
      </c>
      <c r="AH960" s="7">
        <v>66.730690899999999</v>
      </c>
      <c r="AI960" s="7">
        <v>68.385914</v>
      </c>
      <c r="AJ960" s="7">
        <v>72.801974400000006</v>
      </c>
      <c r="AK960" s="7">
        <v>72.298647399999993</v>
      </c>
      <c r="AL960" s="7">
        <v>71.836217399999995</v>
      </c>
      <c r="AM960" s="7">
        <v>73.503387599999996</v>
      </c>
      <c r="AN960" s="7">
        <v>71.861852299999995</v>
      </c>
      <c r="AO960" s="7">
        <v>73.144262699999999</v>
      </c>
      <c r="AP960" s="7">
        <v>70.581367599999993</v>
      </c>
      <c r="AQ960" s="7">
        <v>67.8097566</v>
      </c>
      <c r="AR960" s="7">
        <v>70.471454899999998</v>
      </c>
      <c r="AS960" s="7">
        <v>68.291870500000002</v>
      </c>
      <c r="AT960" s="7">
        <v>93.965999999999994</v>
      </c>
    </row>
    <row r="961" spans="1:46" x14ac:dyDescent="0.25">
      <c r="A961" s="4" t="s">
        <v>194</v>
      </c>
      <c r="B961" s="4" t="s">
        <v>207</v>
      </c>
      <c r="C961" s="4" t="s">
        <v>246</v>
      </c>
      <c r="D961" s="4" t="s">
        <v>259</v>
      </c>
      <c r="E961" s="4" t="s">
        <v>248</v>
      </c>
      <c r="F961" s="4" t="s">
        <v>195</v>
      </c>
      <c r="G961" s="4" t="s">
        <v>93</v>
      </c>
      <c r="H961" s="4" t="s">
        <v>252</v>
      </c>
      <c r="I961" s="16">
        <v>8.0289999999999999</v>
      </c>
      <c r="J961" s="16">
        <v>9.407</v>
      </c>
      <c r="K961" s="16">
        <v>8.49</v>
      </c>
      <c r="L961" s="16">
        <v>9.7590000000000003</v>
      </c>
      <c r="M961" s="16">
        <v>9.8789999999999996</v>
      </c>
      <c r="N961" s="16">
        <v>9.4689999999999994</v>
      </c>
      <c r="O961" s="16">
        <v>9.2210000000000001</v>
      </c>
      <c r="P961" s="16">
        <v>8.4269999999999996</v>
      </c>
      <c r="Q961" s="16">
        <v>8.1280000000000001</v>
      </c>
      <c r="R961" s="16">
        <v>8.3819999999999997</v>
      </c>
      <c r="S961" s="16">
        <v>8.3870000000000005</v>
      </c>
      <c r="T961" s="16">
        <v>7.8710000000000004</v>
      </c>
      <c r="U961" s="16">
        <v>10.430999999999999</v>
      </c>
      <c r="V961" s="16">
        <v>10.214</v>
      </c>
      <c r="W961" s="16">
        <v>9.5890000000000004</v>
      </c>
      <c r="X961" s="16">
        <v>9.2420000000000009</v>
      </c>
      <c r="Y961" s="16">
        <v>8.4359999999999999</v>
      </c>
      <c r="Z961" s="16">
        <v>7.9980000000000002</v>
      </c>
      <c r="AA961" s="16">
        <v>7.1790000000000003</v>
      </c>
      <c r="AB961" s="16">
        <v>7.4610000000000003</v>
      </c>
      <c r="AC961" s="16">
        <v>6.3289999999999997</v>
      </c>
      <c r="AD961" s="16">
        <v>6.7110000000000003</v>
      </c>
      <c r="AE961" s="16">
        <v>7.2290000000000001</v>
      </c>
      <c r="AF961" s="16">
        <v>7.3490000000000002</v>
      </c>
      <c r="AG961" s="16">
        <v>6.87</v>
      </c>
      <c r="AH961" s="16">
        <v>8.9710000000000001</v>
      </c>
      <c r="AI961" s="16">
        <v>9.8469999999999995</v>
      </c>
      <c r="AJ961" s="16">
        <v>9.0890000000000004</v>
      </c>
      <c r="AK961" s="16">
        <v>10.776999999999999</v>
      </c>
      <c r="AL961" s="16">
        <v>8.9309999999999992</v>
      </c>
      <c r="AM961" s="16">
        <v>9.9819999999999993</v>
      </c>
      <c r="AN961" s="16">
        <v>8.9</v>
      </c>
      <c r="AO961" s="16">
        <v>9.2919999999999998</v>
      </c>
      <c r="AP961" s="16">
        <v>8.2479999999999993</v>
      </c>
      <c r="AQ961" s="16">
        <v>7.6159999999999997</v>
      </c>
      <c r="AR961" s="16">
        <v>8.2870000000000008</v>
      </c>
      <c r="AS961" s="16">
        <v>8.1720000000000006</v>
      </c>
      <c r="AT961" s="7">
        <v>68.291870500000002</v>
      </c>
    </row>
    <row r="962" spans="1:46" x14ac:dyDescent="0.25">
      <c r="A962" s="4" t="s">
        <v>194</v>
      </c>
      <c r="B962" s="4" t="s">
        <v>207</v>
      </c>
      <c r="C962" s="4" t="s">
        <v>246</v>
      </c>
      <c r="D962" s="4" t="s">
        <v>259</v>
      </c>
      <c r="E962" s="4" t="s">
        <v>248</v>
      </c>
      <c r="F962" s="4" t="s">
        <v>195</v>
      </c>
      <c r="G962" s="4" t="s">
        <v>260</v>
      </c>
      <c r="H962" s="4" t="s">
        <v>151</v>
      </c>
      <c r="I962" s="5">
        <v>44.225999999999999</v>
      </c>
      <c r="J962" s="5">
        <v>33.826999999999998</v>
      </c>
      <c r="K962" s="5">
        <v>41.68</v>
      </c>
      <c r="L962" s="5">
        <v>181.732</v>
      </c>
      <c r="M962" s="5">
        <v>34.154000000000003</v>
      </c>
      <c r="N962" s="5">
        <v>36.686</v>
      </c>
      <c r="O962" s="5">
        <v>318.51600000000002</v>
      </c>
      <c r="P962" s="5">
        <v>461.32900000000001</v>
      </c>
      <c r="Q962" s="5">
        <v>343.14699999999999</v>
      </c>
      <c r="R962" s="5">
        <v>297.98099999999999</v>
      </c>
      <c r="S962" s="5">
        <v>238.38499999999999</v>
      </c>
      <c r="T962" s="5">
        <v>214.54599999999999</v>
      </c>
      <c r="U962" s="5">
        <v>154.94999999999999</v>
      </c>
      <c r="V962" s="5">
        <v>0</v>
      </c>
      <c r="W962" s="5">
        <v>0</v>
      </c>
      <c r="X962" s="5">
        <v>0</v>
      </c>
      <c r="Y962" s="5">
        <v>3</v>
      </c>
      <c r="Z962" s="5">
        <v>0</v>
      </c>
      <c r="AA962" s="5">
        <v>151.44300000000001</v>
      </c>
      <c r="AB962" s="5">
        <v>91.991</v>
      </c>
      <c r="AC962" s="5">
        <v>0</v>
      </c>
      <c r="AD962" s="5">
        <v>0</v>
      </c>
      <c r="AE962" s="5">
        <v>0</v>
      </c>
      <c r="AF962" s="5">
        <v>0</v>
      </c>
      <c r="AG962" s="5">
        <v>25.067</v>
      </c>
      <c r="AH962" s="5">
        <v>14.205</v>
      </c>
      <c r="AI962" s="5">
        <v>17.355</v>
      </c>
      <c r="AJ962" s="5">
        <v>49.780999999999999</v>
      </c>
      <c r="AK962" s="5">
        <v>0</v>
      </c>
      <c r="AL962" s="5">
        <v>0</v>
      </c>
      <c r="AM962" s="5">
        <v>114.73</v>
      </c>
      <c r="AN962" s="5">
        <v>13.928000000000001</v>
      </c>
      <c r="AO962" s="5">
        <v>38.243000000000002</v>
      </c>
      <c r="AP962" s="5">
        <v>187.05799999999999</v>
      </c>
      <c r="AQ962" s="5">
        <v>0</v>
      </c>
      <c r="AR962" s="5">
        <v>32.344999999999999</v>
      </c>
      <c r="AS962" s="5">
        <v>38.814999999999998</v>
      </c>
      <c r="AT962" s="5">
        <v>465.78199999999998</v>
      </c>
    </row>
    <row r="963" spans="1:46" x14ac:dyDescent="0.25">
      <c r="A963" s="4" t="s">
        <v>194</v>
      </c>
      <c r="B963" s="4" t="s">
        <v>207</v>
      </c>
      <c r="C963" s="4" t="s">
        <v>246</v>
      </c>
      <c r="D963" s="4" t="s">
        <v>259</v>
      </c>
      <c r="E963" s="4" t="s">
        <v>248</v>
      </c>
      <c r="F963" s="4" t="s">
        <v>195</v>
      </c>
      <c r="G963" s="4" t="s">
        <v>260</v>
      </c>
      <c r="H963" s="4" t="s">
        <v>205</v>
      </c>
      <c r="I963" s="6">
        <v>1680.585</v>
      </c>
      <c r="J963" s="6">
        <v>1319.43</v>
      </c>
      <c r="K963" s="6">
        <v>2122.4690000000001</v>
      </c>
      <c r="L963" s="6">
        <v>9828.8829999999998</v>
      </c>
      <c r="M963" s="6">
        <v>2141.8890000000001</v>
      </c>
      <c r="N963" s="6">
        <v>5100.527</v>
      </c>
      <c r="O963" s="6">
        <v>38424.07</v>
      </c>
      <c r="P963" s="6">
        <v>50854.464</v>
      </c>
      <c r="Q963" s="6">
        <v>40013.847000000002</v>
      </c>
      <c r="R963" s="6">
        <v>34565.796000000002</v>
      </c>
      <c r="S963" s="6">
        <v>27652.636999999999</v>
      </c>
      <c r="T963" s="6">
        <v>24887.373</v>
      </c>
      <c r="U963" s="6">
        <v>17974.214</v>
      </c>
      <c r="V963" s="6">
        <v>0</v>
      </c>
      <c r="W963" s="6">
        <v>0</v>
      </c>
      <c r="X963" s="6">
        <v>0</v>
      </c>
      <c r="Y963" s="6">
        <v>201.6</v>
      </c>
      <c r="Z963" s="6">
        <v>0</v>
      </c>
      <c r="AA963" s="6">
        <v>7398.1139999999996</v>
      </c>
      <c r="AB963" s="6">
        <v>4493.8630000000003</v>
      </c>
      <c r="AC963" s="6">
        <v>0</v>
      </c>
      <c r="AD963" s="6">
        <v>0</v>
      </c>
      <c r="AE963" s="6">
        <v>0</v>
      </c>
      <c r="AF963" s="6">
        <v>0</v>
      </c>
      <c r="AG963" s="6">
        <v>1002.673</v>
      </c>
      <c r="AH963" s="6">
        <v>568.21500000000003</v>
      </c>
      <c r="AI963" s="6">
        <v>694.18100000000004</v>
      </c>
      <c r="AJ963" s="6">
        <v>1991.2560000000001</v>
      </c>
      <c r="AK963" s="6">
        <v>0</v>
      </c>
      <c r="AL963" s="6">
        <v>0</v>
      </c>
      <c r="AM963" s="6">
        <v>4589.2049999999999</v>
      </c>
      <c r="AN963" s="6">
        <v>557.12</v>
      </c>
      <c r="AO963" s="6">
        <v>1529.7349999999999</v>
      </c>
      <c r="AP963" s="6">
        <v>7482.3220000000001</v>
      </c>
      <c r="AQ963" s="6">
        <v>0</v>
      </c>
      <c r="AR963" s="6">
        <v>1293.819</v>
      </c>
      <c r="AS963" s="6">
        <v>1552.5830000000001</v>
      </c>
      <c r="AT963" s="6">
        <v>1552.5830000000001</v>
      </c>
    </row>
    <row r="964" spans="1:46" x14ac:dyDescent="0.25">
      <c r="A964" s="4" t="s">
        <v>194</v>
      </c>
      <c r="B964" s="4" t="s">
        <v>207</v>
      </c>
      <c r="C964" s="4" t="s">
        <v>246</v>
      </c>
      <c r="D964" s="4" t="s">
        <v>259</v>
      </c>
      <c r="E964" s="4" t="s">
        <v>248</v>
      </c>
      <c r="F964" s="4" t="s">
        <v>195</v>
      </c>
      <c r="G964" s="4" t="s">
        <v>260</v>
      </c>
      <c r="H964" s="4" t="s">
        <v>249</v>
      </c>
      <c r="I964" s="7">
        <v>3.0000000000000001E-3</v>
      </c>
      <c r="J964" s="7">
        <v>2E-3</v>
      </c>
      <c r="K964" s="7">
        <v>2E-3</v>
      </c>
      <c r="L964" s="7">
        <v>1.9E-2</v>
      </c>
      <c r="M964" s="7">
        <v>4.0000000000000001E-3</v>
      </c>
      <c r="N964" s="7">
        <v>1.4999999999999999E-2</v>
      </c>
      <c r="O964" s="7">
        <v>8.0000000000000002E-3</v>
      </c>
      <c r="P964" s="7">
        <v>1.4999999999999999E-2</v>
      </c>
      <c r="Q964" s="7">
        <v>1.4999999999999999E-2</v>
      </c>
      <c r="R964" s="7">
        <v>1.7999999999999999E-2</v>
      </c>
      <c r="S964" s="7">
        <v>1.6E-2</v>
      </c>
      <c r="T964" s="7">
        <v>1.4999999999999999E-2</v>
      </c>
      <c r="U964" s="7">
        <v>0.01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4.0000000000000001E-3</v>
      </c>
      <c r="AB964" s="7">
        <v>3.0000000000000001E-3</v>
      </c>
      <c r="AC964" s="7">
        <v>0</v>
      </c>
      <c r="AD964" s="7">
        <v>0</v>
      </c>
      <c r="AE964" s="7">
        <v>0</v>
      </c>
      <c r="AF964" s="7">
        <v>0</v>
      </c>
      <c r="AG964" s="7">
        <v>2E-3</v>
      </c>
      <c r="AH964" s="7">
        <v>1E-3</v>
      </c>
      <c r="AI964" s="7">
        <v>1E-3</v>
      </c>
      <c r="AJ964" s="7">
        <v>1E-3</v>
      </c>
      <c r="AK964" s="7">
        <v>0</v>
      </c>
      <c r="AL964" s="7">
        <v>0</v>
      </c>
      <c r="AM964" s="7">
        <v>2E-3</v>
      </c>
      <c r="AN964" s="7">
        <v>0</v>
      </c>
      <c r="AO964" s="7">
        <v>1E-3</v>
      </c>
      <c r="AP964" s="7">
        <v>6.0000000000000001E-3</v>
      </c>
      <c r="AQ964" s="7">
        <v>0</v>
      </c>
      <c r="AR964" s="7">
        <v>2E-3</v>
      </c>
      <c r="AS964" s="7">
        <v>3.0000000000000001E-3</v>
      </c>
      <c r="AT964" s="7">
        <v>0.19400000000000001</v>
      </c>
    </row>
    <row r="965" spans="1:46" x14ac:dyDescent="0.25">
      <c r="A965" s="4" t="s">
        <v>194</v>
      </c>
      <c r="B965" s="4" t="s">
        <v>207</v>
      </c>
      <c r="C965" s="4" t="s">
        <v>246</v>
      </c>
      <c r="D965" s="4" t="s">
        <v>259</v>
      </c>
      <c r="E965" s="4" t="s">
        <v>248</v>
      </c>
      <c r="F965" s="4" t="s">
        <v>195</v>
      </c>
      <c r="G965" s="4" t="s">
        <v>260</v>
      </c>
      <c r="H965" s="4" t="s">
        <v>250</v>
      </c>
      <c r="I965" s="7">
        <v>3.3530000000000002</v>
      </c>
      <c r="J965" s="7">
        <v>3.6890000000000001</v>
      </c>
      <c r="K965" s="7">
        <v>4.9580000000000002</v>
      </c>
      <c r="L965" s="7">
        <v>2.944</v>
      </c>
      <c r="M965" s="7">
        <v>3.3079999999999998</v>
      </c>
      <c r="N965" s="7">
        <v>1.5329999999999999</v>
      </c>
      <c r="O965" s="7">
        <v>4.5670000000000002</v>
      </c>
      <c r="P965" s="7">
        <v>4.9400000000000004</v>
      </c>
      <c r="Q965" s="7">
        <v>5.8019999999999996</v>
      </c>
      <c r="R965" s="7">
        <v>5.3</v>
      </c>
      <c r="S965" s="7">
        <v>5.907</v>
      </c>
      <c r="T965" s="7">
        <v>5.4039999999999999</v>
      </c>
      <c r="U965" s="7">
        <v>4.3620000000000001</v>
      </c>
      <c r="V965" s="7">
        <v>0.41799999999999998</v>
      </c>
      <c r="W965" s="7">
        <v>0.77700000000000002</v>
      </c>
      <c r="X965" s="7">
        <v>0.76500000000000001</v>
      </c>
      <c r="Y965" s="7">
        <v>1.208</v>
      </c>
      <c r="Z965" s="7">
        <v>0.45</v>
      </c>
      <c r="AA965" s="7">
        <v>1.821</v>
      </c>
      <c r="AB965" s="7">
        <v>1.0860000000000001</v>
      </c>
      <c r="AC965" s="7">
        <v>0.61299999999999999</v>
      </c>
      <c r="AD965" s="7">
        <v>0.314</v>
      </c>
      <c r="AE965" s="7">
        <v>0.77100000000000002</v>
      </c>
      <c r="AF965" s="7">
        <v>0.97</v>
      </c>
      <c r="AG965" s="7">
        <v>1.4350000000000001</v>
      </c>
      <c r="AH965" s="7">
        <v>0.48399999999999999</v>
      </c>
      <c r="AI965" s="7">
        <v>0.36299999999999999</v>
      </c>
      <c r="AJ965" s="7">
        <v>0.751</v>
      </c>
      <c r="AK965" s="7">
        <v>0.6</v>
      </c>
      <c r="AL965" s="7">
        <v>0.57799999999999996</v>
      </c>
      <c r="AM965" s="7">
        <v>0.53800000000000003</v>
      </c>
      <c r="AN965" s="7">
        <v>0.65800000000000003</v>
      </c>
      <c r="AO965" s="7">
        <v>0.63</v>
      </c>
      <c r="AP965" s="7">
        <v>0.95199999999999996</v>
      </c>
      <c r="AQ965" s="7">
        <v>0.80400000000000005</v>
      </c>
      <c r="AR965" s="7">
        <v>1.2070000000000001</v>
      </c>
      <c r="AS965" s="7">
        <v>1.4470000000000001</v>
      </c>
      <c r="AT965" s="5">
        <v>3631.2640000000001</v>
      </c>
    </row>
    <row r="966" spans="1:46" x14ac:dyDescent="0.25">
      <c r="A966" s="4" t="s">
        <v>194</v>
      </c>
      <c r="B966" s="4" t="s">
        <v>207</v>
      </c>
      <c r="C966" s="4" t="s">
        <v>246</v>
      </c>
      <c r="D966" s="4" t="s">
        <v>259</v>
      </c>
      <c r="E966" s="4" t="s">
        <v>248</v>
      </c>
      <c r="F966" s="4" t="s">
        <v>195</v>
      </c>
      <c r="G966" s="4" t="s">
        <v>260</v>
      </c>
      <c r="H966" s="4" t="s">
        <v>251</v>
      </c>
      <c r="I966" s="7">
        <v>2.1915638999999998</v>
      </c>
      <c r="J966" s="7">
        <v>2.2826602999999999</v>
      </c>
      <c r="K966" s="7">
        <v>2.3570033000000001</v>
      </c>
      <c r="L966" s="7">
        <v>1.9193711</v>
      </c>
      <c r="M966" s="7">
        <v>1.9612921999999999</v>
      </c>
      <c r="N966" s="7">
        <v>1.1608238</v>
      </c>
      <c r="O966" s="7">
        <v>2.2379102999999998</v>
      </c>
      <c r="P966" s="7">
        <v>2.1933256999999999</v>
      </c>
      <c r="Q966" s="7">
        <v>2.2183834999999998</v>
      </c>
      <c r="R966" s="7">
        <v>1.6139074</v>
      </c>
      <c r="S966" s="7">
        <v>1.6143163</v>
      </c>
      <c r="T966" s="7">
        <v>1.6131420000000001</v>
      </c>
      <c r="U966" s="7">
        <v>1.6125750999999999</v>
      </c>
      <c r="V966" s="7">
        <v>0.59330179999999999</v>
      </c>
      <c r="W966" s="7">
        <v>0.5929837</v>
      </c>
      <c r="X966" s="7">
        <v>0.6520165</v>
      </c>
      <c r="Y966" s="7">
        <v>0.68938889999999997</v>
      </c>
      <c r="Z966" s="7">
        <v>0.65109649999999997</v>
      </c>
      <c r="AA966" s="7">
        <v>1.4974611</v>
      </c>
      <c r="AB966" s="7">
        <v>1.4974403999999999</v>
      </c>
      <c r="AC966" s="7">
        <v>0.65114320000000003</v>
      </c>
      <c r="AD966" s="7">
        <v>0.65054710000000004</v>
      </c>
      <c r="AE966" s="7">
        <v>0.70002129999999996</v>
      </c>
      <c r="AF966" s="7">
        <v>0.73472400000000004</v>
      </c>
      <c r="AG966" s="7">
        <v>0.73472630000000005</v>
      </c>
      <c r="AH966" s="7">
        <v>0.73472570000000004</v>
      </c>
      <c r="AI966" s="7">
        <v>0.79594089999999995</v>
      </c>
      <c r="AJ966" s="7">
        <v>0.86770270000000005</v>
      </c>
      <c r="AK966" s="7">
        <v>0.86682780000000004</v>
      </c>
      <c r="AL966" s="7">
        <v>0.79544479999999995</v>
      </c>
      <c r="AM966" s="7">
        <v>0.79569109999999998</v>
      </c>
      <c r="AN966" s="7">
        <v>0.79580910000000005</v>
      </c>
      <c r="AO966" s="7">
        <v>0.79589489999999996</v>
      </c>
      <c r="AP966" s="7">
        <v>0.87572070000000002</v>
      </c>
      <c r="AQ966" s="7">
        <v>0.97281110000000004</v>
      </c>
      <c r="AR966" s="7">
        <v>0.98172459999999995</v>
      </c>
      <c r="AS966" s="7">
        <v>0.98228800000000005</v>
      </c>
      <c r="AT966" s="7">
        <v>1.4470000000000001</v>
      </c>
    </row>
    <row r="967" spans="1:46" x14ac:dyDescent="0.25">
      <c r="A967" s="4" t="s">
        <v>194</v>
      </c>
      <c r="B967" s="4" t="s">
        <v>207</v>
      </c>
      <c r="C967" s="4" t="s">
        <v>246</v>
      </c>
      <c r="D967" s="4" t="s">
        <v>259</v>
      </c>
      <c r="E967" s="4" t="s">
        <v>248</v>
      </c>
      <c r="F967" s="4" t="s">
        <v>195</v>
      </c>
      <c r="G967" s="4" t="s">
        <v>260</v>
      </c>
      <c r="H967" s="4" t="s">
        <v>252</v>
      </c>
      <c r="I967" s="16">
        <v>8.2000000000000003E-2</v>
      </c>
      <c r="J967" s="16">
        <v>5.8999999999999997E-2</v>
      </c>
      <c r="K967" s="16">
        <v>3.5999999999999997E-2</v>
      </c>
      <c r="L967" s="16">
        <v>9.6000000000000002E-2</v>
      </c>
      <c r="M967" s="16">
        <v>9.5000000000000001E-2</v>
      </c>
      <c r="N967" s="16">
        <v>7.9000000000000001E-2</v>
      </c>
      <c r="O967" s="16">
        <v>6.5000000000000002E-2</v>
      </c>
      <c r="P967" s="16">
        <v>0.109</v>
      </c>
      <c r="Q967" s="16">
        <v>9.9000000000000005E-2</v>
      </c>
      <c r="R967" s="16">
        <v>9.5000000000000001E-2</v>
      </c>
      <c r="S967" s="16">
        <v>9.8000000000000004E-2</v>
      </c>
      <c r="T967" s="16">
        <v>9.2999999999999999E-2</v>
      </c>
      <c r="U967" s="16">
        <v>9.0999999999999998E-2</v>
      </c>
      <c r="V967" s="16">
        <v>0.09</v>
      </c>
      <c r="W967" s="16">
        <v>7.3999999999999996E-2</v>
      </c>
      <c r="X967" s="16">
        <v>7.5999999999999998E-2</v>
      </c>
      <c r="Y967" s="16">
        <v>8.2000000000000003E-2</v>
      </c>
      <c r="Z967" s="16">
        <v>7.9000000000000001E-2</v>
      </c>
      <c r="AA967" s="16">
        <v>0.13300000000000001</v>
      </c>
      <c r="AB967" s="16">
        <v>8.5000000000000006E-2</v>
      </c>
      <c r="AC967" s="16">
        <v>8.6999999999999994E-2</v>
      </c>
      <c r="AD967" s="16">
        <v>8.7999999999999995E-2</v>
      </c>
      <c r="AE967" s="16">
        <v>0.11799999999999999</v>
      </c>
      <c r="AF967" s="16">
        <v>0.127</v>
      </c>
      <c r="AG967" s="16">
        <v>0.107</v>
      </c>
      <c r="AH967" s="16">
        <v>0.13800000000000001</v>
      </c>
      <c r="AI967" s="16">
        <v>0.11899999999999999</v>
      </c>
      <c r="AJ967" s="16">
        <v>0.107</v>
      </c>
      <c r="AK967" s="16">
        <v>0.106</v>
      </c>
      <c r="AL967" s="16">
        <v>9.8000000000000004E-2</v>
      </c>
      <c r="AM967" s="16">
        <v>0.17299999999999999</v>
      </c>
      <c r="AN967" s="16">
        <v>0.16800000000000001</v>
      </c>
      <c r="AO967" s="16">
        <v>0.154</v>
      </c>
      <c r="AP967" s="16">
        <v>6.0999999999999999E-2</v>
      </c>
      <c r="AQ967" s="16">
        <v>0.153</v>
      </c>
      <c r="AR967" s="16">
        <v>0.14099999999999999</v>
      </c>
      <c r="AS967" s="16">
        <v>0.14699999999999999</v>
      </c>
      <c r="AT967" s="7">
        <v>0.98228800000000005</v>
      </c>
    </row>
    <row r="968" spans="1:46" x14ac:dyDescent="0.25">
      <c r="A968" s="4" t="s">
        <v>194</v>
      </c>
      <c r="B968" s="4" t="s">
        <v>207</v>
      </c>
      <c r="C968" s="4" t="s">
        <v>246</v>
      </c>
      <c r="D968" s="4" t="s">
        <v>259</v>
      </c>
      <c r="E968" s="4" t="s">
        <v>261</v>
      </c>
      <c r="F968" s="4" t="s">
        <v>195</v>
      </c>
      <c r="G968" s="4" t="s">
        <v>93</v>
      </c>
      <c r="H968" s="4" t="s">
        <v>151</v>
      </c>
      <c r="I968" s="5">
        <v>767.58699999999999</v>
      </c>
      <c r="J968" s="5">
        <v>1531.1210000000001</v>
      </c>
      <c r="K968" s="5">
        <v>1329.6479999999999</v>
      </c>
      <c r="L968" s="5">
        <v>1617.375</v>
      </c>
      <c r="M968" s="5">
        <v>1398.7919999999999</v>
      </c>
      <c r="N968" s="5">
        <v>1526.098</v>
      </c>
      <c r="O968" s="5">
        <v>1293.645</v>
      </c>
      <c r="P968" s="5">
        <v>1344.9870000000001</v>
      </c>
      <c r="Q968" s="5">
        <v>954.80100000000004</v>
      </c>
      <c r="R968" s="5">
        <v>741.04300000000001</v>
      </c>
      <c r="S968" s="5">
        <v>862.24699999999996</v>
      </c>
      <c r="T968" s="5">
        <v>1194.857</v>
      </c>
      <c r="U968" s="5">
        <v>1077.354</v>
      </c>
      <c r="V968" s="5">
        <v>1209.722</v>
      </c>
      <c r="W968" s="5">
        <v>1460.259</v>
      </c>
      <c r="X968" s="5">
        <v>1493.857</v>
      </c>
      <c r="Y968" s="5">
        <v>1683.337</v>
      </c>
      <c r="Z968" s="5">
        <v>1609.287</v>
      </c>
      <c r="AA968" s="5">
        <v>1720.2349999999999</v>
      </c>
      <c r="AB968" s="5">
        <v>1239.48</v>
      </c>
      <c r="AC968" s="5">
        <v>1032.3050000000001</v>
      </c>
      <c r="AD968" s="5">
        <v>980.21799999999996</v>
      </c>
      <c r="AE968" s="5">
        <v>818.68700000000001</v>
      </c>
      <c r="AF968" s="5">
        <v>609.87599999999998</v>
      </c>
      <c r="AG968" s="5">
        <v>688.12300000000005</v>
      </c>
      <c r="AH968" s="5">
        <v>813.76499999999999</v>
      </c>
      <c r="AI968" s="5">
        <v>1308.075</v>
      </c>
      <c r="AJ968" s="5">
        <v>2240.3649999999998</v>
      </c>
      <c r="AK968" s="5">
        <v>2405.8150000000001</v>
      </c>
      <c r="AL968" s="5">
        <v>1644.0719999999999</v>
      </c>
      <c r="AM968" s="5">
        <v>2089.19</v>
      </c>
      <c r="AN968" s="5">
        <v>1830.8620000000001</v>
      </c>
      <c r="AO968" s="5">
        <v>1489.7429999999999</v>
      </c>
      <c r="AP968" s="5">
        <v>1765.33</v>
      </c>
      <c r="AQ968" s="5">
        <v>1196.0809999999999</v>
      </c>
      <c r="AR968" s="5">
        <v>694.74599999999998</v>
      </c>
      <c r="AS968" s="5">
        <v>761.39499999999998</v>
      </c>
      <c r="AT968" s="5">
        <v>761.39499999999998</v>
      </c>
    </row>
    <row r="969" spans="1:46" x14ac:dyDescent="0.25">
      <c r="A969" s="4" t="s">
        <v>194</v>
      </c>
      <c r="B969" s="4" t="s">
        <v>207</v>
      </c>
      <c r="C969" s="4" t="s">
        <v>246</v>
      </c>
      <c r="D969" s="4" t="s">
        <v>259</v>
      </c>
      <c r="E969" s="4" t="s">
        <v>261</v>
      </c>
      <c r="F969" s="4" t="s">
        <v>195</v>
      </c>
      <c r="G969" s="4" t="s">
        <v>93</v>
      </c>
      <c r="H969" s="4" t="s">
        <v>205</v>
      </c>
      <c r="I969" s="6">
        <v>173343.68700000001</v>
      </c>
      <c r="J969" s="6">
        <v>363065.31</v>
      </c>
      <c r="K969" s="6">
        <v>319606.56599999999</v>
      </c>
      <c r="L969" s="6">
        <v>380496.19900000002</v>
      </c>
      <c r="M969" s="6">
        <v>332103.712</v>
      </c>
      <c r="N969" s="6">
        <v>370035.28600000002</v>
      </c>
      <c r="O969" s="6">
        <v>317992.25300000003</v>
      </c>
      <c r="P969" s="6">
        <v>327538.88699999999</v>
      </c>
      <c r="Q969" s="6">
        <v>241749.45</v>
      </c>
      <c r="R969" s="6">
        <v>170812.55499999999</v>
      </c>
      <c r="S969" s="6">
        <v>200846.185</v>
      </c>
      <c r="T969" s="6">
        <v>273019.78600000002</v>
      </c>
      <c r="U969" s="6">
        <v>255074.587</v>
      </c>
      <c r="V969" s="6">
        <v>331034.29100000003</v>
      </c>
      <c r="W969" s="6">
        <v>402454.81900000002</v>
      </c>
      <c r="X969" s="6">
        <v>412109.2</v>
      </c>
      <c r="Y969" s="6">
        <v>470976.10100000002</v>
      </c>
      <c r="Z969" s="6">
        <v>449432.38699999999</v>
      </c>
      <c r="AA969" s="6">
        <v>484528.41600000003</v>
      </c>
      <c r="AB969" s="6">
        <v>362972.36599999998</v>
      </c>
      <c r="AC969" s="6">
        <v>292653.99699999997</v>
      </c>
      <c r="AD969" s="6">
        <v>277173.95899999997</v>
      </c>
      <c r="AE969" s="6">
        <v>249192.826</v>
      </c>
      <c r="AF969" s="6">
        <v>186800.73800000001</v>
      </c>
      <c r="AG969" s="6">
        <v>205754.27100000001</v>
      </c>
      <c r="AH969" s="6">
        <v>252316.55</v>
      </c>
      <c r="AI969" s="6">
        <v>392975.13500000001</v>
      </c>
      <c r="AJ969" s="6">
        <v>702583.00199999998</v>
      </c>
      <c r="AK969" s="6">
        <v>756128.59</v>
      </c>
      <c r="AL969" s="6">
        <v>482591.09</v>
      </c>
      <c r="AM969" s="6">
        <v>620159.14199999999</v>
      </c>
      <c r="AN969" s="6">
        <v>555748.56799999997</v>
      </c>
      <c r="AO969" s="6">
        <v>457278.75599999999</v>
      </c>
      <c r="AP969" s="6">
        <v>553488.67700000003</v>
      </c>
      <c r="AQ969" s="6">
        <v>383825.64299999998</v>
      </c>
      <c r="AR969" s="6">
        <v>214781.17300000001</v>
      </c>
      <c r="AS969" s="6">
        <v>226895.361</v>
      </c>
      <c r="AT969" s="6">
        <v>226895.361</v>
      </c>
    </row>
    <row r="970" spans="1:46" x14ac:dyDescent="0.25">
      <c r="A970" s="4" t="s">
        <v>194</v>
      </c>
      <c r="B970" s="4" t="s">
        <v>207</v>
      </c>
      <c r="C970" s="4" t="s">
        <v>246</v>
      </c>
      <c r="D970" s="4" t="s">
        <v>259</v>
      </c>
      <c r="E970" s="4" t="s">
        <v>261</v>
      </c>
      <c r="F970" s="4" t="s">
        <v>195</v>
      </c>
      <c r="G970" s="4" t="s">
        <v>93</v>
      </c>
      <c r="H970" s="4" t="s">
        <v>249</v>
      </c>
      <c r="I970" s="7">
        <v>1.5960000000000001</v>
      </c>
      <c r="J970" s="7">
        <v>2.3340000000000001</v>
      </c>
      <c r="K970" s="7">
        <v>1.63</v>
      </c>
      <c r="L970" s="7">
        <v>1.532</v>
      </c>
      <c r="M970" s="7">
        <v>1.1020000000000001</v>
      </c>
      <c r="N970" s="7">
        <v>1.1120000000000001</v>
      </c>
      <c r="O970" s="7">
        <v>1.0289999999999999</v>
      </c>
      <c r="P970" s="7">
        <v>1.3779999999999999</v>
      </c>
      <c r="Q970" s="7">
        <v>1.35</v>
      </c>
      <c r="R970" s="7">
        <v>1.4259999999999999</v>
      </c>
      <c r="S970" s="7">
        <v>1.9219999999999999</v>
      </c>
      <c r="T970" s="7">
        <v>2.7629999999999999</v>
      </c>
      <c r="U970" s="7">
        <v>2.306</v>
      </c>
      <c r="V970" s="7">
        <v>2.0529999999999999</v>
      </c>
      <c r="W970" s="7">
        <v>1.756</v>
      </c>
      <c r="X970" s="7">
        <v>1.4419999999999999</v>
      </c>
      <c r="Y970" s="7">
        <v>1.3480000000000001</v>
      </c>
      <c r="Z970" s="7">
        <v>1.4119999999999999</v>
      </c>
      <c r="AA970" s="7">
        <v>1.383</v>
      </c>
      <c r="AB970" s="7">
        <v>1.23</v>
      </c>
      <c r="AC970" s="7">
        <v>1.23</v>
      </c>
      <c r="AD970" s="7">
        <v>1.397</v>
      </c>
      <c r="AE970" s="7">
        <v>1.421</v>
      </c>
      <c r="AF970" s="7">
        <v>1.3240000000000001</v>
      </c>
      <c r="AG970" s="7">
        <v>1.405</v>
      </c>
      <c r="AH970" s="7">
        <v>1.3420000000000001</v>
      </c>
      <c r="AI970" s="7">
        <v>1.6950000000000001</v>
      </c>
      <c r="AJ970" s="7">
        <v>1.982</v>
      </c>
      <c r="AK970" s="7">
        <v>1.8480000000000001</v>
      </c>
      <c r="AL970" s="7">
        <v>1.1000000000000001</v>
      </c>
      <c r="AM970" s="7">
        <v>1.236</v>
      </c>
      <c r="AN970" s="7">
        <v>1.1080000000000001</v>
      </c>
      <c r="AO970" s="7">
        <v>1.2010000000000001</v>
      </c>
      <c r="AP970" s="7">
        <v>1.804</v>
      </c>
      <c r="AQ970" s="7">
        <v>1.649</v>
      </c>
      <c r="AR970" s="7">
        <v>1.4139999999999999</v>
      </c>
      <c r="AS970" s="7">
        <v>1.891</v>
      </c>
      <c r="AT970" s="7">
        <v>0.318</v>
      </c>
    </row>
    <row r="971" spans="1:46" x14ac:dyDescent="0.25">
      <c r="A971" s="4" t="s">
        <v>194</v>
      </c>
      <c r="B971" s="4" t="s">
        <v>207</v>
      </c>
      <c r="C971" s="4" t="s">
        <v>246</v>
      </c>
      <c r="D971" s="4" t="s">
        <v>259</v>
      </c>
      <c r="E971" s="4" t="s">
        <v>261</v>
      </c>
      <c r="F971" s="4" t="s">
        <v>195</v>
      </c>
      <c r="G971" s="4" t="s">
        <v>93</v>
      </c>
      <c r="H971" s="4" t="s">
        <v>250</v>
      </c>
      <c r="I971" s="7">
        <v>46.828000000000003</v>
      </c>
      <c r="J971" s="7">
        <v>48.795999999999999</v>
      </c>
      <c r="K971" s="7">
        <v>42.253999999999998</v>
      </c>
      <c r="L971" s="7">
        <v>51.378</v>
      </c>
      <c r="M971" s="7">
        <v>45.676000000000002</v>
      </c>
      <c r="N971" s="7">
        <v>40.451999999999998</v>
      </c>
      <c r="O971" s="7">
        <v>39.081000000000003</v>
      </c>
      <c r="P971" s="7">
        <v>33.521000000000001</v>
      </c>
      <c r="Q971" s="7">
        <v>38.673000000000002</v>
      </c>
      <c r="R971" s="7">
        <v>36.563000000000002</v>
      </c>
      <c r="S971" s="7">
        <v>35.712000000000003</v>
      </c>
      <c r="T971" s="7">
        <v>37.841999999999999</v>
      </c>
      <c r="U971" s="7">
        <v>40.136000000000003</v>
      </c>
      <c r="V971" s="7">
        <v>41.043999999999997</v>
      </c>
      <c r="W971" s="7">
        <v>46.98</v>
      </c>
      <c r="X971" s="7">
        <v>46.156999999999996</v>
      </c>
      <c r="Y971" s="7">
        <v>53.396999999999998</v>
      </c>
      <c r="Z971" s="7">
        <v>49.408999999999999</v>
      </c>
      <c r="AA971" s="7">
        <v>54.222999999999999</v>
      </c>
      <c r="AB971" s="7">
        <v>50.177</v>
      </c>
      <c r="AC971" s="7">
        <v>48.600999999999999</v>
      </c>
      <c r="AD971" s="7">
        <v>43.384</v>
      </c>
      <c r="AE971" s="7">
        <v>37.457999999999998</v>
      </c>
      <c r="AF971" s="7">
        <v>37.029000000000003</v>
      </c>
      <c r="AG971" s="7">
        <v>37.353999999999999</v>
      </c>
      <c r="AH971" s="7">
        <v>45.093000000000004</v>
      </c>
      <c r="AI971" s="7">
        <v>49.41</v>
      </c>
      <c r="AJ971" s="7">
        <v>51.523000000000003</v>
      </c>
      <c r="AK971" s="7">
        <v>57.610999999999997</v>
      </c>
      <c r="AL971" s="7">
        <v>51.360999999999997</v>
      </c>
      <c r="AM971" s="7">
        <v>53.683</v>
      </c>
      <c r="AN971" s="7">
        <v>54.494999999999997</v>
      </c>
      <c r="AO971" s="7">
        <v>46.420999999999999</v>
      </c>
      <c r="AP971" s="7">
        <v>46.484000000000002</v>
      </c>
      <c r="AQ971" s="7">
        <v>50.381999999999998</v>
      </c>
      <c r="AR971" s="7">
        <v>51.515999999999998</v>
      </c>
      <c r="AS971" s="7">
        <v>52.155999999999999</v>
      </c>
      <c r="AT971" s="5">
        <v>2431.3159999999998</v>
      </c>
    </row>
    <row r="972" spans="1:46" x14ac:dyDescent="0.25">
      <c r="A972" s="4" t="s">
        <v>194</v>
      </c>
      <c r="B972" s="4" t="s">
        <v>207</v>
      </c>
      <c r="C972" s="4" t="s">
        <v>246</v>
      </c>
      <c r="D972" s="4" t="s">
        <v>259</v>
      </c>
      <c r="E972" s="4" t="s">
        <v>261</v>
      </c>
      <c r="F972" s="4" t="s">
        <v>195</v>
      </c>
      <c r="G972" s="4" t="s">
        <v>93</v>
      </c>
      <c r="H972" s="4" t="s">
        <v>251</v>
      </c>
      <c r="I972" s="7">
        <v>27.941279900000001</v>
      </c>
      <c r="J972" s="7">
        <v>31.2858494</v>
      </c>
      <c r="K972" s="7">
        <v>30.5249028</v>
      </c>
      <c r="L972" s="7">
        <v>30.488731600000001</v>
      </c>
      <c r="M972" s="7">
        <v>28.6826787</v>
      </c>
      <c r="N972" s="7">
        <v>29.2960536</v>
      </c>
      <c r="O972" s="7">
        <v>28.273827600000001</v>
      </c>
      <c r="P972" s="7">
        <v>25.724899199999999</v>
      </c>
      <c r="Q972" s="7">
        <v>27.712473899999999</v>
      </c>
      <c r="R972" s="7">
        <v>28.655791300000001</v>
      </c>
      <c r="S972" s="7">
        <v>29.357009000000001</v>
      </c>
      <c r="T972" s="7">
        <v>28.6855981</v>
      </c>
      <c r="U972" s="7">
        <v>26.961987300000001</v>
      </c>
      <c r="V972" s="7">
        <v>25.336218899999999</v>
      </c>
      <c r="W972" s="7">
        <v>31.009565899999998</v>
      </c>
      <c r="X972" s="7">
        <v>29.8383076</v>
      </c>
      <c r="Y972" s="7">
        <v>29.1017875</v>
      </c>
      <c r="Z972" s="7">
        <v>28.150924199999999</v>
      </c>
      <c r="AA972" s="7">
        <v>31.0202375</v>
      </c>
      <c r="AB972" s="7">
        <v>29.308651699999999</v>
      </c>
      <c r="AC972" s="7">
        <v>28.346866299999999</v>
      </c>
      <c r="AD972" s="7">
        <v>26.855083</v>
      </c>
      <c r="AE972" s="7">
        <v>24.796843599999999</v>
      </c>
      <c r="AF972" s="7">
        <v>24.038661999999999</v>
      </c>
      <c r="AG972" s="7">
        <v>24.177290200000002</v>
      </c>
      <c r="AH972" s="7">
        <v>27.9713952</v>
      </c>
      <c r="AI972" s="7">
        <v>29.510989200000001</v>
      </c>
      <c r="AJ972" s="7">
        <v>29.806427500000002</v>
      </c>
      <c r="AK972" s="7">
        <v>30.3007551</v>
      </c>
      <c r="AL972" s="7">
        <v>28.456467199999999</v>
      </c>
      <c r="AM972" s="7">
        <v>29.3431058</v>
      </c>
      <c r="AN972" s="7">
        <v>27.816849999999999</v>
      </c>
      <c r="AO972" s="7">
        <v>24.705582400000001</v>
      </c>
      <c r="AP972" s="7">
        <v>25.9589237</v>
      </c>
      <c r="AQ972" s="7">
        <v>27.509058499999998</v>
      </c>
      <c r="AR972" s="7">
        <v>25.346149700000002</v>
      </c>
      <c r="AS972" s="7">
        <v>23.7641718</v>
      </c>
      <c r="AT972" s="7">
        <v>52.155999999999999</v>
      </c>
    </row>
    <row r="973" spans="1:46" x14ac:dyDescent="0.25">
      <c r="A973" s="4" t="s">
        <v>194</v>
      </c>
      <c r="B973" s="4" t="s">
        <v>207</v>
      </c>
      <c r="C973" s="4" t="s">
        <v>246</v>
      </c>
      <c r="D973" s="4" t="s">
        <v>259</v>
      </c>
      <c r="E973" s="4" t="s">
        <v>261</v>
      </c>
      <c r="F973" s="4" t="s">
        <v>195</v>
      </c>
      <c r="G973" s="4" t="s">
        <v>93</v>
      </c>
      <c r="H973" s="4" t="s">
        <v>252</v>
      </c>
      <c r="I973" s="16">
        <v>1.0860000000000001</v>
      </c>
      <c r="J973" s="16">
        <v>0.872</v>
      </c>
      <c r="K973" s="16">
        <v>0.79900000000000004</v>
      </c>
      <c r="L973" s="16">
        <v>0.79800000000000004</v>
      </c>
      <c r="M973" s="16">
        <v>0.91900000000000004</v>
      </c>
      <c r="N973" s="16">
        <v>0.88800000000000001</v>
      </c>
      <c r="O973" s="16">
        <v>0.71299999999999997</v>
      </c>
      <c r="P973" s="16">
        <v>1</v>
      </c>
      <c r="Q973" s="16">
        <v>1.1279999999999999</v>
      </c>
      <c r="R973" s="16">
        <v>1.1240000000000001</v>
      </c>
      <c r="S973" s="16">
        <v>1.073</v>
      </c>
      <c r="T973" s="16">
        <v>0.83099999999999996</v>
      </c>
      <c r="U973" s="16">
        <v>0.8</v>
      </c>
      <c r="V973" s="16">
        <v>1.075</v>
      </c>
      <c r="W973" s="16">
        <v>0.90500000000000003</v>
      </c>
      <c r="X973" s="16">
        <v>0.90900000000000003</v>
      </c>
      <c r="Y973" s="16">
        <v>0.95699999999999996</v>
      </c>
      <c r="Z973" s="16">
        <v>0.98199999999999998</v>
      </c>
      <c r="AA973" s="16">
        <v>1.0509999999999999</v>
      </c>
      <c r="AB973" s="16">
        <v>1.0049999999999999</v>
      </c>
      <c r="AC973" s="16">
        <v>1.0069999999999999</v>
      </c>
      <c r="AD973" s="16">
        <v>0.84199999999999997</v>
      </c>
      <c r="AE973" s="16">
        <v>0.75600000000000001</v>
      </c>
      <c r="AF973" s="16">
        <v>0.86599999999999999</v>
      </c>
      <c r="AG973" s="16">
        <v>0.86599999999999999</v>
      </c>
      <c r="AH973" s="16">
        <v>1.0269999999999999</v>
      </c>
      <c r="AI973" s="16">
        <v>1.01</v>
      </c>
      <c r="AJ973" s="16">
        <v>1.0329999999999999</v>
      </c>
      <c r="AK973" s="16">
        <v>1.1160000000000001</v>
      </c>
      <c r="AL973" s="16">
        <v>0.92500000000000004</v>
      </c>
      <c r="AM973" s="16">
        <v>1.081</v>
      </c>
      <c r="AN973" s="16">
        <v>1.0049999999999999</v>
      </c>
      <c r="AO973" s="16">
        <v>1.2509999999999999</v>
      </c>
      <c r="AP973" s="16">
        <v>1.2869999999999999</v>
      </c>
      <c r="AQ973" s="16">
        <v>1.3120000000000001</v>
      </c>
      <c r="AR973" s="16">
        <v>1.3120000000000001</v>
      </c>
      <c r="AS973" s="16">
        <v>1.1819999999999999</v>
      </c>
      <c r="AT973" s="7">
        <v>23.7641718</v>
      </c>
    </row>
    <row r="974" spans="1:46" x14ac:dyDescent="0.25">
      <c r="A974" s="4" t="s">
        <v>194</v>
      </c>
      <c r="B974" s="4" t="s">
        <v>207</v>
      </c>
      <c r="C974" s="4" t="s">
        <v>246</v>
      </c>
      <c r="D974" s="4" t="s">
        <v>259</v>
      </c>
      <c r="E974" s="4" t="s">
        <v>261</v>
      </c>
      <c r="F974" s="4" t="s">
        <v>195</v>
      </c>
      <c r="G974" s="4" t="s">
        <v>262</v>
      </c>
      <c r="H974" s="4" t="s">
        <v>151</v>
      </c>
      <c r="I974" s="5">
        <v>48.13</v>
      </c>
      <c r="J974" s="5">
        <v>160.40899999999999</v>
      </c>
      <c r="K974" s="5">
        <v>136.99100000000001</v>
      </c>
      <c r="L974" s="5">
        <v>8.7780000000000005</v>
      </c>
      <c r="M974" s="5">
        <v>21.12</v>
      </c>
      <c r="N974" s="5">
        <v>150.929</v>
      </c>
      <c r="O974" s="5">
        <v>29.027999999999999</v>
      </c>
      <c r="P974" s="5">
        <v>73.521000000000001</v>
      </c>
      <c r="Q974" s="5">
        <v>21.010999999999999</v>
      </c>
      <c r="R974" s="5">
        <v>0</v>
      </c>
      <c r="S974" s="5">
        <v>2</v>
      </c>
      <c r="T974" s="5">
        <v>23.234000000000002</v>
      </c>
      <c r="U974" s="5">
        <v>1</v>
      </c>
      <c r="V974" s="5">
        <v>36.164999999999999</v>
      </c>
      <c r="W974" s="5">
        <v>29.08</v>
      </c>
      <c r="X974" s="5">
        <v>35.281999999999996</v>
      </c>
      <c r="Y974" s="5">
        <v>116.386</v>
      </c>
      <c r="Z974" s="5">
        <v>37.125999999999998</v>
      </c>
      <c r="AA974" s="5">
        <v>79.591999999999999</v>
      </c>
      <c r="AB974" s="5">
        <v>81.114000000000004</v>
      </c>
      <c r="AC974" s="5">
        <v>117.812</v>
      </c>
      <c r="AD974" s="5">
        <v>42.256</v>
      </c>
      <c r="AE974" s="5">
        <v>84.105999999999995</v>
      </c>
      <c r="AF974" s="5">
        <v>14.006</v>
      </c>
      <c r="AG974" s="5">
        <v>54.308</v>
      </c>
      <c r="AH974" s="5">
        <v>74.340999999999994</v>
      </c>
      <c r="AI974" s="5">
        <v>90.540999999999997</v>
      </c>
      <c r="AJ974" s="5">
        <v>176.71799999999999</v>
      </c>
      <c r="AK974" s="5">
        <v>80.299000000000007</v>
      </c>
      <c r="AL974" s="5">
        <v>93.712999999999994</v>
      </c>
      <c r="AM974" s="5">
        <v>93.379000000000005</v>
      </c>
      <c r="AN974" s="5">
        <v>43.823</v>
      </c>
      <c r="AO974" s="5">
        <v>35.055999999999997</v>
      </c>
      <c r="AP974" s="5">
        <v>69.805000000000007</v>
      </c>
      <c r="AQ974" s="5">
        <v>88.602000000000004</v>
      </c>
      <c r="AR974" s="5">
        <v>58.609000000000002</v>
      </c>
      <c r="AS974" s="5">
        <v>67.417000000000002</v>
      </c>
      <c r="AT974" s="5">
        <v>134.833</v>
      </c>
    </row>
    <row r="975" spans="1:46" x14ac:dyDescent="0.25">
      <c r="A975" s="4" t="s">
        <v>194</v>
      </c>
      <c r="B975" s="4" t="s">
        <v>207</v>
      </c>
      <c r="C975" s="4" t="s">
        <v>246</v>
      </c>
      <c r="D975" s="4" t="s">
        <v>259</v>
      </c>
      <c r="E975" s="4" t="s">
        <v>261</v>
      </c>
      <c r="F975" s="4" t="s">
        <v>195</v>
      </c>
      <c r="G975" s="4" t="s">
        <v>262</v>
      </c>
      <c r="H975" s="4" t="s">
        <v>205</v>
      </c>
      <c r="I975" s="6">
        <v>7135.9170000000004</v>
      </c>
      <c r="J975" s="6">
        <v>25229.258000000002</v>
      </c>
      <c r="K975" s="6">
        <v>22215.468000000001</v>
      </c>
      <c r="L975" s="6">
        <v>1619.385</v>
      </c>
      <c r="M975" s="6">
        <v>4024.759</v>
      </c>
      <c r="N975" s="6">
        <v>22115.143</v>
      </c>
      <c r="O975" s="6">
        <v>4794.0559999999996</v>
      </c>
      <c r="P975" s="6">
        <v>14091.035</v>
      </c>
      <c r="Q975" s="6">
        <v>4034.2660000000001</v>
      </c>
      <c r="R975" s="6">
        <v>0</v>
      </c>
      <c r="S975" s="6">
        <v>378</v>
      </c>
      <c r="T975" s="6">
        <v>4561.1229999999996</v>
      </c>
      <c r="U975" s="6">
        <v>219</v>
      </c>
      <c r="V975" s="6">
        <v>5391.8810000000003</v>
      </c>
      <c r="W975" s="6">
        <v>5595.5339999999997</v>
      </c>
      <c r="X975" s="6">
        <v>5675.9229999999998</v>
      </c>
      <c r="Y975" s="6">
        <v>15197.181</v>
      </c>
      <c r="Z975" s="6">
        <v>3705.0859999999998</v>
      </c>
      <c r="AA975" s="6">
        <v>10702.071</v>
      </c>
      <c r="AB975" s="6">
        <v>11352.293</v>
      </c>
      <c r="AC975" s="6">
        <v>23746.149000000001</v>
      </c>
      <c r="AD975" s="6">
        <v>5854.3289999999997</v>
      </c>
      <c r="AE975" s="6">
        <v>15107.424999999999</v>
      </c>
      <c r="AF975" s="6">
        <v>2527.2260000000001</v>
      </c>
      <c r="AG975" s="6">
        <v>9062.8169999999991</v>
      </c>
      <c r="AH975" s="6">
        <v>12579.79</v>
      </c>
      <c r="AI975" s="6">
        <v>16429.940999999999</v>
      </c>
      <c r="AJ975" s="6">
        <v>35595.785000000003</v>
      </c>
      <c r="AK975" s="6">
        <v>14571.199000000001</v>
      </c>
      <c r="AL975" s="6">
        <v>19047.286</v>
      </c>
      <c r="AM975" s="6">
        <v>17004.974999999999</v>
      </c>
      <c r="AN975" s="6">
        <v>8357.1569999999992</v>
      </c>
      <c r="AO975" s="6">
        <v>6481.384</v>
      </c>
      <c r="AP975" s="6">
        <v>13586.243</v>
      </c>
      <c r="AQ975" s="6">
        <v>16042.63</v>
      </c>
      <c r="AR975" s="6">
        <v>8915.1620000000003</v>
      </c>
      <c r="AS975" s="6">
        <v>10045.094999999999</v>
      </c>
      <c r="AT975" s="6">
        <v>10045.094999999999</v>
      </c>
    </row>
    <row r="976" spans="1:46" x14ac:dyDescent="0.25">
      <c r="A976" s="4" t="s">
        <v>194</v>
      </c>
      <c r="B976" s="4" t="s">
        <v>207</v>
      </c>
      <c r="C976" s="4" t="s">
        <v>246</v>
      </c>
      <c r="D976" s="4" t="s">
        <v>259</v>
      </c>
      <c r="E976" s="4" t="s">
        <v>261</v>
      </c>
      <c r="F976" s="4" t="s">
        <v>195</v>
      </c>
      <c r="G976" s="4" t="s">
        <v>262</v>
      </c>
      <c r="H976" s="4" t="s">
        <v>249</v>
      </c>
      <c r="I976" s="7">
        <v>1E-3</v>
      </c>
      <c r="J976" s="7">
        <v>1E-3</v>
      </c>
      <c r="K976" s="7">
        <v>1E-3</v>
      </c>
      <c r="L976" s="7">
        <v>0</v>
      </c>
      <c r="M976" s="7">
        <v>0</v>
      </c>
      <c r="N976" s="7">
        <v>1E-3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1E-3</v>
      </c>
      <c r="AD976" s="7">
        <v>0</v>
      </c>
      <c r="AE976" s="7">
        <v>1E-3</v>
      </c>
      <c r="AF976" s="7">
        <v>0</v>
      </c>
      <c r="AG976" s="7">
        <v>1E-3</v>
      </c>
      <c r="AH976" s="7">
        <v>1E-3</v>
      </c>
      <c r="AI976" s="7">
        <v>1E-3</v>
      </c>
      <c r="AJ976" s="7">
        <v>1E-3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1E-3</v>
      </c>
      <c r="AR976" s="7">
        <v>1E-3</v>
      </c>
      <c r="AS976" s="7">
        <v>1E-3</v>
      </c>
      <c r="AT976" s="7">
        <v>5.6000000000000001E-2</v>
      </c>
    </row>
    <row r="977" spans="1:46" x14ac:dyDescent="0.25">
      <c r="A977" s="4" t="s">
        <v>194</v>
      </c>
      <c r="B977" s="4" t="s">
        <v>207</v>
      </c>
      <c r="C977" s="4" t="s">
        <v>246</v>
      </c>
      <c r="D977" s="4" t="s">
        <v>259</v>
      </c>
      <c r="E977" s="4" t="s">
        <v>261</v>
      </c>
      <c r="F977" s="4" t="s">
        <v>195</v>
      </c>
      <c r="G977" s="4" t="s">
        <v>262</v>
      </c>
      <c r="H977" s="4" t="s">
        <v>250</v>
      </c>
      <c r="I977" s="7">
        <v>13.297000000000001</v>
      </c>
      <c r="J977" s="7">
        <v>11.496</v>
      </c>
      <c r="K977" s="7">
        <v>11.223000000000001</v>
      </c>
      <c r="L977" s="7">
        <v>7.2670000000000003</v>
      </c>
      <c r="M977" s="7">
        <v>7.3959999999999999</v>
      </c>
      <c r="N977" s="7">
        <v>6.7709999999999999</v>
      </c>
      <c r="O977" s="7">
        <v>2.1459999999999999</v>
      </c>
      <c r="P977" s="7">
        <v>3.1259999999999999</v>
      </c>
      <c r="Q977" s="7">
        <v>2.1139999999999999</v>
      </c>
      <c r="R977" s="7">
        <v>2.577</v>
      </c>
      <c r="S977" s="7">
        <v>11.275</v>
      </c>
      <c r="T977" s="7">
        <v>11.991</v>
      </c>
      <c r="U977" s="7">
        <v>9.23</v>
      </c>
      <c r="V977" s="7">
        <v>8.7309999999999999</v>
      </c>
      <c r="W977" s="7">
        <v>8.3580000000000005</v>
      </c>
      <c r="X977" s="7">
        <v>7.8719999999999999</v>
      </c>
      <c r="Y977" s="7">
        <v>8.7789999999999999</v>
      </c>
      <c r="Z977" s="7">
        <v>8.0109999999999992</v>
      </c>
      <c r="AA977" s="7">
        <v>7.3869999999999996</v>
      </c>
      <c r="AB977" s="7">
        <v>9.3689999999999998</v>
      </c>
      <c r="AC977" s="7">
        <v>12.365</v>
      </c>
      <c r="AD977" s="7">
        <v>10.449</v>
      </c>
      <c r="AE977" s="7">
        <v>2.7440000000000002</v>
      </c>
      <c r="AF977" s="7">
        <v>3.3359999999999999</v>
      </c>
      <c r="AG977" s="7">
        <v>11.394</v>
      </c>
      <c r="AH977" s="7">
        <v>9.4390000000000001</v>
      </c>
      <c r="AI977" s="7">
        <v>9.4589999999999996</v>
      </c>
      <c r="AJ977" s="7">
        <v>8.9030000000000005</v>
      </c>
      <c r="AK977" s="7">
        <v>5.7149999999999999</v>
      </c>
      <c r="AL977" s="7">
        <v>10.135999999999999</v>
      </c>
      <c r="AM977" s="7">
        <v>8.0869999999999997</v>
      </c>
      <c r="AN977" s="7">
        <v>4.9530000000000003</v>
      </c>
      <c r="AO977" s="7">
        <v>3.22</v>
      </c>
      <c r="AP977" s="7">
        <v>2.5179999999999998</v>
      </c>
      <c r="AQ977" s="7">
        <v>2.3439999999999999</v>
      </c>
      <c r="AR977" s="7">
        <v>2.1930000000000001</v>
      </c>
      <c r="AS977" s="7">
        <v>2.0219999999999998</v>
      </c>
      <c r="AT977" s="5">
        <v>132.358</v>
      </c>
    </row>
    <row r="978" spans="1:46" x14ac:dyDescent="0.25">
      <c r="A978" s="4" t="s">
        <v>194</v>
      </c>
      <c r="B978" s="4" t="s">
        <v>207</v>
      </c>
      <c r="C978" s="4" t="s">
        <v>246</v>
      </c>
      <c r="D978" s="4" t="s">
        <v>259</v>
      </c>
      <c r="E978" s="4" t="s">
        <v>261</v>
      </c>
      <c r="F978" s="4" t="s">
        <v>195</v>
      </c>
      <c r="G978" s="4" t="s">
        <v>262</v>
      </c>
      <c r="H978" s="4" t="s">
        <v>251</v>
      </c>
      <c r="I978" s="7">
        <v>3.0073949999999998</v>
      </c>
      <c r="J978" s="7">
        <v>5.7646192000000003</v>
      </c>
      <c r="K978" s="7">
        <v>5.7635655000000003</v>
      </c>
      <c r="L978" s="7">
        <v>3.868522</v>
      </c>
      <c r="M978" s="7">
        <v>3.8255785000000002</v>
      </c>
      <c r="N978" s="7">
        <v>3.7745533999999998</v>
      </c>
      <c r="O978" s="7">
        <v>3.7100715000000002</v>
      </c>
      <c r="P978" s="7">
        <v>3.3454316999999998</v>
      </c>
      <c r="Q978" s="7">
        <v>2.2183834999999998</v>
      </c>
      <c r="R978" s="7">
        <v>3.2002381999999998</v>
      </c>
      <c r="S978" s="7">
        <v>4.3985741999999997</v>
      </c>
      <c r="T978" s="7">
        <v>4.2737691</v>
      </c>
      <c r="U978" s="7">
        <v>4.3558770000000004</v>
      </c>
      <c r="V978" s="7">
        <v>4.3529907999999997</v>
      </c>
      <c r="W978" s="7">
        <v>4.4264722000000001</v>
      </c>
      <c r="X978" s="7">
        <v>4.4012647999999999</v>
      </c>
      <c r="Y978" s="7">
        <v>4.5415793000000004</v>
      </c>
      <c r="Z978" s="7">
        <v>3.8122850000000001</v>
      </c>
      <c r="AA978" s="7">
        <v>2.9969527999999999</v>
      </c>
      <c r="AB978" s="7">
        <v>3.7376431000000001</v>
      </c>
      <c r="AC978" s="7">
        <v>4.7372579999999997</v>
      </c>
      <c r="AD978" s="7">
        <v>4.3702607999999996</v>
      </c>
      <c r="AE978" s="7">
        <v>3.3446397000000001</v>
      </c>
      <c r="AF978" s="7">
        <v>3.2335204000000002</v>
      </c>
      <c r="AG978" s="7">
        <v>4.271776</v>
      </c>
      <c r="AH978" s="7">
        <v>4.8827552000000001</v>
      </c>
      <c r="AI978" s="7">
        <v>4.3044536999999998</v>
      </c>
      <c r="AJ978" s="7">
        <v>5.1192719000000002</v>
      </c>
      <c r="AK978" s="7">
        <v>3.9313950000000002</v>
      </c>
      <c r="AL978" s="7">
        <v>3.8763893</v>
      </c>
      <c r="AM978" s="7">
        <v>3.8520957999999998</v>
      </c>
      <c r="AN978" s="7">
        <v>2.8020369999999999</v>
      </c>
      <c r="AO978" s="7">
        <v>2.7687721999999999</v>
      </c>
      <c r="AP978" s="7">
        <v>2.8805475</v>
      </c>
      <c r="AQ978" s="7">
        <v>2.7884395999999998</v>
      </c>
      <c r="AR978" s="7">
        <v>3.1290170000000002</v>
      </c>
      <c r="AS978" s="7">
        <v>3.0532626</v>
      </c>
      <c r="AT978" s="7">
        <v>2.0219999999999998</v>
      </c>
    </row>
    <row r="979" spans="1:46" x14ac:dyDescent="0.25">
      <c r="A979" s="4" t="s">
        <v>194</v>
      </c>
      <c r="B979" s="4" t="s">
        <v>207</v>
      </c>
      <c r="C979" s="4" t="s">
        <v>246</v>
      </c>
      <c r="D979" s="4" t="s">
        <v>259</v>
      </c>
      <c r="E979" s="4" t="s">
        <v>261</v>
      </c>
      <c r="F979" s="4" t="s">
        <v>195</v>
      </c>
      <c r="G979" s="4" t="s">
        <v>262</v>
      </c>
      <c r="H979" s="4" t="s">
        <v>252</v>
      </c>
      <c r="I979" s="16">
        <v>0.152</v>
      </c>
      <c r="J979" s="16">
        <v>8.3000000000000004E-2</v>
      </c>
      <c r="K979" s="16">
        <v>0.115</v>
      </c>
      <c r="L979" s="16">
        <v>0.13100000000000001</v>
      </c>
      <c r="M979" s="16">
        <v>0.14099999999999999</v>
      </c>
      <c r="N979" s="16">
        <v>7.0000000000000007E-2</v>
      </c>
      <c r="O979" s="16">
        <v>9.5000000000000001E-2</v>
      </c>
      <c r="P979" s="16">
        <v>6.0999999999999999E-2</v>
      </c>
      <c r="Q979" s="16">
        <v>5.8999999999999997E-2</v>
      </c>
      <c r="R979" s="16">
        <v>0.08</v>
      </c>
      <c r="S979" s="16">
        <v>0.14799999999999999</v>
      </c>
      <c r="T979" s="16">
        <v>0.15</v>
      </c>
      <c r="U979" s="16">
        <v>0.14799999999999999</v>
      </c>
      <c r="V979" s="16">
        <v>0.14299999999999999</v>
      </c>
      <c r="W979" s="16">
        <v>0.109</v>
      </c>
      <c r="X979" s="16">
        <v>8.8999999999999996E-2</v>
      </c>
      <c r="Y979" s="16">
        <v>6.5000000000000002E-2</v>
      </c>
      <c r="Z979" s="16">
        <v>7.1999999999999995E-2</v>
      </c>
      <c r="AA979" s="16">
        <v>3.4000000000000002E-2</v>
      </c>
      <c r="AB979" s="16">
        <v>7.4999999999999997E-2</v>
      </c>
      <c r="AC979" s="16">
        <v>0.105</v>
      </c>
      <c r="AD979" s="16">
        <v>9.0999999999999998E-2</v>
      </c>
      <c r="AE979" s="16">
        <v>5.3999999999999999E-2</v>
      </c>
      <c r="AF979" s="16">
        <v>9.4E-2</v>
      </c>
      <c r="AG979" s="16">
        <v>0.104</v>
      </c>
      <c r="AH979" s="16">
        <v>7.2999999999999995E-2</v>
      </c>
      <c r="AI979" s="16">
        <v>5.1999999999999998E-2</v>
      </c>
      <c r="AJ979" s="16">
        <v>0.04</v>
      </c>
      <c r="AK979" s="16">
        <v>3.5000000000000003E-2</v>
      </c>
      <c r="AL979" s="16">
        <v>6.5000000000000002E-2</v>
      </c>
      <c r="AM979" s="16">
        <v>5.5E-2</v>
      </c>
      <c r="AN979" s="16">
        <v>6.9000000000000006E-2</v>
      </c>
      <c r="AO979" s="16">
        <v>0.1</v>
      </c>
      <c r="AP979" s="16">
        <v>8.5999999999999993E-2</v>
      </c>
      <c r="AQ979" s="16">
        <v>5.5E-2</v>
      </c>
      <c r="AR979" s="16">
        <v>3.1E-2</v>
      </c>
      <c r="AS979" s="16">
        <v>3.2000000000000001E-2</v>
      </c>
      <c r="AT979" s="7">
        <v>3.0532626</v>
      </c>
    </row>
    <row r="980" spans="1:46" x14ac:dyDescent="0.25">
      <c r="A980" s="4" t="s">
        <v>194</v>
      </c>
      <c r="B980" s="4" t="s">
        <v>207</v>
      </c>
      <c r="C980" s="4" t="s">
        <v>246</v>
      </c>
      <c r="D980" s="4" t="s">
        <v>263</v>
      </c>
      <c r="E980" s="4" t="s">
        <v>248</v>
      </c>
      <c r="F980" s="4" t="s">
        <v>201</v>
      </c>
      <c r="G980" s="4" t="s">
        <v>71</v>
      </c>
      <c r="H980" s="4" t="s">
        <v>151</v>
      </c>
      <c r="I980" s="9">
        <v>0</v>
      </c>
      <c r="J980" s="5">
        <v>0</v>
      </c>
      <c r="K980" s="5">
        <v>132.72900000000001</v>
      </c>
      <c r="L980" s="5">
        <v>91.471000000000004</v>
      </c>
      <c r="M980" s="5">
        <v>149.16300000000001</v>
      </c>
      <c r="N980" s="5">
        <v>413.17500000000001</v>
      </c>
      <c r="O980" s="5">
        <v>105.664</v>
      </c>
      <c r="P980" s="8">
        <v>0</v>
      </c>
      <c r="Q980" s="8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9">
        <v>0</v>
      </c>
      <c r="AA980" s="9">
        <v>0</v>
      </c>
      <c r="AB980" s="9">
        <v>0</v>
      </c>
      <c r="AC980" s="9">
        <v>0</v>
      </c>
      <c r="AD980" s="9">
        <v>0</v>
      </c>
      <c r="AE980" s="9">
        <v>0</v>
      </c>
      <c r="AF980" s="9">
        <v>0</v>
      </c>
      <c r="AG980" s="9">
        <v>0</v>
      </c>
      <c r="AH980" s="9">
        <v>0</v>
      </c>
      <c r="AI980" s="9">
        <v>0</v>
      </c>
      <c r="AJ980" s="9">
        <v>0</v>
      </c>
      <c r="AK980" s="9">
        <v>0</v>
      </c>
      <c r="AL980" s="9">
        <v>0</v>
      </c>
      <c r="AM980" s="9">
        <v>0</v>
      </c>
      <c r="AN980" s="9">
        <v>0</v>
      </c>
      <c r="AO980" s="9">
        <v>0</v>
      </c>
      <c r="AP980" s="9">
        <v>0</v>
      </c>
      <c r="AQ980" s="9">
        <v>0</v>
      </c>
      <c r="AR980" s="9">
        <v>0</v>
      </c>
      <c r="AS980" s="9">
        <v>0</v>
      </c>
      <c r="AT980" s="9">
        <v>0</v>
      </c>
    </row>
    <row r="981" spans="1:46" x14ac:dyDescent="0.25">
      <c r="A981" s="4" t="s">
        <v>194</v>
      </c>
      <c r="B981" s="4" t="s">
        <v>207</v>
      </c>
      <c r="C981" s="4" t="s">
        <v>246</v>
      </c>
      <c r="D981" s="4" t="s">
        <v>263</v>
      </c>
      <c r="E981" s="4" t="s">
        <v>248</v>
      </c>
      <c r="F981" s="4" t="s">
        <v>201</v>
      </c>
      <c r="G981" s="4" t="s">
        <v>71</v>
      </c>
      <c r="H981" s="4" t="s">
        <v>205</v>
      </c>
      <c r="I981" s="9">
        <v>0</v>
      </c>
      <c r="J981" s="6">
        <v>0</v>
      </c>
      <c r="K981" s="6">
        <v>23891.197</v>
      </c>
      <c r="L981" s="6">
        <v>16464.737000000001</v>
      </c>
      <c r="M981" s="6">
        <v>22374.391</v>
      </c>
      <c r="N981" s="6">
        <v>72961.028000000006</v>
      </c>
      <c r="O981" s="6">
        <v>29585.806</v>
      </c>
      <c r="P981" s="10">
        <v>0</v>
      </c>
      <c r="Q981" s="10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9">
        <v>0</v>
      </c>
      <c r="AJ981" s="9">
        <v>0</v>
      </c>
      <c r="AK981" s="9">
        <v>0</v>
      </c>
      <c r="AL981" s="9">
        <v>0</v>
      </c>
      <c r="AM981" s="9">
        <v>0</v>
      </c>
      <c r="AN981" s="9">
        <v>0</v>
      </c>
      <c r="AO981" s="9">
        <v>0</v>
      </c>
      <c r="AP981" s="9">
        <v>0</v>
      </c>
      <c r="AQ981" s="9">
        <v>0</v>
      </c>
      <c r="AR981" s="9">
        <v>0</v>
      </c>
      <c r="AS981" s="9">
        <v>0</v>
      </c>
      <c r="AT981" s="9">
        <v>0</v>
      </c>
    </row>
    <row r="982" spans="1:46" x14ac:dyDescent="0.25">
      <c r="A982" s="4" t="s">
        <v>194</v>
      </c>
      <c r="B982" s="4" t="s">
        <v>207</v>
      </c>
      <c r="C982" s="4" t="s">
        <v>246</v>
      </c>
      <c r="D982" s="4" t="s">
        <v>263</v>
      </c>
      <c r="E982" s="4" t="s">
        <v>248</v>
      </c>
      <c r="F982" s="4" t="s">
        <v>201</v>
      </c>
      <c r="G982" s="4" t="s">
        <v>71</v>
      </c>
      <c r="H982" s="4" t="s">
        <v>249</v>
      </c>
      <c r="I982" s="9">
        <v>0</v>
      </c>
      <c r="J982" s="7">
        <v>0</v>
      </c>
      <c r="K982" s="7">
        <v>7.0000000000000001E-3</v>
      </c>
      <c r="L982" s="7">
        <v>4.0000000000000001E-3</v>
      </c>
      <c r="M982" s="7">
        <v>4.0000000000000001E-3</v>
      </c>
      <c r="N982" s="7">
        <v>1.0999999999999999E-2</v>
      </c>
      <c r="O982" s="7">
        <v>5.0000000000000001E-3</v>
      </c>
      <c r="P982" s="11">
        <v>0</v>
      </c>
      <c r="Q982" s="11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  <c r="AC982" s="9">
        <v>0</v>
      </c>
      <c r="AD982" s="9">
        <v>0</v>
      </c>
      <c r="AE982" s="9">
        <v>0</v>
      </c>
      <c r="AF982" s="9">
        <v>0</v>
      </c>
      <c r="AG982" s="9">
        <v>0</v>
      </c>
      <c r="AH982" s="9">
        <v>0</v>
      </c>
      <c r="AI982" s="9">
        <v>0</v>
      </c>
      <c r="AJ982" s="9">
        <v>0</v>
      </c>
      <c r="AK982" s="9">
        <v>0</v>
      </c>
      <c r="AL982" s="9">
        <v>0</v>
      </c>
      <c r="AM982" s="9">
        <v>0</v>
      </c>
      <c r="AN982" s="9">
        <v>0</v>
      </c>
      <c r="AO982" s="9">
        <v>0</v>
      </c>
      <c r="AP982" s="9">
        <v>0</v>
      </c>
      <c r="AQ982" s="9">
        <v>0</v>
      </c>
      <c r="AR982" s="9">
        <v>0</v>
      </c>
      <c r="AS982" s="9">
        <v>0</v>
      </c>
      <c r="AT982" s="9">
        <v>0</v>
      </c>
    </row>
    <row r="983" spans="1:46" x14ac:dyDescent="0.25">
      <c r="A983" s="4" t="s">
        <v>194</v>
      </c>
      <c r="B983" s="4" t="s">
        <v>207</v>
      </c>
      <c r="C983" s="4" t="s">
        <v>246</v>
      </c>
      <c r="D983" s="4" t="s">
        <v>263</v>
      </c>
      <c r="E983" s="4" t="s">
        <v>248</v>
      </c>
      <c r="F983" s="4" t="s">
        <v>201</v>
      </c>
      <c r="G983" s="4" t="s">
        <v>71</v>
      </c>
      <c r="H983" s="4" t="s">
        <v>250</v>
      </c>
      <c r="I983" s="9">
        <v>0</v>
      </c>
      <c r="J983" s="7">
        <v>0.92600000000000005</v>
      </c>
      <c r="K983" s="7">
        <v>1.7010000000000001</v>
      </c>
      <c r="L983" s="7">
        <v>1.61</v>
      </c>
      <c r="M983" s="7">
        <v>1.784</v>
      </c>
      <c r="N983" s="7">
        <v>2.3199999999999998</v>
      </c>
      <c r="O983" s="7">
        <v>0.84399999999999997</v>
      </c>
      <c r="P983" s="11">
        <v>0</v>
      </c>
      <c r="Q983" s="11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9">
        <v>0</v>
      </c>
      <c r="AJ983" s="9">
        <v>0</v>
      </c>
      <c r="AK983" s="9">
        <v>0</v>
      </c>
      <c r="AL983" s="9">
        <v>0</v>
      </c>
      <c r="AM983" s="9">
        <v>0</v>
      </c>
      <c r="AN983" s="9">
        <v>0</v>
      </c>
      <c r="AO983" s="9">
        <v>0</v>
      </c>
      <c r="AP983" s="9">
        <v>0</v>
      </c>
      <c r="AQ983" s="9">
        <v>0</v>
      </c>
      <c r="AR983" s="9">
        <v>0</v>
      </c>
      <c r="AS983" s="9">
        <v>0</v>
      </c>
      <c r="AT983" s="9">
        <v>0</v>
      </c>
    </row>
    <row r="984" spans="1:46" x14ac:dyDescent="0.25">
      <c r="A984" s="4" t="s">
        <v>194</v>
      </c>
      <c r="B984" s="4" t="s">
        <v>207</v>
      </c>
      <c r="C984" s="4" t="s">
        <v>246</v>
      </c>
      <c r="D984" s="4" t="s">
        <v>263</v>
      </c>
      <c r="E984" s="4" t="s">
        <v>248</v>
      </c>
      <c r="F984" s="4" t="s">
        <v>201</v>
      </c>
      <c r="G984" s="4" t="s">
        <v>71</v>
      </c>
      <c r="H984" s="4" t="s">
        <v>251</v>
      </c>
      <c r="I984" s="9">
        <v>0</v>
      </c>
      <c r="J984" s="7">
        <v>0.89728680000000005</v>
      </c>
      <c r="K984" s="7">
        <v>0.8971228</v>
      </c>
      <c r="L984" s="7">
        <v>0.95882069999999997</v>
      </c>
      <c r="M984" s="7">
        <v>1.2310445999999999</v>
      </c>
      <c r="N984" s="7">
        <v>2.2402218</v>
      </c>
      <c r="O984" s="7">
        <v>1.5533786999999999</v>
      </c>
      <c r="P984" s="7">
        <v>0</v>
      </c>
      <c r="Q984" s="7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0</v>
      </c>
      <c r="AL984" s="9">
        <v>0</v>
      </c>
      <c r="AM984" s="9">
        <v>0</v>
      </c>
      <c r="AN984" s="9">
        <v>0</v>
      </c>
      <c r="AO984" s="9">
        <v>0</v>
      </c>
      <c r="AP984" s="9">
        <v>0</v>
      </c>
      <c r="AQ984" s="9">
        <v>0</v>
      </c>
      <c r="AR984" s="9">
        <v>0</v>
      </c>
      <c r="AS984" s="9">
        <v>0</v>
      </c>
      <c r="AT984" s="9">
        <v>0</v>
      </c>
    </row>
    <row r="985" spans="1:46" x14ac:dyDescent="0.25">
      <c r="A985" s="4" t="s">
        <v>194</v>
      </c>
      <c r="B985" s="4" t="s">
        <v>207</v>
      </c>
      <c r="C985" s="4" t="s">
        <v>246</v>
      </c>
      <c r="D985" s="4" t="s">
        <v>263</v>
      </c>
      <c r="E985" s="4" t="s">
        <v>248</v>
      </c>
      <c r="F985" s="4" t="s">
        <v>201</v>
      </c>
      <c r="G985" s="4" t="s">
        <v>71</v>
      </c>
      <c r="H985" s="4" t="s">
        <v>252</v>
      </c>
      <c r="I985" s="9">
        <v>0</v>
      </c>
      <c r="J985" s="16">
        <v>0.11899999999999999</v>
      </c>
      <c r="K985" s="16">
        <v>4.2000000000000003E-2</v>
      </c>
      <c r="L985" s="17">
        <v>0</v>
      </c>
      <c r="M985" s="16">
        <v>0.14899999999999999</v>
      </c>
      <c r="N985" s="16">
        <v>4.2999999999999997E-2</v>
      </c>
      <c r="O985" s="17">
        <v>0</v>
      </c>
      <c r="P985" s="17">
        <v>0</v>
      </c>
      <c r="Q985" s="17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0</v>
      </c>
      <c r="AI985" s="9">
        <v>0</v>
      </c>
      <c r="AJ985" s="9">
        <v>0</v>
      </c>
      <c r="AK985" s="9">
        <v>0</v>
      </c>
      <c r="AL985" s="9">
        <v>0</v>
      </c>
      <c r="AM985" s="9">
        <v>0</v>
      </c>
      <c r="AN985" s="9">
        <v>0</v>
      </c>
      <c r="AO985" s="9">
        <v>0</v>
      </c>
      <c r="AP985" s="9">
        <v>0</v>
      </c>
      <c r="AQ985" s="9">
        <v>0</v>
      </c>
      <c r="AR985" s="9">
        <v>0</v>
      </c>
      <c r="AS985" s="9">
        <v>0</v>
      </c>
      <c r="AT985" s="9">
        <v>0</v>
      </c>
    </row>
    <row r="986" spans="1:46" x14ac:dyDescent="0.25">
      <c r="A986" s="4" t="s">
        <v>194</v>
      </c>
      <c r="B986" s="4" t="s">
        <v>207</v>
      </c>
      <c r="C986" s="4" t="s">
        <v>246</v>
      </c>
      <c r="D986" s="4" t="s">
        <v>263</v>
      </c>
      <c r="E986" s="4" t="s">
        <v>248</v>
      </c>
      <c r="F986" s="4" t="s">
        <v>201</v>
      </c>
      <c r="G986" s="4" t="s">
        <v>76</v>
      </c>
      <c r="H986" s="4" t="s">
        <v>151</v>
      </c>
      <c r="I986" s="5">
        <v>7.7409999999999997</v>
      </c>
      <c r="J986" s="5">
        <v>26.193999999999999</v>
      </c>
      <c r="K986" s="5">
        <v>241.172</v>
      </c>
      <c r="L986" s="5">
        <v>243.79400000000001</v>
      </c>
      <c r="M986" s="5">
        <v>299.096</v>
      </c>
      <c r="N986" s="5">
        <v>103.661</v>
      </c>
      <c r="O986" s="5">
        <v>229.994</v>
      </c>
      <c r="P986" s="5">
        <v>158.06399999999999</v>
      </c>
      <c r="Q986" s="5">
        <v>136.995</v>
      </c>
      <c r="R986" s="5">
        <v>216.501</v>
      </c>
      <c r="S986" s="5">
        <v>141.88499999999999</v>
      </c>
      <c r="T986" s="5">
        <v>77.972999999999999</v>
      </c>
      <c r="U986" s="5">
        <v>216.80699999999999</v>
      </c>
      <c r="V986" s="5">
        <v>226.97300000000001</v>
      </c>
      <c r="W986" s="5">
        <v>246.53399999999999</v>
      </c>
      <c r="X986" s="5">
        <v>276.30500000000001</v>
      </c>
      <c r="Y986" s="5">
        <v>393.39499999999998</v>
      </c>
      <c r="Z986" s="5">
        <v>414.36399999999998</v>
      </c>
      <c r="AA986" s="5">
        <v>226.60900000000001</v>
      </c>
      <c r="AB986" s="5">
        <v>153.71199999999999</v>
      </c>
      <c r="AC986" s="5">
        <v>128.98599999999999</v>
      </c>
      <c r="AD986" s="5">
        <v>294.05399999999997</v>
      </c>
      <c r="AE986" s="5">
        <v>285.26600000000002</v>
      </c>
      <c r="AF986" s="5">
        <v>36.817</v>
      </c>
      <c r="AG986" s="5">
        <v>38.865000000000002</v>
      </c>
      <c r="AH986" s="5">
        <v>184.61799999999999</v>
      </c>
      <c r="AI986" s="5">
        <v>176.44499999999999</v>
      </c>
      <c r="AJ986" s="5">
        <v>222.065</v>
      </c>
      <c r="AK986" s="5">
        <v>257.40800000000002</v>
      </c>
      <c r="AL986" s="5">
        <v>212.75800000000001</v>
      </c>
      <c r="AM986" s="5">
        <v>398.22199999999998</v>
      </c>
      <c r="AN986" s="5">
        <v>325.14299999999997</v>
      </c>
      <c r="AO986" s="5">
        <v>156.947</v>
      </c>
      <c r="AP986" s="5">
        <v>145.81200000000001</v>
      </c>
      <c r="AQ986" s="5">
        <v>147.029</v>
      </c>
      <c r="AR986" s="5">
        <v>33.277999999999999</v>
      </c>
      <c r="AS986" s="5">
        <v>49.523000000000003</v>
      </c>
      <c r="AT986" s="5">
        <v>49.523000000000003</v>
      </c>
    </row>
    <row r="987" spans="1:46" x14ac:dyDescent="0.25">
      <c r="A987" s="4" t="s">
        <v>194</v>
      </c>
      <c r="B987" s="4" t="s">
        <v>207</v>
      </c>
      <c r="C987" s="4" t="s">
        <v>246</v>
      </c>
      <c r="D987" s="4" t="s">
        <v>263</v>
      </c>
      <c r="E987" s="4" t="s">
        <v>248</v>
      </c>
      <c r="F987" s="4" t="s">
        <v>201</v>
      </c>
      <c r="G987" s="4" t="s">
        <v>76</v>
      </c>
      <c r="H987" s="4" t="s">
        <v>205</v>
      </c>
      <c r="I987" s="6">
        <v>2279.7249999999999</v>
      </c>
      <c r="J987" s="6">
        <v>8115.71</v>
      </c>
      <c r="K987" s="6">
        <v>68026.260999999999</v>
      </c>
      <c r="L987" s="6">
        <v>86683.267999999996</v>
      </c>
      <c r="M987" s="6">
        <v>93290.176000000007</v>
      </c>
      <c r="N987" s="6">
        <v>32710.436000000002</v>
      </c>
      <c r="O987" s="6">
        <v>57568.315000000002</v>
      </c>
      <c r="P987" s="6">
        <v>39765.572</v>
      </c>
      <c r="Q987" s="6">
        <v>34500.322</v>
      </c>
      <c r="R987" s="6">
        <v>53409.74</v>
      </c>
      <c r="S987" s="6">
        <v>35273.245999999999</v>
      </c>
      <c r="T987" s="6">
        <v>20261.78</v>
      </c>
      <c r="U987" s="6">
        <v>58701.207000000002</v>
      </c>
      <c r="V987" s="6">
        <v>59404.440999999999</v>
      </c>
      <c r="W987" s="6">
        <v>66295.104999999996</v>
      </c>
      <c r="X987" s="6">
        <v>76115.084000000003</v>
      </c>
      <c r="Y987" s="6">
        <v>102032.764</v>
      </c>
      <c r="Z987" s="6">
        <v>123153.73699999999</v>
      </c>
      <c r="AA987" s="6">
        <v>65171.883999999998</v>
      </c>
      <c r="AB987" s="6">
        <v>41197.966</v>
      </c>
      <c r="AC987" s="6">
        <v>32363.442999999999</v>
      </c>
      <c r="AD987" s="6">
        <v>75017.593999999997</v>
      </c>
      <c r="AE987" s="6">
        <v>71708.703999999998</v>
      </c>
      <c r="AF987" s="6">
        <v>10392.071</v>
      </c>
      <c r="AG987" s="6">
        <v>10912.450999999999</v>
      </c>
      <c r="AH987" s="6">
        <v>47789.243000000002</v>
      </c>
      <c r="AI987" s="6">
        <v>45980.798000000003</v>
      </c>
      <c r="AJ987" s="6">
        <v>59208.258000000002</v>
      </c>
      <c r="AK987" s="6">
        <v>72943.781000000003</v>
      </c>
      <c r="AL987" s="6">
        <v>56552.146000000001</v>
      </c>
      <c r="AM987" s="6">
        <v>110315.935</v>
      </c>
      <c r="AN987" s="6">
        <v>105624.05</v>
      </c>
      <c r="AO987" s="6">
        <v>46702.023999999998</v>
      </c>
      <c r="AP987" s="6">
        <v>36635.24</v>
      </c>
      <c r="AQ987" s="6">
        <v>38264.889000000003</v>
      </c>
      <c r="AR987" s="6">
        <v>12084.492</v>
      </c>
      <c r="AS987" s="6">
        <v>17404.477999999999</v>
      </c>
      <c r="AT987" s="6">
        <v>17404.477999999999</v>
      </c>
    </row>
    <row r="988" spans="1:46" x14ac:dyDescent="0.25">
      <c r="A988" s="4" t="s">
        <v>194</v>
      </c>
      <c r="B988" s="4" t="s">
        <v>207</v>
      </c>
      <c r="C988" s="4" t="s">
        <v>246</v>
      </c>
      <c r="D988" s="4" t="s">
        <v>263</v>
      </c>
      <c r="E988" s="4" t="s">
        <v>248</v>
      </c>
      <c r="F988" s="4" t="s">
        <v>201</v>
      </c>
      <c r="G988" s="4" t="s">
        <v>76</v>
      </c>
      <c r="H988" s="4" t="s">
        <v>249</v>
      </c>
      <c r="I988" s="7">
        <v>2E-3</v>
      </c>
      <c r="J988" s="7">
        <v>5.0000000000000001E-3</v>
      </c>
      <c r="K988" s="7">
        <v>3.4000000000000002E-2</v>
      </c>
      <c r="L988" s="7">
        <v>2.7E-2</v>
      </c>
      <c r="M988" s="7">
        <v>2.7E-2</v>
      </c>
      <c r="N988" s="7">
        <v>8.9999999999999993E-3</v>
      </c>
      <c r="O988" s="7">
        <v>2.1000000000000001E-2</v>
      </c>
      <c r="P988" s="7">
        <v>1.9E-2</v>
      </c>
      <c r="Q988" s="7">
        <v>2.1999999999999999E-2</v>
      </c>
      <c r="R988" s="7">
        <v>4.8000000000000001E-2</v>
      </c>
      <c r="S988" s="7">
        <v>3.6999999999999998E-2</v>
      </c>
      <c r="T988" s="7">
        <v>2.1000000000000001E-2</v>
      </c>
      <c r="U988" s="7">
        <v>5.3999999999999999E-2</v>
      </c>
      <c r="V988" s="7">
        <v>4.4999999999999998E-2</v>
      </c>
      <c r="W988" s="7">
        <v>3.5000000000000003E-2</v>
      </c>
      <c r="X988" s="7">
        <v>3.2000000000000001E-2</v>
      </c>
      <c r="Y988" s="7">
        <v>3.7999999999999999E-2</v>
      </c>
      <c r="Z988" s="7">
        <v>4.2999999999999997E-2</v>
      </c>
      <c r="AA988" s="7">
        <v>2.1999999999999999E-2</v>
      </c>
      <c r="AB988" s="7">
        <v>1.9E-2</v>
      </c>
      <c r="AC988" s="7">
        <v>1.9E-2</v>
      </c>
      <c r="AD988" s="7">
        <v>5.0999999999999997E-2</v>
      </c>
      <c r="AE988" s="7">
        <v>0.06</v>
      </c>
      <c r="AF988" s="7">
        <v>0.01</v>
      </c>
      <c r="AG988" s="7">
        <v>0.01</v>
      </c>
      <c r="AH988" s="7">
        <v>3.6999999999999998E-2</v>
      </c>
      <c r="AI988" s="7">
        <v>2.8000000000000001E-2</v>
      </c>
      <c r="AJ988" s="7">
        <v>2.4E-2</v>
      </c>
      <c r="AK988" s="7">
        <v>2.4E-2</v>
      </c>
      <c r="AL988" s="7">
        <v>1.7000000000000001E-2</v>
      </c>
      <c r="AM988" s="7">
        <v>2.9000000000000001E-2</v>
      </c>
      <c r="AN988" s="7">
        <v>2.4E-2</v>
      </c>
      <c r="AO988" s="7">
        <v>1.4999999999999999E-2</v>
      </c>
      <c r="AP988" s="7">
        <v>1.7999999999999999E-2</v>
      </c>
      <c r="AQ988" s="7">
        <v>2.5000000000000001E-2</v>
      </c>
      <c r="AR988" s="7">
        <v>8.0000000000000002E-3</v>
      </c>
      <c r="AS988" s="7">
        <v>1.4999999999999999E-2</v>
      </c>
      <c r="AT988" s="7">
        <v>2.1000000000000001E-2</v>
      </c>
    </row>
    <row r="989" spans="1:46" x14ac:dyDescent="0.25">
      <c r="A989" s="4" t="s">
        <v>194</v>
      </c>
      <c r="B989" s="4" t="s">
        <v>207</v>
      </c>
      <c r="C989" s="4" t="s">
        <v>246</v>
      </c>
      <c r="D989" s="4" t="s">
        <v>263</v>
      </c>
      <c r="E989" s="4" t="s">
        <v>248</v>
      </c>
      <c r="F989" s="4" t="s">
        <v>201</v>
      </c>
      <c r="G989" s="4" t="s">
        <v>76</v>
      </c>
      <c r="H989" s="4" t="s">
        <v>250</v>
      </c>
      <c r="I989" s="7">
        <v>3.4449999999999998</v>
      </c>
      <c r="J989" s="7">
        <v>4.6920000000000002</v>
      </c>
      <c r="K989" s="7">
        <v>10.343999999999999</v>
      </c>
      <c r="L989" s="7">
        <v>12.939</v>
      </c>
      <c r="M989" s="7">
        <v>16.707999999999998</v>
      </c>
      <c r="N989" s="7">
        <v>8.8079999999999998</v>
      </c>
      <c r="O989" s="7">
        <v>10.39</v>
      </c>
      <c r="P989" s="7">
        <v>14.489000000000001</v>
      </c>
      <c r="Q989" s="7">
        <v>15.007999999999999</v>
      </c>
      <c r="R989" s="7">
        <v>15.122999999999999</v>
      </c>
      <c r="S989" s="7">
        <v>13.44</v>
      </c>
      <c r="T989" s="7">
        <v>11.512</v>
      </c>
      <c r="U989" s="7">
        <v>10.298</v>
      </c>
      <c r="V989" s="7">
        <v>9.1980000000000004</v>
      </c>
      <c r="W989" s="7">
        <v>11.036</v>
      </c>
      <c r="X989" s="7">
        <v>10.365</v>
      </c>
      <c r="Y989" s="7">
        <v>18.872</v>
      </c>
      <c r="Z989" s="7">
        <v>16.100999999999999</v>
      </c>
      <c r="AA989" s="7">
        <v>18.085999999999999</v>
      </c>
      <c r="AB989" s="7">
        <v>16.593</v>
      </c>
      <c r="AC989" s="7">
        <v>16.042999999999999</v>
      </c>
      <c r="AD989" s="7">
        <v>16.36</v>
      </c>
      <c r="AE989" s="7">
        <v>17.244</v>
      </c>
      <c r="AF989" s="7">
        <v>16.850999999999999</v>
      </c>
      <c r="AG989" s="7">
        <v>13.54</v>
      </c>
      <c r="AH989" s="7">
        <v>15.231999999999999</v>
      </c>
      <c r="AI989" s="7">
        <v>15.363</v>
      </c>
      <c r="AJ989" s="7">
        <v>13.635</v>
      </c>
      <c r="AK989" s="7">
        <v>12.46</v>
      </c>
      <c r="AL989" s="7">
        <v>15.512</v>
      </c>
      <c r="AM989" s="7">
        <v>13.993</v>
      </c>
      <c r="AN989" s="7">
        <v>17.027000000000001</v>
      </c>
      <c r="AO989" s="7">
        <v>15.079000000000001</v>
      </c>
      <c r="AP989" s="7">
        <v>16.553000000000001</v>
      </c>
      <c r="AQ989" s="7">
        <v>15.159000000000001</v>
      </c>
      <c r="AR989" s="7">
        <v>14.07</v>
      </c>
      <c r="AS989" s="7">
        <v>14.458</v>
      </c>
      <c r="AT989" s="5">
        <v>412.63299999999998</v>
      </c>
    </row>
    <row r="990" spans="1:46" x14ac:dyDescent="0.25">
      <c r="A990" s="4" t="s">
        <v>194</v>
      </c>
      <c r="B990" s="4" t="s">
        <v>207</v>
      </c>
      <c r="C990" s="4" t="s">
        <v>246</v>
      </c>
      <c r="D990" s="4" t="s">
        <v>263</v>
      </c>
      <c r="E990" s="4" t="s">
        <v>248</v>
      </c>
      <c r="F990" s="4" t="s">
        <v>201</v>
      </c>
      <c r="G990" s="4" t="s">
        <v>76</v>
      </c>
      <c r="H990" s="4" t="s">
        <v>251</v>
      </c>
      <c r="I990" s="7">
        <v>2.8249518</v>
      </c>
      <c r="J990" s="7">
        <v>3.2098192999999999</v>
      </c>
      <c r="K990" s="7">
        <v>5.6673117</v>
      </c>
      <c r="L990" s="7">
        <v>6.1425815000000004</v>
      </c>
      <c r="M990" s="7">
        <v>5.7671616999999999</v>
      </c>
      <c r="N990" s="7">
        <v>3.4628466000000002</v>
      </c>
      <c r="O990" s="7">
        <v>3.4654056</v>
      </c>
      <c r="P990" s="7">
        <v>4.3394665999999997</v>
      </c>
      <c r="Q990" s="7">
        <v>4.4768761000000001</v>
      </c>
      <c r="R990" s="7">
        <v>4.1509808000000001</v>
      </c>
      <c r="S990" s="7">
        <v>4.2280201999999996</v>
      </c>
      <c r="T990" s="7">
        <v>4.5151196000000002</v>
      </c>
      <c r="U990" s="7">
        <v>4.7601879</v>
      </c>
      <c r="V990" s="7">
        <v>4.7751631999999997</v>
      </c>
      <c r="W990" s="7">
        <v>4.9819277</v>
      </c>
      <c r="X990" s="7">
        <v>5.2558666000000001</v>
      </c>
      <c r="Y990" s="7">
        <v>6.5770001000000002</v>
      </c>
      <c r="Z990" s="7">
        <v>5.4244383000000003</v>
      </c>
      <c r="AA990" s="7">
        <v>6.2755967000000004</v>
      </c>
      <c r="AB990" s="7">
        <v>6.0839382999999998</v>
      </c>
      <c r="AC990" s="7">
        <v>5.3625086</v>
      </c>
      <c r="AD990" s="7">
        <v>5.1114636000000004</v>
      </c>
      <c r="AE990" s="7">
        <v>4.3342590000000003</v>
      </c>
      <c r="AF990" s="7">
        <v>3.6209132999999998</v>
      </c>
      <c r="AG990" s="7">
        <v>3.4424247000000001</v>
      </c>
      <c r="AH990" s="7">
        <v>4.7142710000000001</v>
      </c>
      <c r="AI990" s="7">
        <v>4.7529462999999996</v>
      </c>
      <c r="AJ990" s="7">
        <v>4.3916073000000004</v>
      </c>
      <c r="AK990" s="7">
        <v>3.5996804</v>
      </c>
      <c r="AL990" s="7">
        <v>4.3035329999999998</v>
      </c>
      <c r="AM990" s="7">
        <v>5.2574548999999999</v>
      </c>
      <c r="AN990" s="7">
        <v>7.0263850000000003</v>
      </c>
      <c r="AO990" s="7">
        <v>6.5908110999999998</v>
      </c>
      <c r="AP990" s="7">
        <v>5.6425476000000003</v>
      </c>
      <c r="AQ990" s="7">
        <v>5.5267169000000003</v>
      </c>
      <c r="AR990" s="7">
        <v>5.4306618000000002</v>
      </c>
      <c r="AS990" s="7">
        <v>5.6893833000000003</v>
      </c>
      <c r="AT990" s="7">
        <v>14.458</v>
      </c>
    </row>
    <row r="991" spans="1:46" x14ac:dyDescent="0.25">
      <c r="A991" s="4" t="s">
        <v>194</v>
      </c>
      <c r="B991" s="4" t="s">
        <v>207</v>
      </c>
      <c r="C991" s="4" t="s">
        <v>246</v>
      </c>
      <c r="D991" s="4" t="s">
        <v>263</v>
      </c>
      <c r="E991" s="4" t="s">
        <v>248</v>
      </c>
      <c r="F991" s="4" t="s">
        <v>201</v>
      </c>
      <c r="G991" s="4" t="s">
        <v>76</v>
      </c>
      <c r="H991" s="4" t="s">
        <v>252</v>
      </c>
      <c r="I991" s="16">
        <v>5.7000000000000002E-2</v>
      </c>
      <c r="J991" s="16">
        <v>5.8000000000000003E-2</v>
      </c>
      <c r="K991" s="16">
        <v>0.13600000000000001</v>
      </c>
      <c r="L991" s="16">
        <v>5.8999999999999997E-2</v>
      </c>
      <c r="M991" s="16">
        <v>5.1999999999999998E-2</v>
      </c>
      <c r="N991" s="16">
        <v>2.5000000000000001E-2</v>
      </c>
      <c r="O991" s="16">
        <v>3.5000000000000003E-2</v>
      </c>
      <c r="P991" s="16">
        <v>0.11700000000000001</v>
      </c>
      <c r="Q991" s="16">
        <v>0.10199999999999999</v>
      </c>
      <c r="R991" s="16">
        <v>3.4000000000000002E-2</v>
      </c>
      <c r="S991" s="16">
        <v>0.1</v>
      </c>
      <c r="T991" s="16">
        <v>9.7000000000000003E-2</v>
      </c>
      <c r="U991" s="16">
        <v>5.0999999999999997E-2</v>
      </c>
      <c r="V991" s="16">
        <v>0.106</v>
      </c>
      <c r="W991" s="16">
        <v>6.2E-2</v>
      </c>
      <c r="X991" s="16">
        <v>5.8999999999999997E-2</v>
      </c>
      <c r="Y991" s="16">
        <v>0.127</v>
      </c>
      <c r="Z991" s="16">
        <v>0.16</v>
      </c>
      <c r="AA991" s="16">
        <v>0.18</v>
      </c>
      <c r="AB991" s="16">
        <v>0.16800000000000001</v>
      </c>
      <c r="AC991" s="16">
        <v>0.17199999999999999</v>
      </c>
      <c r="AD991" s="16">
        <v>8.5000000000000006E-2</v>
      </c>
      <c r="AE991" s="16">
        <v>0.109</v>
      </c>
      <c r="AF991" s="16">
        <v>0.121</v>
      </c>
      <c r="AG991" s="16">
        <v>0.108</v>
      </c>
      <c r="AH991" s="16">
        <v>0.13500000000000001</v>
      </c>
      <c r="AI991" s="16">
        <v>0.121</v>
      </c>
      <c r="AJ991" s="16">
        <v>9.8000000000000004E-2</v>
      </c>
      <c r="AK991" s="16">
        <v>5.2999999999999999E-2</v>
      </c>
      <c r="AL991" s="16">
        <v>7.0000000000000007E-2</v>
      </c>
      <c r="AM991" s="16">
        <v>0.113</v>
      </c>
      <c r="AN991" s="16">
        <v>0.13500000000000001</v>
      </c>
      <c r="AO991" s="16">
        <v>0.125</v>
      </c>
      <c r="AP991" s="16">
        <v>0.16</v>
      </c>
      <c r="AQ991" s="16">
        <v>0.18099999999999999</v>
      </c>
      <c r="AR991" s="16">
        <v>0.192</v>
      </c>
      <c r="AS991" s="16">
        <v>0.20100000000000001</v>
      </c>
      <c r="AT991" s="7">
        <v>5.6893833000000003</v>
      </c>
    </row>
    <row r="992" spans="1:46" x14ac:dyDescent="0.25">
      <c r="A992" s="4" t="s">
        <v>194</v>
      </c>
      <c r="B992" s="4" t="s">
        <v>207</v>
      </c>
      <c r="C992" s="4" t="s">
        <v>246</v>
      </c>
      <c r="D992" s="4" t="s">
        <v>263</v>
      </c>
      <c r="E992" s="4" t="s">
        <v>248</v>
      </c>
      <c r="F992" s="4" t="s">
        <v>201</v>
      </c>
      <c r="G992" s="4" t="s">
        <v>85</v>
      </c>
      <c r="H992" s="4" t="s">
        <v>151</v>
      </c>
      <c r="I992" s="5">
        <v>1083.4590000000001</v>
      </c>
      <c r="J992" s="5">
        <v>3001.181</v>
      </c>
      <c r="K992" s="5">
        <v>4616.63</v>
      </c>
      <c r="L992" s="5">
        <v>8908.759</v>
      </c>
      <c r="M992" s="5">
        <v>13099.338</v>
      </c>
      <c r="N992" s="5">
        <v>10484.125</v>
      </c>
      <c r="O992" s="5">
        <v>10752.449000000001</v>
      </c>
      <c r="P992" s="5">
        <v>8526.9979999999996</v>
      </c>
      <c r="Q992" s="5">
        <v>6474.4340000000002</v>
      </c>
      <c r="R992" s="5">
        <v>3427.7469999999998</v>
      </c>
      <c r="S992" s="5">
        <v>2621.77</v>
      </c>
      <c r="T992" s="5">
        <v>2405.7640000000001</v>
      </c>
      <c r="U992" s="5">
        <v>2393.7359999999999</v>
      </c>
      <c r="V992" s="5">
        <v>3635.5439999999999</v>
      </c>
      <c r="W992" s="5">
        <v>4400.2719999999999</v>
      </c>
      <c r="X992" s="5">
        <v>5992.1719999999996</v>
      </c>
      <c r="Y992" s="5">
        <v>6424.2280000000001</v>
      </c>
      <c r="Z992" s="5">
        <v>7038.1549999999997</v>
      </c>
      <c r="AA992" s="5">
        <v>6599.1189999999997</v>
      </c>
      <c r="AB992" s="5">
        <v>4534.0389999999998</v>
      </c>
      <c r="AC992" s="5">
        <v>3988.6669999999999</v>
      </c>
      <c r="AD992" s="5">
        <v>2686.0219999999999</v>
      </c>
      <c r="AE992" s="5">
        <v>1476.546</v>
      </c>
      <c r="AF992" s="5">
        <v>1031.2739999999999</v>
      </c>
      <c r="AG992" s="5">
        <v>857.21400000000006</v>
      </c>
      <c r="AH992" s="5">
        <v>1490.89</v>
      </c>
      <c r="AI992" s="5">
        <v>2768.1979999999999</v>
      </c>
      <c r="AJ992" s="5">
        <v>3734.3589999999999</v>
      </c>
      <c r="AK992" s="5">
        <v>4349.6559999999999</v>
      </c>
      <c r="AL992" s="5">
        <v>5578.4430000000002</v>
      </c>
      <c r="AM992" s="5">
        <v>7390.7020000000002</v>
      </c>
      <c r="AN992" s="5">
        <v>7973.7560000000003</v>
      </c>
      <c r="AO992" s="5">
        <v>4554.1350000000002</v>
      </c>
      <c r="AP992" s="5">
        <v>3575.0210000000002</v>
      </c>
      <c r="AQ992" s="5">
        <v>2602.8409999999999</v>
      </c>
      <c r="AR992" s="5">
        <v>1857.623</v>
      </c>
      <c r="AS992" s="5">
        <v>1213.7550000000001</v>
      </c>
      <c r="AT992" s="5">
        <v>19582.363000000001</v>
      </c>
    </row>
    <row r="993" spans="1:46" x14ac:dyDescent="0.25">
      <c r="A993" s="4" t="s">
        <v>194</v>
      </c>
      <c r="B993" s="4" t="s">
        <v>207</v>
      </c>
      <c r="C993" s="4" t="s">
        <v>246</v>
      </c>
      <c r="D993" s="4" t="s">
        <v>263</v>
      </c>
      <c r="E993" s="4" t="s">
        <v>248</v>
      </c>
      <c r="F993" s="4" t="s">
        <v>201</v>
      </c>
      <c r="G993" s="4" t="s">
        <v>85</v>
      </c>
      <c r="H993" s="4" t="s">
        <v>205</v>
      </c>
      <c r="I993" s="6">
        <v>197564.606</v>
      </c>
      <c r="J993" s="6">
        <v>551735.23699999996</v>
      </c>
      <c r="K993" s="6">
        <v>792766.03200000001</v>
      </c>
      <c r="L993" s="6">
        <v>1506678.591</v>
      </c>
      <c r="M993" s="6">
        <v>2150871.3960000002</v>
      </c>
      <c r="N993" s="6">
        <v>1747930.159</v>
      </c>
      <c r="O993" s="6">
        <v>1644862.4080000001</v>
      </c>
      <c r="P993" s="6">
        <v>1236143.469</v>
      </c>
      <c r="Q993" s="6">
        <v>935847.68099999998</v>
      </c>
      <c r="R993" s="6">
        <v>488423.674</v>
      </c>
      <c r="S993" s="6">
        <v>379514.08500000002</v>
      </c>
      <c r="T993" s="6">
        <v>356302.86700000003</v>
      </c>
      <c r="U993" s="6">
        <v>374370.30499999999</v>
      </c>
      <c r="V993" s="6">
        <v>531783.66</v>
      </c>
      <c r="W993" s="6">
        <v>654017.07400000002</v>
      </c>
      <c r="X993" s="6">
        <v>852312.86199999996</v>
      </c>
      <c r="Y993" s="6">
        <v>929654.74199999997</v>
      </c>
      <c r="Z993" s="6">
        <v>1000731.077</v>
      </c>
      <c r="AA993" s="6">
        <v>949066.9</v>
      </c>
      <c r="AB993" s="6">
        <v>719935.16</v>
      </c>
      <c r="AC993" s="6">
        <v>586878.47900000005</v>
      </c>
      <c r="AD993" s="6">
        <v>372915.17499999999</v>
      </c>
      <c r="AE993" s="6">
        <v>216167.65599999999</v>
      </c>
      <c r="AF993" s="6">
        <v>151908.92199999999</v>
      </c>
      <c r="AG993" s="6">
        <v>124642.58199999999</v>
      </c>
      <c r="AH993" s="6">
        <v>208775.3</v>
      </c>
      <c r="AI993" s="6">
        <v>387478.19099999999</v>
      </c>
      <c r="AJ993" s="6">
        <v>569128.76599999995</v>
      </c>
      <c r="AK993" s="6">
        <v>671581.076</v>
      </c>
      <c r="AL993" s="6">
        <v>873334.25800000003</v>
      </c>
      <c r="AM993" s="6">
        <v>1168065.361</v>
      </c>
      <c r="AN993" s="6">
        <v>1325201.8959999999</v>
      </c>
      <c r="AO993" s="6">
        <v>779982.54599999997</v>
      </c>
      <c r="AP993" s="6">
        <v>601428.78500000003</v>
      </c>
      <c r="AQ993" s="6">
        <v>467148.56599999999</v>
      </c>
      <c r="AR993" s="6">
        <v>337998.01799999998</v>
      </c>
      <c r="AS993" s="6">
        <v>185155.52</v>
      </c>
      <c r="AT993" s="6">
        <v>185155.52</v>
      </c>
    </row>
    <row r="994" spans="1:46" x14ac:dyDescent="0.25">
      <c r="A994" s="4" t="s">
        <v>194</v>
      </c>
      <c r="B994" s="4" t="s">
        <v>207</v>
      </c>
      <c r="C994" s="4" t="s">
        <v>246</v>
      </c>
      <c r="D994" s="4" t="s">
        <v>263</v>
      </c>
      <c r="E994" s="4" t="s">
        <v>248</v>
      </c>
      <c r="F994" s="4" t="s">
        <v>201</v>
      </c>
      <c r="G994" s="4" t="s">
        <v>85</v>
      </c>
      <c r="H994" s="4" t="s">
        <v>249</v>
      </c>
      <c r="I994" s="7">
        <v>0.13100000000000001</v>
      </c>
      <c r="J994" s="7">
        <v>0.252</v>
      </c>
      <c r="K994" s="7">
        <v>0.29399999999999998</v>
      </c>
      <c r="L994" s="7">
        <v>0.432</v>
      </c>
      <c r="M994" s="7">
        <v>0.50800000000000001</v>
      </c>
      <c r="N994" s="7">
        <v>0.38500000000000001</v>
      </c>
      <c r="O994" s="7">
        <v>0.42</v>
      </c>
      <c r="P994" s="7">
        <v>0.41</v>
      </c>
      <c r="Q994" s="7">
        <v>0.42299999999999999</v>
      </c>
      <c r="R994" s="7">
        <v>0.29899999999999999</v>
      </c>
      <c r="S994" s="7">
        <v>0.26600000000000001</v>
      </c>
      <c r="T994" s="7">
        <v>0.26500000000000001</v>
      </c>
      <c r="U994" s="7">
        <v>0.26100000000000001</v>
      </c>
      <c r="V994" s="7">
        <v>0.28699999999999998</v>
      </c>
      <c r="W994" s="7">
        <v>0.25700000000000001</v>
      </c>
      <c r="X994" s="7">
        <v>0.26900000000000002</v>
      </c>
      <c r="Y994" s="7">
        <v>0.24099999999999999</v>
      </c>
      <c r="Z994" s="7">
        <v>0.28000000000000003</v>
      </c>
      <c r="AA994" s="7">
        <v>0.247</v>
      </c>
      <c r="AB994" s="7">
        <v>0.23400000000000001</v>
      </c>
      <c r="AC994" s="7">
        <v>0.23499999999999999</v>
      </c>
      <c r="AD994" s="7">
        <v>0.17899999999999999</v>
      </c>
      <c r="AE994" s="7">
        <v>0.129</v>
      </c>
      <c r="AF994" s="7">
        <v>0.122</v>
      </c>
      <c r="AG994" s="7">
        <v>8.6999999999999994E-2</v>
      </c>
      <c r="AH994" s="7">
        <v>0.111</v>
      </c>
      <c r="AI994" s="7">
        <v>0.16200000000000001</v>
      </c>
      <c r="AJ994" s="7">
        <v>0.16300000000000001</v>
      </c>
      <c r="AK994" s="7">
        <v>0.16500000000000001</v>
      </c>
      <c r="AL994" s="7">
        <v>0.17899999999999999</v>
      </c>
      <c r="AM994" s="7">
        <v>0.21</v>
      </c>
      <c r="AN994" s="7">
        <v>0.24</v>
      </c>
      <c r="AO994" s="7">
        <v>0.186</v>
      </c>
      <c r="AP994" s="7">
        <v>0.18</v>
      </c>
      <c r="AQ994" s="7">
        <v>0.186</v>
      </c>
      <c r="AR994" s="7">
        <v>0.19400000000000001</v>
      </c>
      <c r="AS994" s="7">
        <v>0.13400000000000001</v>
      </c>
      <c r="AT994" s="7">
        <v>8.17</v>
      </c>
    </row>
    <row r="995" spans="1:46" x14ac:dyDescent="0.25">
      <c r="A995" s="4" t="s">
        <v>194</v>
      </c>
      <c r="B995" s="4" t="s">
        <v>207</v>
      </c>
      <c r="C995" s="4" t="s">
        <v>246</v>
      </c>
      <c r="D995" s="4" t="s">
        <v>263</v>
      </c>
      <c r="E995" s="4" t="s">
        <v>248</v>
      </c>
      <c r="F995" s="4" t="s">
        <v>201</v>
      </c>
      <c r="G995" s="4" t="s">
        <v>85</v>
      </c>
      <c r="H995" s="4" t="s">
        <v>250</v>
      </c>
      <c r="I995" s="7">
        <v>41.487000000000002</v>
      </c>
      <c r="J995" s="7">
        <v>54.177</v>
      </c>
      <c r="K995" s="7">
        <v>65.661000000000001</v>
      </c>
      <c r="L995" s="7">
        <v>71.234999999999999</v>
      </c>
      <c r="M995" s="7">
        <v>70.647999999999996</v>
      </c>
      <c r="N995" s="7">
        <v>67.206999999999994</v>
      </c>
      <c r="O995" s="7">
        <v>69.290000000000006</v>
      </c>
      <c r="P995" s="7">
        <v>67.344999999999999</v>
      </c>
      <c r="Q995" s="7">
        <v>70.927000000000007</v>
      </c>
      <c r="R995" s="7">
        <v>63.194000000000003</v>
      </c>
      <c r="S995" s="7">
        <v>64.665999999999997</v>
      </c>
      <c r="T995" s="7">
        <v>62.29</v>
      </c>
      <c r="U995" s="7">
        <v>65.834000000000003</v>
      </c>
      <c r="V995" s="7">
        <v>62.61</v>
      </c>
      <c r="W995" s="7">
        <v>63.453000000000003</v>
      </c>
      <c r="X995" s="7">
        <v>55.561</v>
      </c>
      <c r="Y995" s="7">
        <v>61.070999999999998</v>
      </c>
      <c r="Z995" s="7">
        <v>60.893999999999998</v>
      </c>
      <c r="AA995" s="7">
        <v>66.623999999999995</v>
      </c>
      <c r="AB995" s="7">
        <v>64.063000000000002</v>
      </c>
      <c r="AC995" s="7">
        <v>59.134</v>
      </c>
      <c r="AD995" s="7">
        <v>56.487000000000002</v>
      </c>
      <c r="AE995" s="7">
        <v>54.963000000000001</v>
      </c>
      <c r="AF995" s="7">
        <v>46.941000000000003</v>
      </c>
      <c r="AG995" s="7">
        <v>49.414999999999999</v>
      </c>
      <c r="AH995" s="7">
        <v>45.014000000000003</v>
      </c>
      <c r="AI995" s="7">
        <v>59.298999999999999</v>
      </c>
      <c r="AJ995" s="7">
        <v>63.588999999999999</v>
      </c>
      <c r="AK995" s="7">
        <v>59.213000000000001</v>
      </c>
      <c r="AL995" s="7">
        <v>58.978000000000002</v>
      </c>
      <c r="AM995" s="7">
        <v>59.351999999999997</v>
      </c>
      <c r="AN995" s="7">
        <v>59.017000000000003</v>
      </c>
      <c r="AO995" s="7">
        <v>52.057000000000002</v>
      </c>
      <c r="AP995" s="7">
        <v>49.851999999999997</v>
      </c>
      <c r="AQ995" s="7">
        <v>44.875</v>
      </c>
      <c r="AR995" s="7">
        <v>46.372999999999998</v>
      </c>
      <c r="AS995" s="7">
        <v>43.515999999999998</v>
      </c>
      <c r="AT995" s="5">
        <v>63949.108</v>
      </c>
    </row>
    <row r="996" spans="1:46" x14ac:dyDescent="0.25">
      <c r="A996" s="4" t="s">
        <v>194</v>
      </c>
      <c r="B996" s="4" t="s">
        <v>207</v>
      </c>
      <c r="C996" s="4" t="s">
        <v>246</v>
      </c>
      <c r="D996" s="4" t="s">
        <v>263</v>
      </c>
      <c r="E996" s="4" t="s">
        <v>248</v>
      </c>
      <c r="F996" s="4" t="s">
        <v>201</v>
      </c>
      <c r="G996" s="4" t="s">
        <v>85</v>
      </c>
      <c r="H996" s="4" t="s">
        <v>251</v>
      </c>
      <c r="I996" s="7">
        <v>34.731865300000003</v>
      </c>
      <c r="J996" s="7">
        <v>38.8721478</v>
      </c>
      <c r="K996" s="7">
        <v>44.005892600000003</v>
      </c>
      <c r="L996" s="7">
        <v>45.526537300000001</v>
      </c>
      <c r="M996" s="7">
        <v>43.765415300000001</v>
      </c>
      <c r="N996" s="7">
        <v>41.025792099999997</v>
      </c>
      <c r="O996" s="7">
        <v>43.525192799999999</v>
      </c>
      <c r="P996" s="7">
        <v>39.789436199999997</v>
      </c>
      <c r="Q996" s="7">
        <v>38.6273567</v>
      </c>
      <c r="R996" s="7">
        <v>34.624958100000001</v>
      </c>
      <c r="S996" s="7">
        <v>35.117317100000001</v>
      </c>
      <c r="T996" s="7">
        <v>34.301165400000002</v>
      </c>
      <c r="U996" s="7">
        <v>32.929452599999998</v>
      </c>
      <c r="V996" s="7">
        <v>34.859351099999998</v>
      </c>
      <c r="W996" s="7">
        <v>36.50817</v>
      </c>
      <c r="X996" s="7">
        <v>34.430152900000003</v>
      </c>
      <c r="Y996" s="7">
        <v>37.188894099999999</v>
      </c>
      <c r="Z996" s="7">
        <v>38.644378699999997</v>
      </c>
      <c r="AA996" s="7">
        <v>39.405605700000002</v>
      </c>
      <c r="AB996" s="7">
        <v>38.714254099999998</v>
      </c>
      <c r="AC996" s="7">
        <v>35.272501499999997</v>
      </c>
      <c r="AD996" s="7">
        <v>31.796753800000001</v>
      </c>
      <c r="AE996" s="7">
        <v>30.844373000000001</v>
      </c>
      <c r="AF996" s="7">
        <v>28.467114299999999</v>
      </c>
      <c r="AG996" s="7">
        <v>30.141953000000001</v>
      </c>
      <c r="AH996" s="7">
        <v>33.0103376</v>
      </c>
      <c r="AI996" s="7">
        <v>37.595765800000002</v>
      </c>
      <c r="AJ996" s="7">
        <v>36.379521699999998</v>
      </c>
      <c r="AK996" s="7">
        <v>32.417235400000003</v>
      </c>
      <c r="AL996" s="7">
        <v>32.569258499999997</v>
      </c>
      <c r="AM996" s="7">
        <v>31.974183799999999</v>
      </c>
      <c r="AN996" s="7">
        <v>32.6230507</v>
      </c>
      <c r="AO996" s="7">
        <v>29.7622179</v>
      </c>
      <c r="AP996" s="7">
        <v>27.762984899999999</v>
      </c>
      <c r="AQ996" s="7">
        <v>28.534478700000001</v>
      </c>
      <c r="AR996" s="7">
        <v>26.7371813</v>
      </c>
      <c r="AS996" s="7">
        <v>24.716176399999998</v>
      </c>
      <c r="AT996" s="7">
        <v>43.515999999999998</v>
      </c>
    </row>
    <row r="997" spans="1:46" x14ac:dyDescent="0.25">
      <c r="A997" s="4" t="s">
        <v>194</v>
      </c>
      <c r="B997" s="4" t="s">
        <v>207</v>
      </c>
      <c r="C997" s="4" t="s">
        <v>246</v>
      </c>
      <c r="D997" s="4" t="s">
        <v>263</v>
      </c>
      <c r="E997" s="4" t="s">
        <v>248</v>
      </c>
      <c r="F997" s="4" t="s">
        <v>201</v>
      </c>
      <c r="G997" s="4" t="s">
        <v>85</v>
      </c>
      <c r="H997" s="4" t="s">
        <v>252</v>
      </c>
      <c r="I997" s="16">
        <v>2.0699999999999998</v>
      </c>
      <c r="J997" s="16">
        <v>2.59</v>
      </c>
      <c r="K997" s="16">
        <v>3.21</v>
      </c>
      <c r="L997" s="16">
        <v>3.4620000000000002</v>
      </c>
      <c r="M997" s="16">
        <v>4.0750000000000002</v>
      </c>
      <c r="N997" s="16">
        <v>3.3460000000000001</v>
      </c>
      <c r="O997" s="16">
        <v>4.3090000000000002</v>
      </c>
      <c r="P997" s="16">
        <v>3.617</v>
      </c>
      <c r="Q997" s="16">
        <v>3.915</v>
      </c>
      <c r="R997" s="16">
        <v>4.0570000000000004</v>
      </c>
      <c r="S997" s="16">
        <v>4.157</v>
      </c>
      <c r="T997" s="16">
        <v>4.1619999999999999</v>
      </c>
      <c r="U997" s="16">
        <v>3.89</v>
      </c>
      <c r="V997" s="16">
        <v>4.0330000000000004</v>
      </c>
      <c r="W997" s="16">
        <v>3.4380000000000002</v>
      </c>
      <c r="X997" s="16">
        <v>2.786</v>
      </c>
      <c r="Y997" s="16">
        <v>2.7330000000000001</v>
      </c>
      <c r="Z997" s="16">
        <v>2.1440000000000001</v>
      </c>
      <c r="AA997" s="16">
        <v>2.359</v>
      </c>
      <c r="AB997" s="16">
        <v>2.2370000000000001</v>
      </c>
      <c r="AC997" s="16">
        <v>2.5710000000000002</v>
      </c>
      <c r="AD997" s="16">
        <v>2.6030000000000002</v>
      </c>
      <c r="AE997" s="16">
        <v>2.3929999999999998</v>
      </c>
      <c r="AF997" s="16">
        <v>2.2480000000000002</v>
      </c>
      <c r="AG997" s="16">
        <v>2.3039999999999998</v>
      </c>
      <c r="AH997" s="16">
        <v>2.355</v>
      </c>
      <c r="AI997" s="16">
        <v>1.845</v>
      </c>
      <c r="AJ997" s="16">
        <v>1.9450000000000001</v>
      </c>
      <c r="AK997" s="16">
        <v>2.0409999999999999</v>
      </c>
      <c r="AL997" s="16">
        <v>2.3559999999999999</v>
      </c>
      <c r="AM997" s="16">
        <v>1.9570000000000001</v>
      </c>
      <c r="AN997" s="16">
        <v>2.1669999999999998</v>
      </c>
      <c r="AO997" s="16">
        <v>2.2559999999999998</v>
      </c>
      <c r="AP997" s="16">
        <v>2.0230000000000001</v>
      </c>
      <c r="AQ997" s="16">
        <v>1.9850000000000001</v>
      </c>
      <c r="AR997" s="16">
        <v>1.909</v>
      </c>
      <c r="AS997" s="16">
        <v>1.738</v>
      </c>
      <c r="AT997" s="7">
        <v>24.716176399999998</v>
      </c>
    </row>
    <row r="998" spans="1:46" x14ac:dyDescent="0.25">
      <c r="A998" s="4" t="s">
        <v>194</v>
      </c>
      <c r="B998" s="4" t="s">
        <v>207</v>
      </c>
      <c r="C998" s="4" t="s">
        <v>246</v>
      </c>
      <c r="D998" s="4" t="s">
        <v>263</v>
      </c>
      <c r="E998" s="4" t="s">
        <v>248</v>
      </c>
      <c r="F998" s="4" t="s">
        <v>195</v>
      </c>
      <c r="G998" s="4" t="s">
        <v>264</v>
      </c>
      <c r="H998" s="4" t="s">
        <v>151</v>
      </c>
      <c r="I998" s="5">
        <v>22.963999999999999</v>
      </c>
      <c r="J998" s="5">
        <v>51.261000000000003</v>
      </c>
      <c r="K998" s="5">
        <v>211.80199999999999</v>
      </c>
      <c r="L998" s="5">
        <v>303.60899999999998</v>
      </c>
      <c r="M998" s="5">
        <v>174.90700000000001</v>
      </c>
      <c r="N998" s="5">
        <v>199.483</v>
      </c>
      <c r="O998" s="5">
        <v>140.68899999999999</v>
      </c>
      <c r="P998" s="5">
        <v>96.635000000000005</v>
      </c>
      <c r="Q998" s="5">
        <v>65.072999999999993</v>
      </c>
      <c r="R998" s="5">
        <v>36.006</v>
      </c>
      <c r="S998" s="5">
        <v>34.950000000000003</v>
      </c>
      <c r="T998" s="5">
        <v>53.567999999999998</v>
      </c>
      <c r="U998" s="5">
        <v>0</v>
      </c>
      <c r="V998" s="5">
        <v>0</v>
      </c>
      <c r="W998" s="5">
        <v>37.246000000000002</v>
      </c>
      <c r="X998" s="5">
        <v>39.927999999999997</v>
      </c>
      <c r="Y998" s="5">
        <v>0</v>
      </c>
      <c r="Z998" s="5">
        <v>93.271000000000001</v>
      </c>
      <c r="AA998" s="5">
        <v>84.429000000000002</v>
      </c>
      <c r="AB998" s="5">
        <v>37.950000000000003</v>
      </c>
      <c r="AC998" s="5">
        <v>0</v>
      </c>
      <c r="AD998" s="5">
        <v>0</v>
      </c>
      <c r="AE998" s="5">
        <v>0</v>
      </c>
      <c r="AF998" s="5">
        <v>36.640999999999998</v>
      </c>
      <c r="AG998" s="5">
        <v>37.392000000000003</v>
      </c>
      <c r="AH998" s="5">
        <v>0</v>
      </c>
      <c r="AI998" s="5">
        <v>0</v>
      </c>
      <c r="AJ998" s="5">
        <v>24.855</v>
      </c>
      <c r="AK998" s="5">
        <v>2</v>
      </c>
      <c r="AL998" s="5">
        <v>9.5</v>
      </c>
      <c r="AM998" s="5">
        <v>0</v>
      </c>
      <c r="AN998" s="5">
        <v>36.307000000000002</v>
      </c>
      <c r="AO998" s="5">
        <v>35.103000000000002</v>
      </c>
      <c r="AP998" s="5">
        <v>0</v>
      </c>
      <c r="AQ998" s="5">
        <v>0</v>
      </c>
      <c r="AR998" s="5">
        <v>0</v>
      </c>
      <c r="AS998" s="5">
        <v>0</v>
      </c>
      <c r="AT998" s="5">
        <v>0</v>
      </c>
    </row>
    <row r="999" spans="1:46" x14ac:dyDescent="0.25">
      <c r="A999" s="4" t="s">
        <v>194</v>
      </c>
      <c r="B999" s="4" t="s">
        <v>207</v>
      </c>
      <c r="C999" s="4" t="s">
        <v>246</v>
      </c>
      <c r="D999" s="4" t="s">
        <v>263</v>
      </c>
      <c r="E999" s="4" t="s">
        <v>248</v>
      </c>
      <c r="F999" s="4" t="s">
        <v>195</v>
      </c>
      <c r="G999" s="4" t="s">
        <v>264</v>
      </c>
      <c r="H999" s="4" t="s">
        <v>205</v>
      </c>
      <c r="I999" s="6">
        <v>11899.085999999999</v>
      </c>
      <c r="J999" s="6">
        <v>21124.921999999999</v>
      </c>
      <c r="K999" s="6">
        <v>66904.722999999998</v>
      </c>
      <c r="L999" s="6">
        <v>95644.883000000002</v>
      </c>
      <c r="M999" s="6">
        <v>53274.036999999997</v>
      </c>
      <c r="N999" s="6">
        <v>71296.619000000006</v>
      </c>
      <c r="O999" s="6">
        <v>53441.932000000001</v>
      </c>
      <c r="P999" s="6">
        <v>30034.932000000001</v>
      </c>
      <c r="Q999" s="6">
        <v>19090.91</v>
      </c>
      <c r="R999" s="6">
        <v>10801.681</v>
      </c>
      <c r="S999" s="6">
        <v>10485.001</v>
      </c>
      <c r="T999" s="6">
        <v>25045.573</v>
      </c>
      <c r="U999" s="6">
        <v>0</v>
      </c>
      <c r="V999" s="6">
        <v>0</v>
      </c>
      <c r="W999" s="6">
        <v>28661.871999999999</v>
      </c>
      <c r="X999" s="6">
        <v>30699.914000000001</v>
      </c>
      <c r="Y999" s="6">
        <v>0</v>
      </c>
      <c r="Z999" s="6">
        <v>64592.62</v>
      </c>
      <c r="AA999" s="6">
        <v>48749.41</v>
      </c>
      <c r="AB999" s="6">
        <v>29221.691999999999</v>
      </c>
      <c r="AC999" s="6">
        <v>0</v>
      </c>
      <c r="AD999" s="6">
        <v>0</v>
      </c>
      <c r="AE999" s="6">
        <v>0</v>
      </c>
      <c r="AF999" s="6">
        <v>28213.898000000001</v>
      </c>
      <c r="AG999" s="6">
        <v>28792.282999999999</v>
      </c>
      <c r="AH999" s="6">
        <v>0</v>
      </c>
      <c r="AI999" s="6">
        <v>0</v>
      </c>
      <c r="AJ999" s="6">
        <v>9270.99</v>
      </c>
      <c r="AK999" s="6">
        <v>824</v>
      </c>
      <c r="AL999" s="6">
        <v>3657.3420000000001</v>
      </c>
      <c r="AM999" s="6">
        <v>0</v>
      </c>
      <c r="AN999" s="6">
        <v>22074.831999999999</v>
      </c>
      <c r="AO999" s="6">
        <v>21022.89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</row>
    <row r="1000" spans="1:46" x14ac:dyDescent="0.25">
      <c r="A1000" s="4" t="s">
        <v>194</v>
      </c>
      <c r="B1000" s="4" t="s">
        <v>207</v>
      </c>
      <c r="C1000" s="4" t="s">
        <v>246</v>
      </c>
      <c r="D1000" s="4" t="s">
        <v>263</v>
      </c>
      <c r="E1000" s="4" t="s">
        <v>248</v>
      </c>
      <c r="F1000" s="4" t="s">
        <v>195</v>
      </c>
      <c r="G1000" s="4" t="s">
        <v>264</v>
      </c>
      <c r="H1000" s="4" t="s">
        <v>249</v>
      </c>
      <c r="I1000" s="7">
        <v>3.5999999999999997E-2</v>
      </c>
      <c r="J1000" s="7">
        <v>5.8000000000000003E-2</v>
      </c>
      <c r="K1000" s="7">
        <v>0.19500000000000001</v>
      </c>
      <c r="L1000" s="7">
        <v>0.216</v>
      </c>
      <c r="M1000" s="7">
        <v>0.104</v>
      </c>
      <c r="N1000" s="7">
        <v>0.109</v>
      </c>
      <c r="O1000" s="7">
        <v>8.4000000000000005E-2</v>
      </c>
      <c r="P1000" s="7">
        <v>7.3999999999999996E-2</v>
      </c>
      <c r="Q1000" s="7">
        <v>6.9000000000000006E-2</v>
      </c>
      <c r="R1000" s="7">
        <v>5.1999999999999998E-2</v>
      </c>
      <c r="S1000" s="7">
        <v>5.8000000000000003E-2</v>
      </c>
      <c r="T1000" s="7">
        <v>9.2999999999999999E-2</v>
      </c>
      <c r="U1000" s="7">
        <v>0</v>
      </c>
      <c r="V1000" s="7">
        <v>0</v>
      </c>
      <c r="W1000" s="7">
        <v>3.4000000000000002E-2</v>
      </c>
      <c r="X1000" s="7">
        <v>0.03</v>
      </c>
      <c r="Y1000" s="7">
        <v>0</v>
      </c>
      <c r="Z1000" s="7">
        <v>6.3E-2</v>
      </c>
      <c r="AA1000" s="7">
        <v>5.2999999999999999E-2</v>
      </c>
      <c r="AB1000" s="7">
        <v>0.03</v>
      </c>
      <c r="AC1000" s="7">
        <v>0</v>
      </c>
      <c r="AD1000" s="7">
        <v>0</v>
      </c>
      <c r="AE1000" s="7">
        <v>0</v>
      </c>
      <c r="AF1000" s="7">
        <v>6.2E-2</v>
      </c>
      <c r="AG1000" s="7">
        <v>5.8999999999999997E-2</v>
      </c>
      <c r="AH1000" s="7">
        <v>0</v>
      </c>
      <c r="AI1000" s="7">
        <v>0</v>
      </c>
      <c r="AJ1000" s="7">
        <v>1.7000000000000001E-2</v>
      </c>
      <c r="AK1000" s="7">
        <v>1E-3</v>
      </c>
      <c r="AL1000" s="7">
        <v>5.0000000000000001E-3</v>
      </c>
      <c r="AM1000" s="7">
        <v>0</v>
      </c>
      <c r="AN1000" s="7">
        <v>1.7000000000000001E-2</v>
      </c>
      <c r="AO1000" s="7">
        <v>2.1999999999999999E-2</v>
      </c>
      <c r="AP1000" s="7">
        <v>0</v>
      </c>
      <c r="AQ1000" s="7">
        <v>0</v>
      </c>
      <c r="AR1000" s="7">
        <v>0</v>
      </c>
      <c r="AS1000" s="7">
        <v>0</v>
      </c>
      <c r="AT1000" s="7">
        <v>0</v>
      </c>
    </row>
    <row r="1001" spans="1:46" x14ac:dyDescent="0.25">
      <c r="A1001" s="4" t="s">
        <v>194</v>
      </c>
      <c r="B1001" s="4" t="s">
        <v>207</v>
      </c>
      <c r="C1001" s="4" t="s">
        <v>246</v>
      </c>
      <c r="D1001" s="4" t="s">
        <v>263</v>
      </c>
      <c r="E1001" s="4" t="s">
        <v>248</v>
      </c>
      <c r="F1001" s="4" t="s">
        <v>195</v>
      </c>
      <c r="G1001" s="4" t="s">
        <v>264</v>
      </c>
      <c r="H1001" s="4" t="s">
        <v>250</v>
      </c>
      <c r="I1001" s="7">
        <v>6.8959999999999999</v>
      </c>
      <c r="J1001" s="7">
        <v>8.2509999999999994</v>
      </c>
      <c r="K1001" s="7">
        <v>8.5489999999999995</v>
      </c>
      <c r="L1001" s="7">
        <v>9.4920000000000009</v>
      </c>
      <c r="M1001" s="7">
        <v>8.4480000000000004</v>
      </c>
      <c r="N1001" s="7">
        <v>9.859</v>
      </c>
      <c r="O1001" s="7">
        <v>7.31</v>
      </c>
      <c r="P1001" s="7">
        <v>7.0430000000000001</v>
      </c>
      <c r="Q1001" s="7">
        <v>8.4339999999999993</v>
      </c>
      <c r="R1001" s="7">
        <v>9.1189999999999998</v>
      </c>
      <c r="S1001" s="7">
        <v>9.6129999999999995</v>
      </c>
      <c r="T1001" s="7">
        <v>10.09</v>
      </c>
      <c r="U1001" s="7">
        <v>8.3689999999999998</v>
      </c>
      <c r="V1001" s="7">
        <v>6.5380000000000003</v>
      </c>
      <c r="W1001" s="7">
        <v>6.1970000000000001</v>
      </c>
      <c r="X1001" s="7">
        <v>6.7649999999999997</v>
      </c>
      <c r="Y1001" s="7">
        <v>3.6680000000000001</v>
      </c>
      <c r="Z1001" s="7">
        <v>6.72</v>
      </c>
      <c r="AA1001" s="7">
        <v>6.423</v>
      </c>
      <c r="AB1001" s="7">
        <v>5.165</v>
      </c>
      <c r="AC1001" s="7">
        <v>4.9130000000000003</v>
      </c>
      <c r="AD1001" s="7">
        <v>4.8250000000000002</v>
      </c>
      <c r="AE1001" s="7">
        <v>5.3879999999999999</v>
      </c>
      <c r="AF1001" s="7">
        <v>4.7210000000000001</v>
      </c>
      <c r="AG1001" s="7">
        <v>3.3740000000000001</v>
      </c>
      <c r="AH1001" s="7">
        <v>3.74</v>
      </c>
      <c r="AI1001" s="7">
        <v>3.9</v>
      </c>
      <c r="AJ1001" s="7">
        <v>4.6829999999999998</v>
      </c>
      <c r="AK1001" s="7">
        <v>3.4689999999999999</v>
      </c>
      <c r="AL1001" s="7">
        <v>3.95</v>
      </c>
      <c r="AM1001" s="7">
        <v>2.7919999999999998</v>
      </c>
      <c r="AN1001" s="7">
        <v>2.2890000000000001</v>
      </c>
      <c r="AO1001" s="7">
        <v>1.879</v>
      </c>
      <c r="AP1001" s="7">
        <v>0.98699999999999999</v>
      </c>
      <c r="AQ1001" s="7">
        <v>1.3680000000000001</v>
      </c>
      <c r="AR1001" s="7">
        <v>1.0009999999999999</v>
      </c>
      <c r="AS1001" s="7">
        <v>0.95699999999999996</v>
      </c>
      <c r="AT1001" s="5">
        <v>35.917999999999999</v>
      </c>
    </row>
    <row r="1002" spans="1:46" x14ac:dyDescent="0.25">
      <c r="A1002" s="4" t="s">
        <v>194</v>
      </c>
      <c r="B1002" s="4" t="s">
        <v>207</v>
      </c>
      <c r="C1002" s="4" t="s">
        <v>246</v>
      </c>
      <c r="D1002" s="4" t="s">
        <v>263</v>
      </c>
      <c r="E1002" s="4" t="s">
        <v>248</v>
      </c>
      <c r="F1002" s="4" t="s">
        <v>195</v>
      </c>
      <c r="G1002" s="4" t="s">
        <v>264</v>
      </c>
      <c r="H1002" s="4" t="s">
        <v>251</v>
      </c>
      <c r="I1002" s="7">
        <v>3.7790746</v>
      </c>
      <c r="J1002" s="7">
        <v>4.8122239999999996</v>
      </c>
      <c r="K1002" s="7">
        <v>6.0871278000000002</v>
      </c>
      <c r="L1002" s="7">
        <v>5.1630804000000001</v>
      </c>
      <c r="M1002" s="7">
        <v>5.0355626000000004</v>
      </c>
      <c r="N1002" s="7">
        <v>4.9839700000000002</v>
      </c>
      <c r="O1002" s="7">
        <v>5.0619076999999999</v>
      </c>
      <c r="P1002" s="7">
        <v>5.0173218000000004</v>
      </c>
      <c r="Q1002" s="7">
        <v>4.9101761000000002</v>
      </c>
      <c r="R1002" s="7">
        <v>4.9834408000000003</v>
      </c>
      <c r="S1002" s="7">
        <v>4.9847036999999998</v>
      </c>
      <c r="T1002" s="7">
        <v>4.8573841</v>
      </c>
      <c r="U1002" s="7">
        <v>3.8589994000000001</v>
      </c>
      <c r="V1002" s="7">
        <v>3.8564424000000002</v>
      </c>
      <c r="W1002" s="7">
        <v>3.8595687000000001</v>
      </c>
      <c r="X1002" s="7">
        <v>3.8970259</v>
      </c>
      <c r="Y1002" s="7">
        <v>3.0502012999999999</v>
      </c>
      <c r="Z1002" s="7">
        <v>3.9256907000000001</v>
      </c>
      <c r="AA1002" s="7">
        <v>3.0729696</v>
      </c>
      <c r="AB1002" s="7">
        <v>1.9603929</v>
      </c>
      <c r="AC1002" s="7">
        <v>1.9597876999999999</v>
      </c>
      <c r="AD1002" s="7">
        <v>1.9579937999999999</v>
      </c>
      <c r="AE1002" s="7">
        <v>1.9563737000000001</v>
      </c>
      <c r="AF1002" s="7">
        <v>1.7511954000000001</v>
      </c>
      <c r="AG1002" s="7">
        <v>1.7512007999999999</v>
      </c>
      <c r="AH1002" s="7">
        <v>1.7511994</v>
      </c>
      <c r="AI1002" s="7">
        <v>1.7512015000000001</v>
      </c>
      <c r="AJ1002" s="7">
        <v>1.8877702000000001</v>
      </c>
      <c r="AK1002" s="7">
        <v>1.5126926000000001</v>
      </c>
      <c r="AL1002" s="7">
        <v>1.5289139</v>
      </c>
      <c r="AM1002" s="7">
        <v>0.71527350000000001</v>
      </c>
      <c r="AN1002" s="7">
        <v>0.7153796</v>
      </c>
      <c r="AO1002" s="7">
        <v>0.75368780000000002</v>
      </c>
      <c r="AP1002" s="7">
        <v>0.71564349999999999</v>
      </c>
      <c r="AQ1002" s="7">
        <v>0.77055629999999997</v>
      </c>
      <c r="AR1002" s="7">
        <v>0.66178150000000002</v>
      </c>
      <c r="AS1002" s="7">
        <v>0.66216129999999995</v>
      </c>
      <c r="AT1002" s="7">
        <v>0.95699999999999996</v>
      </c>
    </row>
    <row r="1003" spans="1:46" x14ac:dyDescent="0.25">
      <c r="A1003" s="4" t="s">
        <v>194</v>
      </c>
      <c r="B1003" s="4" t="s">
        <v>207</v>
      </c>
      <c r="C1003" s="4" t="s">
        <v>246</v>
      </c>
      <c r="D1003" s="4" t="s">
        <v>263</v>
      </c>
      <c r="E1003" s="4" t="s">
        <v>248</v>
      </c>
      <c r="F1003" s="4" t="s">
        <v>195</v>
      </c>
      <c r="G1003" s="4" t="s">
        <v>264</v>
      </c>
      <c r="H1003" s="4" t="s">
        <v>252</v>
      </c>
      <c r="I1003" s="16">
        <v>9.4E-2</v>
      </c>
      <c r="J1003" s="16">
        <v>0.12</v>
      </c>
      <c r="K1003" s="16">
        <v>0.16900000000000001</v>
      </c>
      <c r="L1003" s="16">
        <v>0.128</v>
      </c>
      <c r="M1003" s="16">
        <v>0.13200000000000001</v>
      </c>
      <c r="N1003" s="16">
        <v>9.2999999999999999E-2</v>
      </c>
      <c r="O1003" s="16">
        <v>0.10100000000000001</v>
      </c>
      <c r="P1003" s="16">
        <v>0.11600000000000001</v>
      </c>
      <c r="Q1003" s="16">
        <v>8.6999999999999994E-2</v>
      </c>
      <c r="R1003" s="16">
        <v>8.3000000000000004E-2</v>
      </c>
      <c r="S1003" s="16">
        <v>6.4000000000000001E-2</v>
      </c>
      <c r="T1003" s="16">
        <v>6.9000000000000006E-2</v>
      </c>
      <c r="U1003" s="16">
        <v>6.9000000000000006E-2</v>
      </c>
      <c r="V1003" s="16">
        <v>6.8000000000000005E-2</v>
      </c>
      <c r="W1003" s="16">
        <v>0.04</v>
      </c>
      <c r="X1003" s="16">
        <v>3.7999999999999999E-2</v>
      </c>
      <c r="Y1003" s="16">
        <v>4.2000000000000003E-2</v>
      </c>
      <c r="Z1003" s="16">
        <v>5.7000000000000002E-2</v>
      </c>
      <c r="AA1003" s="16">
        <v>1.9E-2</v>
      </c>
      <c r="AB1003" s="16">
        <v>4.2000000000000003E-2</v>
      </c>
      <c r="AC1003" s="16">
        <v>4.2999999999999997E-2</v>
      </c>
      <c r="AD1003" s="16">
        <v>4.2999999999999997E-2</v>
      </c>
      <c r="AE1003" s="16">
        <v>4.3999999999999997E-2</v>
      </c>
      <c r="AF1003" s="16">
        <v>0.02</v>
      </c>
      <c r="AG1003" s="16">
        <v>0.02</v>
      </c>
      <c r="AH1003" s="16">
        <v>3.6999999999999998E-2</v>
      </c>
      <c r="AI1003" s="16">
        <v>3.1E-2</v>
      </c>
      <c r="AJ1003" s="16">
        <v>0.02</v>
      </c>
      <c r="AK1003" s="16">
        <v>0.02</v>
      </c>
      <c r="AL1003" s="16">
        <v>1.7000000000000001E-2</v>
      </c>
      <c r="AM1003" s="16">
        <v>1.7000000000000001E-2</v>
      </c>
      <c r="AN1003" s="17">
        <v>0</v>
      </c>
      <c r="AO1003" s="16">
        <v>1.7999999999999999E-2</v>
      </c>
      <c r="AP1003" s="16">
        <v>1.7000000000000001E-2</v>
      </c>
      <c r="AQ1003" s="16">
        <v>1.7000000000000001E-2</v>
      </c>
      <c r="AR1003" s="16">
        <v>1.7000000000000001E-2</v>
      </c>
      <c r="AS1003" s="16">
        <v>1.7000000000000001E-2</v>
      </c>
      <c r="AT1003" s="7">
        <v>0.66216129999999995</v>
      </c>
    </row>
    <row r="1004" spans="1:46" x14ac:dyDescent="0.25">
      <c r="A1004" s="4" t="s">
        <v>194</v>
      </c>
      <c r="B1004" s="4" t="s">
        <v>207</v>
      </c>
      <c r="C1004" s="4" t="s">
        <v>246</v>
      </c>
      <c r="D1004" s="4" t="s">
        <v>263</v>
      </c>
      <c r="E1004" s="4" t="s">
        <v>248</v>
      </c>
      <c r="F1004" s="4" t="s">
        <v>195</v>
      </c>
      <c r="G1004" s="4" t="s">
        <v>71</v>
      </c>
      <c r="H1004" s="4" t="s">
        <v>151</v>
      </c>
      <c r="I1004" s="5">
        <v>944.447</v>
      </c>
      <c r="J1004" s="5">
        <v>2088.087</v>
      </c>
      <c r="K1004" s="5">
        <v>2620.9360000000001</v>
      </c>
      <c r="L1004" s="5">
        <v>4864.3599999999997</v>
      </c>
      <c r="M1004" s="5">
        <v>7668.14</v>
      </c>
      <c r="N1004" s="5">
        <v>7314.4930000000004</v>
      </c>
      <c r="O1004" s="5">
        <v>4659.9620000000004</v>
      </c>
      <c r="P1004" s="5">
        <v>3352.4740000000002</v>
      </c>
      <c r="Q1004" s="5">
        <v>2041.421</v>
      </c>
      <c r="R1004" s="5">
        <v>1388.3430000000001</v>
      </c>
      <c r="S1004" s="5">
        <v>1061.104</v>
      </c>
      <c r="T1004" s="5">
        <v>785.08699999999999</v>
      </c>
      <c r="U1004" s="5">
        <v>920.46</v>
      </c>
      <c r="V1004" s="5">
        <v>1208.568</v>
      </c>
      <c r="W1004" s="5">
        <v>3287.569</v>
      </c>
      <c r="X1004" s="5">
        <v>4768.1859999999997</v>
      </c>
      <c r="Y1004" s="5">
        <v>5913.8639999999996</v>
      </c>
      <c r="Z1004" s="5">
        <v>6294.808</v>
      </c>
      <c r="AA1004" s="5">
        <v>5352.72</v>
      </c>
      <c r="AB1004" s="5">
        <v>5296.1450000000004</v>
      </c>
      <c r="AC1004" s="5">
        <v>4706.2820000000002</v>
      </c>
      <c r="AD1004" s="5">
        <v>2740.3029999999999</v>
      </c>
      <c r="AE1004" s="5">
        <v>2177.2240000000002</v>
      </c>
      <c r="AF1004" s="5">
        <v>419.80099999999999</v>
      </c>
      <c r="AG1004" s="5">
        <v>506.17200000000003</v>
      </c>
      <c r="AH1004" s="5">
        <v>2331.1860000000001</v>
      </c>
      <c r="AI1004" s="5">
        <v>2496.444</v>
      </c>
      <c r="AJ1004" s="5">
        <v>5654.78</v>
      </c>
      <c r="AK1004" s="5">
        <v>7277.4620000000004</v>
      </c>
      <c r="AL1004" s="5">
        <v>7526.4610000000002</v>
      </c>
      <c r="AM1004" s="5">
        <v>9266.6550000000007</v>
      </c>
      <c r="AN1004" s="5">
        <v>9672.8250000000007</v>
      </c>
      <c r="AO1004" s="5">
        <v>5712.3890000000001</v>
      </c>
      <c r="AP1004" s="5">
        <v>4147.9579999999996</v>
      </c>
      <c r="AQ1004" s="5">
        <v>2512.6419999999998</v>
      </c>
      <c r="AR1004" s="5">
        <v>1162.289</v>
      </c>
      <c r="AS1004" s="5">
        <v>1002.712</v>
      </c>
      <c r="AT1004" s="5">
        <v>9966.2270000000008</v>
      </c>
    </row>
    <row r="1005" spans="1:46" x14ac:dyDescent="0.25">
      <c r="A1005" s="4" t="s">
        <v>194</v>
      </c>
      <c r="B1005" s="4" t="s">
        <v>207</v>
      </c>
      <c r="C1005" s="4" t="s">
        <v>246</v>
      </c>
      <c r="D1005" s="4" t="s">
        <v>263</v>
      </c>
      <c r="E1005" s="4" t="s">
        <v>248</v>
      </c>
      <c r="F1005" s="4" t="s">
        <v>195</v>
      </c>
      <c r="G1005" s="4" t="s">
        <v>71</v>
      </c>
      <c r="H1005" s="4" t="s">
        <v>205</v>
      </c>
      <c r="I1005" s="6">
        <v>103745.50599999999</v>
      </c>
      <c r="J1005" s="6">
        <v>225140.75</v>
      </c>
      <c r="K1005" s="6">
        <v>266910.609</v>
      </c>
      <c r="L1005" s="6">
        <v>520776.36099999998</v>
      </c>
      <c r="M1005" s="6">
        <v>856077.73100000003</v>
      </c>
      <c r="N1005" s="6">
        <v>793669.67500000005</v>
      </c>
      <c r="O1005" s="6">
        <v>538686.25399999996</v>
      </c>
      <c r="P1005" s="6">
        <v>369728.28600000002</v>
      </c>
      <c r="Q1005" s="6">
        <v>242518.511</v>
      </c>
      <c r="R1005" s="6">
        <v>160632.29800000001</v>
      </c>
      <c r="S1005" s="6">
        <v>126555.92200000001</v>
      </c>
      <c r="T1005" s="6">
        <v>94943.755999999994</v>
      </c>
      <c r="U1005" s="6">
        <v>110150.564</v>
      </c>
      <c r="V1005" s="6">
        <v>143179.435</v>
      </c>
      <c r="W1005" s="6">
        <v>326266.391</v>
      </c>
      <c r="X1005" s="6">
        <v>587128.04200000002</v>
      </c>
      <c r="Y1005" s="6">
        <v>731344.34299999999</v>
      </c>
      <c r="Z1005" s="6">
        <v>761212.38800000004</v>
      </c>
      <c r="AA1005" s="6">
        <v>655334.19200000004</v>
      </c>
      <c r="AB1005" s="6">
        <v>606973.91599999997</v>
      </c>
      <c r="AC1005" s="6">
        <v>521583.70899999997</v>
      </c>
      <c r="AD1005" s="6">
        <v>296054.62900000002</v>
      </c>
      <c r="AE1005" s="6">
        <v>212024.33499999999</v>
      </c>
      <c r="AF1005" s="6">
        <v>51099.688999999998</v>
      </c>
      <c r="AG1005" s="6">
        <v>71596.145999999993</v>
      </c>
      <c r="AH1005" s="6">
        <v>326822.71500000003</v>
      </c>
      <c r="AI1005" s="6">
        <v>327146.87</v>
      </c>
      <c r="AJ1005" s="6">
        <v>757686.13800000004</v>
      </c>
      <c r="AK1005" s="6">
        <v>996940.73</v>
      </c>
      <c r="AL1005" s="6">
        <v>1027062.438</v>
      </c>
      <c r="AM1005" s="6">
        <v>1300503.5689999999</v>
      </c>
      <c r="AN1005" s="6">
        <v>1323138.7120000001</v>
      </c>
      <c r="AO1005" s="6">
        <v>746473.22900000005</v>
      </c>
      <c r="AP1005" s="6">
        <v>494448.01699999999</v>
      </c>
      <c r="AQ1005" s="6">
        <v>330559.28499999997</v>
      </c>
      <c r="AR1005" s="6">
        <v>153403.36499999999</v>
      </c>
      <c r="AS1005" s="6">
        <v>121507.00199999999</v>
      </c>
      <c r="AT1005" s="6">
        <v>121507.00199999999</v>
      </c>
    </row>
    <row r="1006" spans="1:46" x14ac:dyDescent="0.25">
      <c r="A1006" s="4" t="s">
        <v>194</v>
      </c>
      <c r="B1006" s="4" t="s">
        <v>207</v>
      </c>
      <c r="C1006" s="4" t="s">
        <v>246</v>
      </c>
      <c r="D1006" s="4" t="s">
        <v>263</v>
      </c>
      <c r="E1006" s="4" t="s">
        <v>248</v>
      </c>
      <c r="F1006" s="4" t="s">
        <v>195</v>
      </c>
      <c r="G1006" s="4" t="s">
        <v>71</v>
      </c>
      <c r="H1006" s="4" t="s">
        <v>249</v>
      </c>
      <c r="I1006" s="7">
        <v>0.06</v>
      </c>
      <c r="J1006" s="7">
        <v>9.6000000000000002E-2</v>
      </c>
      <c r="K1006" s="7">
        <v>9.7000000000000003E-2</v>
      </c>
      <c r="L1006" s="7">
        <v>0.14099999999999999</v>
      </c>
      <c r="M1006" s="7">
        <v>0.185</v>
      </c>
      <c r="N1006" s="7">
        <v>0.154</v>
      </c>
      <c r="O1006" s="7">
        <v>0.112</v>
      </c>
      <c r="P1006" s="7">
        <v>9.7000000000000003E-2</v>
      </c>
      <c r="Q1006" s="7">
        <v>8.4000000000000005E-2</v>
      </c>
      <c r="R1006" s="7">
        <v>7.5999999999999998E-2</v>
      </c>
      <c r="S1006" s="7">
        <v>7.0999999999999994E-2</v>
      </c>
      <c r="T1006" s="7">
        <v>5.5E-2</v>
      </c>
      <c r="U1006" s="7">
        <v>6.0999999999999999E-2</v>
      </c>
      <c r="V1006" s="7">
        <v>6.3E-2</v>
      </c>
      <c r="W1006" s="7">
        <v>0.10100000000000001</v>
      </c>
      <c r="X1006" s="7">
        <v>0.14000000000000001</v>
      </c>
      <c r="Y1006" s="7">
        <v>0.14399999999999999</v>
      </c>
      <c r="Z1006" s="7">
        <v>0.16200000000000001</v>
      </c>
      <c r="AA1006" s="7">
        <v>0.128</v>
      </c>
      <c r="AB1006" s="7">
        <v>0.13600000000000001</v>
      </c>
      <c r="AC1006" s="7">
        <v>0.13700000000000001</v>
      </c>
      <c r="AD1006" s="7">
        <v>9.0999999999999998E-2</v>
      </c>
      <c r="AE1006" s="7">
        <v>8.1000000000000003E-2</v>
      </c>
      <c r="AF1006" s="7">
        <v>2.9000000000000001E-2</v>
      </c>
      <c r="AG1006" s="7">
        <v>3.3000000000000002E-2</v>
      </c>
      <c r="AH1006" s="7">
        <v>0.12</v>
      </c>
      <c r="AI1006" s="7">
        <v>0.1</v>
      </c>
      <c r="AJ1006" s="7">
        <v>0.154</v>
      </c>
      <c r="AK1006" s="7">
        <v>0.17100000000000001</v>
      </c>
      <c r="AL1006" s="7">
        <v>0.14799999999999999</v>
      </c>
      <c r="AM1006" s="7">
        <v>0.16600000000000001</v>
      </c>
      <c r="AN1006" s="7">
        <v>0.16900000000000001</v>
      </c>
      <c r="AO1006" s="7">
        <v>0.13</v>
      </c>
      <c r="AP1006" s="7">
        <v>0.109</v>
      </c>
      <c r="AQ1006" s="7">
        <v>9.9000000000000005E-2</v>
      </c>
      <c r="AR1006" s="7">
        <v>7.0999999999999994E-2</v>
      </c>
      <c r="AS1006" s="7">
        <v>6.8000000000000005E-2</v>
      </c>
      <c r="AT1006" s="7">
        <v>4.1580000000000004</v>
      </c>
    </row>
    <row r="1007" spans="1:46" x14ac:dyDescent="0.25">
      <c r="A1007" s="4" t="s">
        <v>194</v>
      </c>
      <c r="B1007" s="4" t="s">
        <v>207</v>
      </c>
      <c r="C1007" s="4" t="s">
        <v>246</v>
      </c>
      <c r="D1007" s="4" t="s">
        <v>263</v>
      </c>
      <c r="E1007" s="4" t="s">
        <v>248</v>
      </c>
      <c r="F1007" s="4" t="s">
        <v>195</v>
      </c>
      <c r="G1007" s="4" t="s">
        <v>71</v>
      </c>
      <c r="H1007" s="4" t="s">
        <v>250</v>
      </c>
      <c r="I1007" s="7">
        <v>48.084000000000003</v>
      </c>
      <c r="J1007" s="7">
        <v>49.201999999999998</v>
      </c>
      <c r="K1007" s="7">
        <v>49.947000000000003</v>
      </c>
      <c r="L1007" s="7">
        <v>61.351999999999997</v>
      </c>
      <c r="M1007" s="7">
        <v>64.334999999999994</v>
      </c>
      <c r="N1007" s="7">
        <v>57.404000000000003</v>
      </c>
      <c r="O1007" s="7">
        <v>53.777000000000001</v>
      </c>
      <c r="P1007" s="7">
        <v>50.951999999999998</v>
      </c>
      <c r="Q1007" s="7">
        <v>44.875999999999998</v>
      </c>
      <c r="R1007" s="7">
        <v>39.249000000000002</v>
      </c>
      <c r="S1007" s="7">
        <v>43.351999999999997</v>
      </c>
      <c r="T1007" s="7">
        <v>41.823999999999998</v>
      </c>
      <c r="U1007" s="7">
        <v>42.406999999999996</v>
      </c>
      <c r="V1007" s="7">
        <v>39.456000000000003</v>
      </c>
      <c r="W1007" s="7">
        <v>44.308</v>
      </c>
      <c r="X1007" s="7">
        <v>47.631</v>
      </c>
      <c r="Y1007" s="7">
        <v>54.290999999999997</v>
      </c>
      <c r="Z1007" s="7">
        <v>60.457000000000001</v>
      </c>
      <c r="AA1007" s="7">
        <v>57.411000000000001</v>
      </c>
      <c r="AB1007" s="7">
        <v>50.008000000000003</v>
      </c>
      <c r="AC1007" s="7">
        <v>53.604999999999997</v>
      </c>
      <c r="AD1007" s="7">
        <v>46.866</v>
      </c>
      <c r="AE1007" s="7">
        <v>44.094000000000001</v>
      </c>
      <c r="AF1007" s="7">
        <v>39.485999999999997</v>
      </c>
      <c r="AG1007" s="7">
        <v>37.698</v>
      </c>
      <c r="AH1007" s="7">
        <v>42.101999999999997</v>
      </c>
      <c r="AI1007" s="7">
        <v>49.238999999999997</v>
      </c>
      <c r="AJ1007" s="7">
        <v>59.195</v>
      </c>
      <c r="AK1007" s="7">
        <v>65.088999999999999</v>
      </c>
      <c r="AL1007" s="7">
        <v>54.582000000000001</v>
      </c>
      <c r="AM1007" s="7">
        <v>55.093000000000004</v>
      </c>
      <c r="AN1007" s="7">
        <v>54.493000000000002</v>
      </c>
      <c r="AO1007" s="7">
        <v>50.792000000000002</v>
      </c>
      <c r="AP1007" s="7">
        <v>41.575000000000003</v>
      </c>
      <c r="AQ1007" s="7">
        <v>36.365000000000002</v>
      </c>
      <c r="AR1007" s="7">
        <v>36.914000000000001</v>
      </c>
      <c r="AS1007" s="7">
        <v>40.048000000000002</v>
      </c>
      <c r="AT1007" s="5">
        <v>52650.688999999998</v>
      </c>
    </row>
    <row r="1008" spans="1:46" x14ac:dyDescent="0.25">
      <c r="A1008" s="4" t="s">
        <v>194</v>
      </c>
      <c r="B1008" s="4" t="s">
        <v>207</v>
      </c>
      <c r="C1008" s="4" t="s">
        <v>246</v>
      </c>
      <c r="D1008" s="4" t="s">
        <v>263</v>
      </c>
      <c r="E1008" s="4" t="s">
        <v>248</v>
      </c>
      <c r="F1008" s="4" t="s">
        <v>195</v>
      </c>
      <c r="G1008" s="4" t="s">
        <v>71</v>
      </c>
      <c r="H1008" s="4" t="s">
        <v>251</v>
      </c>
      <c r="I1008" s="7">
        <v>29.9063987</v>
      </c>
      <c r="J1008" s="7">
        <v>31.0109432</v>
      </c>
      <c r="K1008" s="7">
        <v>31.696059300000002</v>
      </c>
      <c r="L1008" s="7">
        <v>34.553454600000002</v>
      </c>
      <c r="M1008" s="7">
        <v>36.410006299999999</v>
      </c>
      <c r="N1008" s="7">
        <v>30.5986783</v>
      </c>
      <c r="O1008" s="7">
        <v>28.624519100000001</v>
      </c>
      <c r="P1008" s="7">
        <v>30.575703900000001</v>
      </c>
      <c r="Q1008" s="7">
        <v>29.205247</v>
      </c>
      <c r="R1008" s="7">
        <v>26.8482789</v>
      </c>
      <c r="S1008" s="7">
        <v>27.237945700000001</v>
      </c>
      <c r="T1008" s="7">
        <v>25.337215</v>
      </c>
      <c r="U1008" s="7">
        <v>25.914035500000001</v>
      </c>
      <c r="V1008" s="7">
        <v>25.6245826</v>
      </c>
      <c r="W1008" s="7">
        <v>28.414622399999999</v>
      </c>
      <c r="X1008" s="7">
        <v>29.611290799999999</v>
      </c>
      <c r="Y1008" s="7">
        <v>30.353373099999999</v>
      </c>
      <c r="Z1008" s="7">
        <v>34.764647799999999</v>
      </c>
      <c r="AA1008" s="7">
        <v>34.473482500000003</v>
      </c>
      <c r="AB1008" s="7">
        <v>32.408360700000003</v>
      </c>
      <c r="AC1008" s="7">
        <v>30.929759700000002</v>
      </c>
      <c r="AD1008" s="7">
        <v>28.561544600000001</v>
      </c>
      <c r="AE1008" s="7">
        <v>26.168400500000001</v>
      </c>
      <c r="AF1008" s="7">
        <v>22.261248500000001</v>
      </c>
      <c r="AG1008" s="7">
        <v>21.544301900000001</v>
      </c>
      <c r="AH1008" s="7">
        <v>23.507626999999999</v>
      </c>
      <c r="AI1008" s="7">
        <v>28.472008500000001</v>
      </c>
      <c r="AJ1008" s="7">
        <v>32.359532999999999</v>
      </c>
      <c r="AK1008" s="7">
        <v>36.0146382</v>
      </c>
      <c r="AL1008" s="7">
        <v>33.949078999999998</v>
      </c>
      <c r="AM1008" s="7">
        <v>33.756710699999999</v>
      </c>
      <c r="AN1008" s="7">
        <v>32.9512675</v>
      </c>
      <c r="AO1008" s="7">
        <v>30.9543781</v>
      </c>
      <c r="AP1008" s="7">
        <v>27.103708699999999</v>
      </c>
      <c r="AQ1008" s="7">
        <v>26.142634399999999</v>
      </c>
      <c r="AR1008" s="7">
        <v>23.634748699999999</v>
      </c>
      <c r="AS1008" s="7">
        <v>25.5064116</v>
      </c>
      <c r="AT1008" s="7">
        <v>40.048000000000002</v>
      </c>
    </row>
    <row r="1009" spans="1:46" x14ac:dyDescent="0.25">
      <c r="A1009" s="4" t="s">
        <v>194</v>
      </c>
      <c r="B1009" s="4" t="s">
        <v>207</v>
      </c>
      <c r="C1009" s="4" t="s">
        <v>246</v>
      </c>
      <c r="D1009" s="4" t="s">
        <v>263</v>
      </c>
      <c r="E1009" s="4" t="s">
        <v>248</v>
      </c>
      <c r="F1009" s="4" t="s">
        <v>195</v>
      </c>
      <c r="G1009" s="4" t="s">
        <v>71</v>
      </c>
      <c r="H1009" s="4" t="s">
        <v>252</v>
      </c>
      <c r="I1009" s="16">
        <v>3.28</v>
      </c>
      <c r="J1009" s="16">
        <v>2.4980000000000002</v>
      </c>
      <c r="K1009" s="16">
        <v>2.1720000000000002</v>
      </c>
      <c r="L1009" s="16">
        <v>3.4510000000000001</v>
      </c>
      <c r="M1009" s="16">
        <v>2.4649999999999999</v>
      </c>
      <c r="N1009" s="16">
        <v>1.647</v>
      </c>
      <c r="O1009" s="16">
        <v>1.3620000000000001</v>
      </c>
      <c r="P1009" s="16">
        <v>2.6789999999999998</v>
      </c>
      <c r="Q1009" s="16">
        <v>2.3039999999999998</v>
      </c>
      <c r="R1009" s="16">
        <v>2.3450000000000002</v>
      </c>
      <c r="S1009" s="16">
        <v>2.2210000000000001</v>
      </c>
      <c r="T1009" s="16">
        <v>2.0169999999999999</v>
      </c>
      <c r="U1009" s="16">
        <v>2.169</v>
      </c>
      <c r="V1009" s="16">
        <v>1.661</v>
      </c>
      <c r="W1009" s="16">
        <v>2.117</v>
      </c>
      <c r="X1009" s="16">
        <v>2.2490000000000001</v>
      </c>
      <c r="Y1009" s="16">
        <v>2.6909999999999998</v>
      </c>
      <c r="Z1009" s="16">
        <v>2.4689999999999999</v>
      </c>
      <c r="AA1009" s="16">
        <v>2.851</v>
      </c>
      <c r="AB1009" s="16">
        <v>2.7320000000000002</v>
      </c>
      <c r="AC1009" s="16">
        <v>2.7469999999999999</v>
      </c>
      <c r="AD1009" s="16">
        <v>2.8050000000000002</v>
      </c>
      <c r="AE1009" s="16">
        <v>2.2850000000000001</v>
      </c>
      <c r="AF1009" s="16">
        <v>2.4249999999999998</v>
      </c>
      <c r="AG1009" s="16">
        <v>2.1259999999999999</v>
      </c>
      <c r="AH1009" s="16">
        <v>3.399</v>
      </c>
      <c r="AI1009" s="16">
        <v>3.3439999999999999</v>
      </c>
      <c r="AJ1009" s="16">
        <v>2.8290000000000002</v>
      </c>
      <c r="AK1009" s="16">
        <v>2.5219999999999998</v>
      </c>
      <c r="AL1009" s="16">
        <v>3.1779999999999999</v>
      </c>
      <c r="AM1009" s="16">
        <v>2.722</v>
      </c>
      <c r="AN1009" s="16">
        <v>2.2949999999999999</v>
      </c>
      <c r="AO1009" s="16">
        <v>2.258</v>
      </c>
      <c r="AP1009" s="16">
        <v>2.2189999999999999</v>
      </c>
      <c r="AQ1009" s="16">
        <v>1.998</v>
      </c>
      <c r="AR1009" s="16">
        <v>1.9650000000000001</v>
      </c>
      <c r="AS1009" s="16">
        <v>2.2610000000000001</v>
      </c>
      <c r="AT1009" s="7">
        <v>25.5064116</v>
      </c>
    </row>
    <row r="1010" spans="1:46" x14ac:dyDescent="0.25">
      <c r="A1010" s="4" t="s">
        <v>194</v>
      </c>
      <c r="B1010" s="4" t="s">
        <v>207</v>
      </c>
      <c r="C1010" s="4" t="s">
        <v>246</v>
      </c>
      <c r="D1010" s="4" t="s">
        <v>263</v>
      </c>
      <c r="E1010" s="4" t="s">
        <v>248</v>
      </c>
      <c r="F1010" s="4" t="s">
        <v>195</v>
      </c>
      <c r="G1010" s="4" t="s">
        <v>76</v>
      </c>
      <c r="H1010" s="4" t="s">
        <v>151</v>
      </c>
      <c r="I1010" s="5">
        <v>503.69799999999998</v>
      </c>
      <c r="J1010" s="5">
        <v>1096.828</v>
      </c>
      <c r="K1010" s="5">
        <v>1000.8390000000001</v>
      </c>
      <c r="L1010" s="5">
        <v>1462.0139999999999</v>
      </c>
      <c r="M1010" s="5">
        <v>1770.68</v>
      </c>
      <c r="N1010" s="5">
        <v>1549.9259999999999</v>
      </c>
      <c r="O1010" s="5">
        <v>867.56299999999999</v>
      </c>
      <c r="P1010" s="5">
        <v>781.42200000000003</v>
      </c>
      <c r="Q1010" s="5">
        <v>463.233</v>
      </c>
      <c r="R1010" s="5">
        <v>192.94300000000001</v>
      </c>
      <c r="S1010" s="5">
        <v>221.768</v>
      </c>
      <c r="T1010" s="5">
        <v>266.91800000000001</v>
      </c>
      <c r="U1010" s="5">
        <v>583.40499999999997</v>
      </c>
      <c r="V1010" s="5">
        <v>1075.4770000000001</v>
      </c>
      <c r="W1010" s="5">
        <v>1370.1959999999999</v>
      </c>
      <c r="X1010" s="5">
        <v>2110.2159999999999</v>
      </c>
      <c r="Y1010" s="5">
        <v>2657.2739999999999</v>
      </c>
      <c r="Z1010" s="5">
        <v>1809.586</v>
      </c>
      <c r="AA1010" s="5">
        <v>1585.9159999999999</v>
      </c>
      <c r="AB1010" s="5">
        <v>1270.711</v>
      </c>
      <c r="AC1010" s="5">
        <v>948.00099999999998</v>
      </c>
      <c r="AD1010" s="5">
        <v>629.18899999999996</v>
      </c>
      <c r="AE1010" s="5">
        <v>336.37599999999998</v>
      </c>
      <c r="AF1010" s="5">
        <v>266.32400000000001</v>
      </c>
      <c r="AG1010" s="5">
        <v>453.11799999999999</v>
      </c>
      <c r="AH1010" s="5">
        <v>727.77599999999995</v>
      </c>
      <c r="AI1010" s="5">
        <v>1292.6590000000001</v>
      </c>
      <c r="AJ1010" s="5">
        <v>2687.5839999999998</v>
      </c>
      <c r="AK1010" s="5">
        <v>3512.8049999999998</v>
      </c>
      <c r="AL1010" s="5">
        <v>2960.44</v>
      </c>
      <c r="AM1010" s="5">
        <v>2674.3879999999999</v>
      </c>
      <c r="AN1010" s="5">
        <v>2417.6109999999999</v>
      </c>
      <c r="AO1010" s="5">
        <v>1979.8589999999999</v>
      </c>
      <c r="AP1010" s="5">
        <v>1360.931</v>
      </c>
      <c r="AQ1010" s="5">
        <v>847.25699999999995</v>
      </c>
      <c r="AR1010" s="5">
        <v>768.048</v>
      </c>
      <c r="AS1010" s="5">
        <v>879.59500000000003</v>
      </c>
      <c r="AT1010" s="5">
        <v>879.59500000000003</v>
      </c>
    </row>
    <row r="1011" spans="1:46" x14ac:dyDescent="0.25">
      <c r="A1011" s="4" t="s">
        <v>194</v>
      </c>
      <c r="B1011" s="4" t="s">
        <v>207</v>
      </c>
      <c r="C1011" s="4" t="s">
        <v>246</v>
      </c>
      <c r="D1011" s="4" t="s">
        <v>263</v>
      </c>
      <c r="E1011" s="4" t="s">
        <v>248</v>
      </c>
      <c r="F1011" s="4" t="s">
        <v>195</v>
      </c>
      <c r="G1011" s="4" t="s">
        <v>76</v>
      </c>
      <c r="H1011" s="4" t="s">
        <v>205</v>
      </c>
      <c r="I1011" s="6">
        <v>137125.875</v>
      </c>
      <c r="J1011" s="6">
        <v>306601.18300000002</v>
      </c>
      <c r="K1011" s="6">
        <v>294113.326</v>
      </c>
      <c r="L1011" s="6">
        <v>415877.054</v>
      </c>
      <c r="M1011" s="6">
        <v>474440.71500000003</v>
      </c>
      <c r="N1011" s="6">
        <v>405299.674</v>
      </c>
      <c r="O1011" s="6">
        <v>250031.53400000001</v>
      </c>
      <c r="P1011" s="6">
        <v>205455.63</v>
      </c>
      <c r="Q1011" s="6">
        <v>125771.792</v>
      </c>
      <c r="R1011" s="6">
        <v>52640.983</v>
      </c>
      <c r="S1011" s="6">
        <v>69415.618000000002</v>
      </c>
      <c r="T1011" s="6">
        <v>78941.25</v>
      </c>
      <c r="U1011" s="6">
        <v>154912.033</v>
      </c>
      <c r="V1011" s="6">
        <v>299028.65600000002</v>
      </c>
      <c r="W1011" s="6">
        <v>381111.12400000001</v>
      </c>
      <c r="X1011" s="6">
        <v>589543.52899999998</v>
      </c>
      <c r="Y1011" s="6">
        <v>790448.62600000005</v>
      </c>
      <c r="Z1011" s="6">
        <v>534237.76</v>
      </c>
      <c r="AA1011" s="6">
        <v>480515.00400000002</v>
      </c>
      <c r="AB1011" s="6">
        <v>376766.837</v>
      </c>
      <c r="AC1011" s="6">
        <v>285732.19900000002</v>
      </c>
      <c r="AD1011" s="6">
        <v>186604.71799999999</v>
      </c>
      <c r="AE1011" s="6">
        <v>97420.149000000005</v>
      </c>
      <c r="AF1011" s="6">
        <v>79604.990000000005</v>
      </c>
      <c r="AG1011" s="6">
        <v>126657.497</v>
      </c>
      <c r="AH1011" s="6">
        <v>218010.68799999999</v>
      </c>
      <c r="AI1011" s="6">
        <v>399974.10200000001</v>
      </c>
      <c r="AJ1011" s="6">
        <v>828222.92200000002</v>
      </c>
      <c r="AK1011" s="6">
        <v>1101519.912</v>
      </c>
      <c r="AL1011" s="6">
        <v>926406.05</v>
      </c>
      <c r="AM1011" s="6">
        <v>854016.50399999996</v>
      </c>
      <c r="AN1011" s="6">
        <v>789249.86899999995</v>
      </c>
      <c r="AO1011" s="6">
        <v>626147.53899999999</v>
      </c>
      <c r="AP1011" s="6">
        <v>425436.42800000001</v>
      </c>
      <c r="AQ1011" s="6">
        <v>254994.52600000001</v>
      </c>
      <c r="AR1011" s="6">
        <v>235281.671</v>
      </c>
      <c r="AS1011" s="6">
        <v>279599.712</v>
      </c>
      <c r="AT1011" s="6">
        <v>279599.712</v>
      </c>
    </row>
    <row r="1012" spans="1:46" x14ac:dyDescent="0.25">
      <c r="A1012" s="4" t="s">
        <v>194</v>
      </c>
      <c r="B1012" s="4" t="s">
        <v>207</v>
      </c>
      <c r="C1012" s="4" t="s">
        <v>246</v>
      </c>
      <c r="D1012" s="4" t="s">
        <v>263</v>
      </c>
      <c r="E1012" s="4" t="s">
        <v>248</v>
      </c>
      <c r="F1012" s="4" t="s">
        <v>195</v>
      </c>
      <c r="G1012" s="4" t="s">
        <v>76</v>
      </c>
      <c r="H1012" s="4" t="s">
        <v>249</v>
      </c>
      <c r="I1012" s="7">
        <v>0.121</v>
      </c>
      <c r="J1012" s="7">
        <v>0.193</v>
      </c>
      <c r="K1012" s="7">
        <v>0.14199999999999999</v>
      </c>
      <c r="L1012" s="7">
        <v>0.161</v>
      </c>
      <c r="M1012" s="7">
        <v>0.16200000000000001</v>
      </c>
      <c r="N1012" s="7">
        <v>0.13100000000000001</v>
      </c>
      <c r="O1012" s="7">
        <v>0.08</v>
      </c>
      <c r="P1012" s="7">
        <v>9.1999999999999998E-2</v>
      </c>
      <c r="Q1012" s="7">
        <v>7.5999999999999998E-2</v>
      </c>
      <c r="R1012" s="7">
        <v>4.2999999999999997E-2</v>
      </c>
      <c r="S1012" s="7">
        <v>5.7000000000000002E-2</v>
      </c>
      <c r="T1012" s="7">
        <v>7.0999999999999994E-2</v>
      </c>
      <c r="U1012" s="7">
        <v>0.14499999999999999</v>
      </c>
      <c r="V1012" s="7">
        <v>0.21199999999999999</v>
      </c>
      <c r="W1012" s="7">
        <v>0.19400000000000001</v>
      </c>
      <c r="X1012" s="7">
        <v>0.24199999999999999</v>
      </c>
      <c r="Y1012" s="7">
        <v>0.255</v>
      </c>
      <c r="Z1012" s="7">
        <v>0.19</v>
      </c>
      <c r="AA1012" s="7">
        <v>0.154</v>
      </c>
      <c r="AB1012" s="7">
        <v>0.155</v>
      </c>
      <c r="AC1012" s="7">
        <v>0.13700000000000001</v>
      </c>
      <c r="AD1012" s="7">
        <v>0.108</v>
      </c>
      <c r="AE1012" s="7">
        <v>7.0999999999999994E-2</v>
      </c>
      <c r="AF1012" s="7">
        <v>7.0000000000000007E-2</v>
      </c>
      <c r="AG1012" s="7">
        <v>0.111</v>
      </c>
      <c r="AH1012" s="7">
        <v>0.14599999999999999</v>
      </c>
      <c r="AI1012" s="7">
        <v>0.20300000000000001</v>
      </c>
      <c r="AJ1012" s="7">
        <v>0.28899999999999998</v>
      </c>
      <c r="AK1012" s="7">
        <v>0.32800000000000001</v>
      </c>
      <c r="AL1012" s="7">
        <v>0.24099999999999999</v>
      </c>
      <c r="AM1012" s="7">
        <v>0.193</v>
      </c>
      <c r="AN1012" s="7">
        <v>0.17799999999999999</v>
      </c>
      <c r="AO1012" s="7">
        <v>0.19500000000000001</v>
      </c>
      <c r="AP1012" s="7">
        <v>0.17</v>
      </c>
      <c r="AQ1012" s="7">
        <v>0.14399999999999999</v>
      </c>
      <c r="AR1012" s="7">
        <v>0.19400000000000001</v>
      </c>
      <c r="AS1012" s="7">
        <v>0.27100000000000002</v>
      </c>
      <c r="AT1012" s="7">
        <v>0.36699999999999999</v>
      </c>
    </row>
    <row r="1013" spans="1:46" x14ac:dyDescent="0.25">
      <c r="A1013" s="4" t="s">
        <v>194</v>
      </c>
      <c r="B1013" s="4" t="s">
        <v>207</v>
      </c>
      <c r="C1013" s="4" t="s">
        <v>246</v>
      </c>
      <c r="D1013" s="4" t="s">
        <v>263</v>
      </c>
      <c r="E1013" s="4" t="s">
        <v>248</v>
      </c>
      <c r="F1013" s="4" t="s">
        <v>195</v>
      </c>
      <c r="G1013" s="4" t="s">
        <v>76</v>
      </c>
      <c r="H1013" s="4" t="s">
        <v>250</v>
      </c>
      <c r="I1013" s="7">
        <v>24.9</v>
      </c>
      <c r="J1013" s="7">
        <v>26.323</v>
      </c>
      <c r="K1013" s="7">
        <v>30.093</v>
      </c>
      <c r="L1013" s="7">
        <v>34.557000000000002</v>
      </c>
      <c r="M1013" s="7">
        <v>35.271999999999998</v>
      </c>
      <c r="N1013" s="7">
        <v>32.442999999999998</v>
      </c>
      <c r="O1013" s="7">
        <v>33.643000000000001</v>
      </c>
      <c r="P1013" s="7">
        <v>33.826000000000001</v>
      </c>
      <c r="Q1013" s="7">
        <v>34.32</v>
      </c>
      <c r="R1013" s="7">
        <v>28.895</v>
      </c>
      <c r="S1013" s="7">
        <v>32.244999999999997</v>
      </c>
      <c r="T1013" s="7">
        <v>36.402000000000001</v>
      </c>
      <c r="U1013" s="7">
        <v>44.112000000000002</v>
      </c>
      <c r="V1013" s="7">
        <v>46.945</v>
      </c>
      <c r="W1013" s="7">
        <v>46.936999999999998</v>
      </c>
      <c r="X1013" s="7">
        <v>48.063000000000002</v>
      </c>
      <c r="Y1013" s="7">
        <v>49.789000000000001</v>
      </c>
      <c r="Z1013" s="7">
        <v>49.470999999999997</v>
      </c>
      <c r="AA1013" s="7">
        <v>46.335999999999999</v>
      </c>
      <c r="AB1013" s="7">
        <v>47.469000000000001</v>
      </c>
      <c r="AC1013" s="7">
        <v>44.463999999999999</v>
      </c>
      <c r="AD1013" s="7">
        <v>39.716000000000001</v>
      </c>
      <c r="AE1013" s="7">
        <v>37.548999999999999</v>
      </c>
      <c r="AF1013" s="7">
        <v>34.966999999999999</v>
      </c>
      <c r="AG1013" s="7">
        <v>33.137999999999998</v>
      </c>
      <c r="AH1013" s="7">
        <v>52.722999999999999</v>
      </c>
      <c r="AI1013" s="7">
        <v>54.814999999999998</v>
      </c>
      <c r="AJ1013" s="7">
        <v>65.378</v>
      </c>
      <c r="AK1013" s="7">
        <v>68.355000000000004</v>
      </c>
      <c r="AL1013" s="7">
        <v>66.626000000000005</v>
      </c>
      <c r="AM1013" s="7">
        <v>65.537999999999997</v>
      </c>
      <c r="AN1013" s="7">
        <v>61.072000000000003</v>
      </c>
      <c r="AO1013" s="7">
        <v>56.106999999999999</v>
      </c>
      <c r="AP1013" s="7">
        <v>50.360999999999997</v>
      </c>
      <c r="AQ1013" s="7">
        <v>46.941000000000003</v>
      </c>
      <c r="AR1013" s="7">
        <v>49.472000000000001</v>
      </c>
      <c r="AS1013" s="7">
        <v>51.759</v>
      </c>
      <c r="AT1013" s="5">
        <v>2517.6529999999998</v>
      </c>
    </row>
    <row r="1014" spans="1:46" x14ac:dyDescent="0.25">
      <c r="A1014" s="4" t="s">
        <v>194</v>
      </c>
      <c r="B1014" s="4" t="s">
        <v>207</v>
      </c>
      <c r="C1014" s="4" t="s">
        <v>246</v>
      </c>
      <c r="D1014" s="4" t="s">
        <v>263</v>
      </c>
      <c r="E1014" s="4" t="s">
        <v>248</v>
      </c>
      <c r="F1014" s="4" t="s">
        <v>195</v>
      </c>
      <c r="G1014" s="4" t="s">
        <v>76</v>
      </c>
      <c r="H1014" s="4" t="s">
        <v>251</v>
      </c>
      <c r="I1014" s="7">
        <v>10.1049834</v>
      </c>
      <c r="J1014" s="7">
        <v>10.8093901</v>
      </c>
      <c r="K1014" s="7">
        <v>13.2805576</v>
      </c>
      <c r="L1014" s="7">
        <v>13.323960700000001</v>
      </c>
      <c r="M1014" s="7">
        <v>14.753014</v>
      </c>
      <c r="N1014" s="7">
        <v>15.5851924</v>
      </c>
      <c r="O1014" s="7">
        <v>15.570793200000001</v>
      </c>
      <c r="P1014" s="7">
        <v>16.018785300000001</v>
      </c>
      <c r="Q1014" s="7">
        <v>15.1226556</v>
      </c>
      <c r="R1014" s="7">
        <v>14.220875400000001</v>
      </c>
      <c r="S1014" s="7">
        <v>13.796175699999999</v>
      </c>
      <c r="T1014" s="7">
        <v>14.8575815</v>
      </c>
      <c r="U1014" s="7">
        <v>17.298188100000001</v>
      </c>
      <c r="V1014" s="7">
        <v>18.854237000000001</v>
      </c>
      <c r="W1014" s="7">
        <v>20.2259654</v>
      </c>
      <c r="X1014" s="7">
        <v>21.201697100000001</v>
      </c>
      <c r="Y1014" s="7">
        <v>22.051445300000001</v>
      </c>
      <c r="Z1014" s="7">
        <v>24.635883799999998</v>
      </c>
      <c r="AA1014" s="7">
        <v>23.581668799999999</v>
      </c>
      <c r="AB1014" s="7">
        <v>25.1239566</v>
      </c>
      <c r="AC1014" s="7">
        <v>23.8970688</v>
      </c>
      <c r="AD1014" s="7">
        <v>21.580638199999999</v>
      </c>
      <c r="AE1014" s="7">
        <v>18.935216700000002</v>
      </c>
      <c r="AF1014" s="7">
        <v>18.336971500000001</v>
      </c>
      <c r="AG1014" s="7">
        <v>20.060116099999998</v>
      </c>
      <c r="AH1014" s="7">
        <v>26.2532584</v>
      </c>
      <c r="AI1014" s="7">
        <v>28.673826300000002</v>
      </c>
      <c r="AJ1014" s="7">
        <v>34.083770899999998</v>
      </c>
      <c r="AK1014" s="7">
        <v>35.714925399999998</v>
      </c>
      <c r="AL1014" s="7">
        <v>35.462059500000002</v>
      </c>
      <c r="AM1014" s="7">
        <v>34.497095600000002</v>
      </c>
      <c r="AN1014" s="7">
        <v>33.213045800000003</v>
      </c>
      <c r="AO1014" s="7">
        <v>33.380064500000003</v>
      </c>
      <c r="AP1014" s="7">
        <v>32.065985699999999</v>
      </c>
      <c r="AQ1014" s="7">
        <v>28.573782699999999</v>
      </c>
      <c r="AR1014" s="7">
        <v>27.310528900000001</v>
      </c>
      <c r="AS1014" s="7">
        <v>27.546560100000001</v>
      </c>
      <c r="AT1014" s="7">
        <v>51.759</v>
      </c>
    </row>
    <row r="1015" spans="1:46" x14ac:dyDescent="0.25">
      <c r="A1015" s="4" t="s">
        <v>194</v>
      </c>
      <c r="B1015" s="4" t="s">
        <v>207</v>
      </c>
      <c r="C1015" s="4" t="s">
        <v>246</v>
      </c>
      <c r="D1015" s="4" t="s">
        <v>263</v>
      </c>
      <c r="E1015" s="4" t="s">
        <v>248</v>
      </c>
      <c r="F1015" s="4" t="s">
        <v>195</v>
      </c>
      <c r="G1015" s="4" t="s">
        <v>76</v>
      </c>
      <c r="H1015" s="4" t="s">
        <v>252</v>
      </c>
      <c r="I1015" s="16">
        <v>1.0880000000000001</v>
      </c>
      <c r="J1015" s="16">
        <v>0.63100000000000001</v>
      </c>
      <c r="K1015" s="16">
        <v>0.45100000000000001</v>
      </c>
      <c r="L1015" s="16">
        <v>0.48699999999999999</v>
      </c>
      <c r="M1015" s="16">
        <v>0.58399999999999996</v>
      </c>
      <c r="N1015" s="16">
        <v>0.69799999999999995</v>
      </c>
      <c r="O1015" s="16">
        <v>0.749</v>
      </c>
      <c r="P1015" s="16">
        <v>0.72499999999999998</v>
      </c>
      <c r="Q1015" s="16">
        <v>0.70499999999999996</v>
      </c>
      <c r="R1015" s="16">
        <v>0.79500000000000004</v>
      </c>
      <c r="S1015" s="16">
        <v>0.77500000000000002</v>
      </c>
      <c r="T1015" s="16">
        <v>0.73699999999999999</v>
      </c>
      <c r="U1015" s="16">
        <v>1.0469999999999999</v>
      </c>
      <c r="V1015" s="16">
        <v>1.1379999999999999</v>
      </c>
      <c r="W1015" s="16">
        <v>1.1040000000000001</v>
      </c>
      <c r="X1015" s="16">
        <v>1.1020000000000001</v>
      </c>
      <c r="Y1015" s="16">
        <v>1.248</v>
      </c>
      <c r="Z1015" s="16">
        <v>1.232</v>
      </c>
      <c r="AA1015" s="16">
        <v>1.0389999999999999</v>
      </c>
      <c r="AB1015" s="16">
        <v>1</v>
      </c>
      <c r="AC1015" s="16">
        <v>0.98099999999999998</v>
      </c>
      <c r="AD1015" s="16">
        <v>0.97199999999999998</v>
      </c>
      <c r="AE1015" s="16">
        <v>0.95899999999999996</v>
      </c>
      <c r="AF1015" s="16">
        <v>1.052</v>
      </c>
      <c r="AG1015" s="16">
        <v>1.0589999999999999</v>
      </c>
      <c r="AH1015" s="16">
        <v>1.095</v>
      </c>
      <c r="AI1015" s="16">
        <v>0.97499999999999998</v>
      </c>
      <c r="AJ1015" s="16">
        <v>0.996</v>
      </c>
      <c r="AK1015" s="16">
        <v>1.2669999999999999</v>
      </c>
      <c r="AL1015" s="16">
        <v>1.0980000000000001</v>
      </c>
      <c r="AM1015" s="16">
        <v>1.1779999999999999</v>
      </c>
      <c r="AN1015" s="16">
        <v>1.478</v>
      </c>
      <c r="AO1015" s="16">
        <v>1.3959999999999999</v>
      </c>
      <c r="AP1015" s="16">
        <v>1.3029999999999999</v>
      </c>
      <c r="AQ1015" s="16">
        <v>1.3260000000000001</v>
      </c>
      <c r="AR1015" s="16">
        <v>1.282</v>
      </c>
      <c r="AS1015" s="16">
        <v>1.224</v>
      </c>
      <c r="AT1015" s="7">
        <v>27.546560100000001</v>
      </c>
    </row>
    <row r="1016" spans="1:46" x14ac:dyDescent="0.25">
      <c r="A1016" s="4" t="s">
        <v>194</v>
      </c>
      <c r="B1016" s="4" t="s">
        <v>207</v>
      </c>
      <c r="C1016" s="4" t="s">
        <v>246</v>
      </c>
      <c r="D1016" s="4" t="s">
        <v>263</v>
      </c>
      <c r="E1016" s="4" t="s">
        <v>248</v>
      </c>
      <c r="F1016" s="4" t="s">
        <v>195</v>
      </c>
      <c r="G1016" s="4" t="s">
        <v>85</v>
      </c>
      <c r="H1016" s="4" t="s">
        <v>151</v>
      </c>
      <c r="I1016" s="5">
        <v>2385.6</v>
      </c>
      <c r="J1016" s="5">
        <v>4117.75</v>
      </c>
      <c r="K1016" s="5">
        <v>7025.5929999999998</v>
      </c>
      <c r="L1016" s="5">
        <v>8197.1489999999994</v>
      </c>
      <c r="M1016" s="5">
        <v>12295.029</v>
      </c>
      <c r="N1016" s="5">
        <v>13682.653</v>
      </c>
      <c r="O1016" s="5">
        <v>10154.311</v>
      </c>
      <c r="P1016" s="5">
        <v>8616.3979999999992</v>
      </c>
      <c r="Q1016" s="5">
        <v>4913.79</v>
      </c>
      <c r="R1016" s="5">
        <v>3424.076</v>
      </c>
      <c r="S1016" s="5">
        <v>2819.0169999999998</v>
      </c>
      <c r="T1016" s="5">
        <v>2084.8850000000002</v>
      </c>
      <c r="U1016" s="5">
        <v>2546.433</v>
      </c>
      <c r="V1016" s="5">
        <v>3072.9659999999999</v>
      </c>
      <c r="W1016" s="5">
        <v>6346.7640000000001</v>
      </c>
      <c r="X1016" s="5">
        <v>9710.1239999999998</v>
      </c>
      <c r="Y1016" s="5">
        <v>10127.194</v>
      </c>
      <c r="Z1016" s="5">
        <v>8976.44</v>
      </c>
      <c r="AA1016" s="5">
        <v>7904.4830000000002</v>
      </c>
      <c r="AB1016" s="5">
        <v>6414.24</v>
      </c>
      <c r="AC1016" s="5">
        <v>6137.0990000000002</v>
      </c>
      <c r="AD1016" s="5">
        <v>4632.25</v>
      </c>
      <c r="AE1016" s="5">
        <v>3516.663</v>
      </c>
      <c r="AF1016" s="5">
        <v>2446.009</v>
      </c>
      <c r="AG1016" s="5">
        <v>2590.8290000000002</v>
      </c>
      <c r="AH1016" s="5">
        <v>3203.1419999999998</v>
      </c>
      <c r="AI1016" s="5">
        <v>5399.0119999999997</v>
      </c>
      <c r="AJ1016" s="5">
        <v>8236.7880000000005</v>
      </c>
      <c r="AK1016" s="5">
        <v>13292.751</v>
      </c>
      <c r="AL1016" s="5">
        <v>14596.2</v>
      </c>
      <c r="AM1016" s="5">
        <v>18059.304</v>
      </c>
      <c r="AN1016" s="5">
        <v>17840.948</v>
      </c>
      <c r="AO1016" s="5">
        <v>12994.325999999999</v>
      </c>
      <c r="AP1016" s="5">
        <v>9385.3870000000006</v>
      </c>
      <c r="AQ1016" s="5">
        <v>5349.8940000000002</v>
      </c>
      <c r="AR1016" s="5">
        <v>3863.2910000000002</v>
      </c>
      <c r="AS1016" s="5">
        <v>3258.3009999999999</v>
      </c>
      <c r="AT1016" s="5">
        <v>57678.951999999997</v>
      </c>
    </row>
    <row r="1017" spans="1:46" x14ac:dyDescent="0.25">
      <c r="A1017" s="4" t="s">
        <v>194</v>
      </c>
      <c r="B1017" s="4" t="s">
        <v>207</v>
      </c>
      <c r="C1017" s="4" t="s">
        <v>246</v>
      </c>
      <c r="D1017" s="4" t="s">
        <v>263</v>
      </c>
      <c r="E1017" s="4" t="s">
        <v>248</v>
      </c>
      <c r="F1017" s="4" t="s">
        <v>195</v>
      </c>
      <c r="G1017" s="4" t="s">
        <v>85</v>
      </c>
      <c r="H1017" s="4" t="s">
        <v>205</v>
      </c>
      <c r="I1017" s="6">
        <v>459094.01400000002</v>
      </c>
      <c r="J1017" s="6">
        <v>767435.63600000006</v>
      </c>
      <c r="K1017" s="6">
        <v>1291149.639</v>
      </c>
      <c r="L1017" s="6">
        <v>1560426.7819999999</v>
      </c>
      <c r="M1017" s="6">
        <v>2241772.9219999998</v>
      </c>
      <c r="N1017" s="6">
        <v>2410973.0260000001</v>
      </c>
      <c r="O1017" s="6">
        <v>1876406.8929999999</v>
      </c>
      <c r="P1017" s="6">
        <v>1606797.3189999999</v>
      </c>
      <c r="Q1017" s="6">
        <v>891084.18200000003</v>
      </c>
      <c r="R1017" s="6">
        <v>647088.00199999998</v>
      </c>
      <c r="S1017" s="6">
        <v>545906.56299999997</v>
      </c>
      <c r="T1017" s="6">
        <v>423472.24900000001</v>
      </c>
      <c r="U1017" s="6">
        <v>515109.647</v>
      </c>
      <c r="V1017" s="6">
        <v>647118.03599999996</v>
      </c>
      <c r="W1017" s="6">
        <v>1310548.348</v>
      </c>
      <c r="X1017" s="6">
        <v>1991663.2779999999</v>
      </c>
      <c r="Y1017" s="6">
        <v>2029028.0390000001</v>
      </c>
      <c r="Z1017" s="6">
        <v>1862353.24</v>
      </c>
      <c r="AA1017" s="6">
        <v>1711065.2220000001</v>
      </c>
      <c r="AB1017" s="6">
        <v>1415551.274</v>
      </c>
      <c r="AC1017" s="6">
        <v>1325559.7490000001</v>
      </c>
      <c r="AD1017" s="6">
        <v>965466.18299999996</v>
      </c>
      <c r="AE1017" s="6">
        <v>687713.60199999996</v>
      </c>
      <c r="AF1017" s="6">
        <v>495747.25699999998</v>
      </c>
      <c r="AG1017" s="6">
        <v>522085.995</v>
      </c>
      <c r="AH1017" s="6">
        <v>654794.09900000005</v>
      </c>
      <c r="AI1017" s="6">
        <v>1142526.1980000001</v>
      </c>
      <c r="AJ1017" s="6">
        <v>1775360.06</v>
      </c>
      <c r="AK1017" s="6">
        <v>2743769.9040000001</v>
      </c>
      <c r="AL1017" s="6">
        <v>2899681.5109999999</v>
      </c>
      <c r="AM1017" s="6">
        <v>3607085.3730000001</v>
      </c>
      <c r="AN1017" s="6">
        <v>3769992.7650000001</v>
      </c>
      <c r="AO1017" s="6">
        <v>2807453.7370000002</v>
      </c>
      <c r="AP1017" s="6">
        <v>2058967.64</v>
      </c>
      <c r="AQ1017" s="6">
        <v>1178900.821</v>
      </c>
      <c r="AR1017" s="6">
        <v>796552.46</v>
      </c>
      <c r="AS1017" s="6">
        <v>627305.07200000004</v>
      </c>
      <c r="AT1017" s="6">
        <v>627305.07200000004</v>
      </c>
    </row>
    <row r="1018" spans="1:46" x14ac:dyDescent="0.25">
      <c r="A1018" s="4" t="s">
        <v>194</v>
      </c>
      <c r="B1018" s="4" t="s">
        <v>207</v>
      </c>
      <c r="C1018" s="4" t="s">
        <v>246</v>
      </c>
      <c r="D1018" s="4" t="s">
        <v>263</v>
      </c>
      <c r="E1018" s="4" t="s">
        <v>248</v>
      </c>
      <c r="F1018" s="4" t="s">
        <v>195</v>
      </c>
      <c r="G1018" s="4" t="s">
        <v>85</v>
      </c>
      <c r="H1018" s="4" t="s">
        <v>249</v>
      </c>
      <c r="I1018" s="7">
        <v>0.28199999999999997</v>
      </c>
      <c r="J1018" s="7">
        <v>0.309</v>
      </c>
      <c r="K1018" s="7">
        <v>0.43</v>
      </c>
      <c r="L1018" s="7">
        <v>0.4</v>
      </c>
      <c r="M1018" s="7">
        <v>0.47699999999999998</v>
      </c>
      <c r="N1018" s="7">
        <v>0.49199999999999999</v>
      </c>
      <c r="O1018" s="7">
        <v>0.44600000000000001</v>
      </c>
      <c r="P1018" s="7">
        <v>0.49299999999999999</v>
      </c>
      <c r="Q1018" s="7">
        <v>0.39</v>
      </c>
      <c r="R1018" s="7">
        <v>0.35099999999999998</v>
      </c>
      <c r="S1018" s="7">
        <v>0.34499999999999997</v>
      </c>
      <c r="T1018" s="7">
        <v>0.3</v>
      </c>
      <c r="U1018" s="7">
        <v>0.316</v>
      </c>
      <c r="V1018" s="7">
        <v>0.27400000000000002</v>
      </c>
      <c r="W1018" s="7">
        <v>0.38800000000000001</v>
      </c>
      <c r="X1018" s="7">
        <v>0.45700000000000002</v>
      </c>
      <c r="Y1018" s="7">
        <v>0.36199999999999999</v>
      </c>
      <c r="Z1018" s="7">
        <v>0.36399999999999999</v>
      </c>
      <c r="AA1018" s="7">
        <v>0.30399999999999999</v>
      </c>
      <c r="AB1018" s="7">
        <v>0.33100000000000002</v>
      </c>
      <c r="AC1018" s="7">
        <v>0.372</v>
      </c>
      <c r="AD1018" s="7">
        <v>0.35199999999999998</v>
      </c>
      <c r="AE1018" s="7">
        <v>0.32800000000000001</v>
      </c>
      <c r="AF1018" s="7">
        <v>0.29099999999999998</v>
      </c>
      <c r="AG1018" s="7">
        <v>0.253</v>
      </c>
      <c r="AH1018" s="7">
        <v>0.24399999999999999</v>
      </c>
      <c r="AI1018" s="7">
        <v>0.33100000000000002</v>
      </c>
      <c r="AJ1018" s="7">
        <v>0.34200000000000003</v>
      </c>
      <c r="AK1018" s="7">
        <v>0.46100000000000002</v>
      </c>
      <c r="AL1018" s="7">
        <v>0.44800000000000001</v>
      </c>
      <c r="AM1018" s="7">
        <v>0.499</v>
      </c>
      <c r="AN1018" s="7">
        <v>0.53700000000000003</v>
      </c>
      <c r="AO1018" s="7">
        <v>0.55500000000000005</v>
      </c>
      <c r="AP1018" s="7">
        <v>0.53100000000000003</v>
      </c>
      <c r="AQ1018" s="7">
        <v>0.44500000000000001</v>
      </c>
      <c r="AR1018" s="7">
        <v>0.41599999999999998</v>
      </c>
      <c r="AS1018" s="7">
        <v>0.4</v>
      </c>
      <c r="AT1018" s="7">
        <v>24.062999999999999</v>
      </c>
    </row>
    <row r="1019" spans="1:46" x14ac:dyDescent="0.25">
      <c r="A1019" s="4" t="s">
        <v>194</v>
      </c>
      <c r="B1019" s="4" t="s">
        <v>207</v>
      </c>
      <c r="C1019" s="4" t="s">
        <v>246</v>
      </c>
      <c r="D1019" s="4" t="s">
        <v>263</v>
      </c>
      <c r="E1019" s="4" t="s">
        <v>248</v>
      </c>
      <c r="F1019" s="4" t="s">
        <v>195</v>
      </c>
      <c r="G1019" s="4" t="s">
        <v>85</v>
      </c>
      <c r="H1019" s="4" t="s">
        <v>250</v>
      </c>
      <c r="I1019" s="7">
        <v>80.792000000000002</v>
      </c>
      <c r="J1019" s="7">
        <v>78.018000000000001</v>
      </c>
      <c r="K1019" s="7">
        <v>78.944999999999993</v>
      </c>
      <c r="L1019" s="7">
        <v>80.287999999999997</v>
      </c>
      <c r="M1019" s="7">
        <v>84.956000000000003</v>
      </c>
      <c r="N1019" s="7">
        <v>81.587999999999994</v>
      </c>
      <c r="O1019" s="7">
        <v>82.222999999999999</v>
      </c>
      <c r="P1019" s="7">
        <v>79.444000000000003</v>
      </c>
      <c r="Q1019" s="7">
        <v>72.56</v>
      </c>
      <c r="R1019" s="7">
        <v>67.97</v>
      </c>
      <c r="S1019" s="7">
        <v>69.325000000000003</v>
      </c>
      <c r="T1019" s="7">
        <v>66.94</v>
      </c>
      <c r="U1019" s="7">
        <v>67.430999999999997</v>
      </c>
      <c r="V1019" s="7">
        <v>68.680999999999997</v>
      </c>
      <c r="W1019" s="7">
        <v>79.388000000000005</v>
      </c>
      <c r="X1019" s="7">
        <v>79.566999999999993</v>
      </c>
      <c r="Y1019" s="7">
        <v>81.277000000000001</v>
      </c>
      <c r="Z1019" s="7">
        <v>77.89</v>
      </c>
      <c r="AA1019" s="7">
        <v>75.991</v>
      </c>
      <c r="AB1019" s="7">
        <v>71.153000000000006</v>
      </c>
      <c r="AC1019" s="7">
        <v>70.100999999999999</v>
      </c>
      <c r="AD1019" s="7">
        <v>60.933999999999997</v>
      </c>
      <c r="AE1019" s="7">
        <v>59.738999999999997</v>
      </c>
      <c r="AF1019" s="7">
        <v>55.326000000000001</v>
      </c>
      <c r="AG1019" s="7">
        <v>57.05</v>
      </c>
      <c r="AH1019" s="7">
        <v>65.010999999999996</v>
      </c>
      <c r="AI1019" s="7">
        <v>76.33</v>
      </c>
      <c r="AJ1019" s="7">
        <v>80.013000000000005</v>
      </c>
      <c r="AK1019" s="7">
        <v>84.995999999999995</v>
      </c>
      <c r="AL1019" s="7">
        <v>87.409000000000006</v>
      </c>
      <c r="AM1019" s="7">
        <v>88.319000000000003</v>
      </c>
      <c r="AN1019" s="7">
        <v>88.855000000000004</v>
      </c>
      <c r="AO1019" s="7">
        <v>83.054000000000002</v>
      </c>
      <c r="AP1019" s="7">
        <v>80.459000000000003</v>
      </c>
      <c r="AQ1019" s="7">
        <v>77.888000000000005</v>
      </c>
      <c r="AR1019" s="7">
        <v>75.247</v>
      </c>
      <c r="AS1019" s="7">
        <v>70.777000000000001</v>
      </c>
      <c r="AT1019" s="5">
        <v>217173.057</v>
      </c>
    </row>
    <row r="1020" spans="1:46" x14ac:dyDescent="0.25">
      <c r="A1020" s="4" t="s">
        <v>194</v>
      </c>
      <c r="B1020" s="4" t="s">
        <v>207</v>
      </c>
      <c r="C1020" s="4" t="s">
        <v>246</v>
      </c>
      <c r="D1020" s="4" t="s">
        <v>263</v>
      </c>
      <c r="E1020" s="4" t="s">
        <v>248</v>
      </c>
      <c r="F1020" s="4" t="s">
        <v>195</v>
      </c>
      <c r="G1020" s="4" t="s">
        <v>85</v>
      </c>
      <c r="H1020" s="4" t="s">
        <v>251</v>
      </c>
      <c r="I1020" s="7">
        <v>56.975498100000003</v>
      </c>
      <c r="J1020" s="7">
        <v>58.817749800000001</v>
      </c>
      <c r="K1020" s="7">
        <v>56.7072827</v>
      </c>
      <c r="L1020" s="7">
        <v>59.078509400000002</v>
      </c>
      <c r="M1020" s="7">
        <v>59.884621500000002</v>
      </c>
      <c r="N1020" s="7">
        <v>59.021937700000002</v>
      </c>
      <c r="O1020" s="7">
        <v>57.339038100000003</v>
      </c>
      <c r="P1020" s="7">
        <v>56.171023099999999</v>
      </c>
      <c r="Q1020" s="7">
        <v>49.818483499999999</v>
      </c>
      <c r="R1020" s="7">
        <v>47.692521599999999</v>
      </c>
      <c r="S1020" s="7">
        <v>45.7420027</v>
      </c>
      <c r="T1020" s="7">
        <v>46.528340900000003</v>
      </c>
      <c r="U1020" s="7">
        <v>44.163243999999999</v>
      </c>
      <c r="V1020" s="7">
        <v>45.721821400000003</v>
      </c>
      <c r="W1020" s="7">
        <v>51.755088600000001</v>
      </c>
      <c r="X1020" s="7">
        <v>52.455340700000001</v>
      </c>
      <c r="Y1020" s="7">
        <v>53.411862399999997</v>
      </c>
      <c r="Z1020" s="7">
        <v>53.881914100000003</v>
      </c>
      <c r="AA1020" s="7">
        <v>50.993486099999998</v>
      </c>
      <c r="AB1020" s="7">
        <v>50.406726200000001</v>
      </c>
      <c r="AC1020" s="7">
        <v>48.315320300000003</v>
      </c>
      <c r="AD1020" s="7">
        <v>42.531164099999998</v>
      </c>
      <c r="AE1020" s="7">
        <v>41.678529300000001</v>
      </c>
      <c r="AF1020" s="7">
        <v>39.139522200000002</v>
      </c>
      <c r="AG1020" s="7">
        <v>42.851093800000001</v>
      </c>
      <c r="AH1020" s="7">
        <v>48.225501999999999</v>
      </c>
      <c r="AI1020" s="7">
        <v>54.643472000000003</v>
      </c>
      <c r="AJ1020" s="7">
        <v>56.7734521</v>
      </c>
      <c r="AK1020" s="7">
        <v>59.494649600000002</v>
      </c>
      <c r="AL1020" s="7">
        <v>60.161312799999997</v>
      </c>
      <c r="AM1020" s="7">
        <v>60.517508800000002</v>
      </c>
      <c r="AN1020" s="7">
        <v>60.216081799999998</v>
      </c>
      <c r="AO1020" s="7">
        <v>57.314219799999996</v>
      </c>
      <c r="AP1020" s="7">
        <v>51.955438399999998</v>
      </c>
      <c r="AQ1020" s="7">
        <v>50.476025200000002</v>
      </c>
      <c r="AR1020" s="7">
        <v>49.895503099999999</v>
      </c>
      <c r="AS1020" s="7">
        <v>48.712843300000003</v>
      </c>
      <c r="AT1020" s="7">
        <v>70.777000000000001</v>
      </c>
    </row>
    <row r="1021" spans="1:46" x14ac:dyDescent="0.25">
      <c r="A1021" s="4" t="s">
        <v>194</v>
      </c>
      <c r="B1021" s="4" t="s">
        <v>207</v>
      </c>
      <c r="C1021" s="4" t="s">
        <v>246</v>
      </c>
      <c r="D1021" s="4" t="s">
        <v>263</v>
      </c>
      <c r="E1021" s="4" t="s">
        <v>248</v>
      </c>
      <c r="F1021" s="4" t="s">
        <v>195</v>
      </c>
      <c r="G1021" s="4" t="s">
        <v>85</v>
      </c>
      <c r="H1021" s="4" t="s">
        <v>252</v>
      </c>
      <c r="I1021" s="16">
        <v>5.7480000000000002</v>
      </c>
      <c r="J1021" s="16">
        <v>4.8040000000000003</v>
      </c>
      <c r="K1021" s="16">
        <v>4.5330000000000004</v>
      </c>
      <c r="L1021" s="16">
        <v>4.4610000000000003</v>
      </c>
      <c r="M1021" s="16">
        <v>6.6749999999999998</v>
      </c>
      <c r="N1021" s="16">
        <v>5.5229999999999997</v>
      </c>
      <c r="O1021" s="16">
        <v>7.1719999999999997</v>
      </c>
      <c r="P1021" s="16">
        <v>6.6260000000000003</v>
      </c>
      <c r="Q1021" s="16">
        <v>5.8979999999999997</v>
      </c>
      <c r="R1021" s="16">
        <v>6.5979999999999999</v>
      </c>
      <c r="S1021" s="16">
        <v>6.2569999999999997</v>
      </c>
      <c r="T1021" s="16">
        <v>6.0970000000000004</v>
      </c>
      <c r="U1021" s="16">
        <v>5.73</v>
      </c>
      <c r="V1021" s="16">
        <v>6.0960000000000001</v>
      </c>
      <c r="W1021" s="16">
        <v>5.2510000000000003</v>
      </c>
      <c r="X1021" s="16">
        <v>5.9829999999999997</v>
      </c>
      <c r="Y1021" s="16">
        <v>5.5679999999999996</v>
      </c>
      <c r="Z1021" s="16">
        <v>5.2240000000000002</v>
      </c>
      <c r="AA1021" s="16">
        <v>5.3</v>
      </c>
      <c r="AB1021" s="16">
        <v>6.2750000000000004</v>
      </c>
      <c r="AC1021" s="16">
        <v>6.1760000000000002</v>
      </c>
      <c r="AD1021" s="16">
        <v>4.8440000000000003</v>
      </c>
      <c r="AE1021" s="16">
        <v>5.44</v>
      </c>
      <c r="AF1021" s="16">
        <v>5.093</v>
      </c>
      <c r="AG1021" s="16">
        <v>5.8049999999999997</v>
      </c>
      <c r="AH1021" s="16">
        <v>4.8499999999999996</v>
      </c>
      <c r="AI1021" s="16">
        <v>5.3369999999999997</v>
      </c>
      <c r="AJ1021" s="16">
        <v>5.9109999999999996</v>
      </c>
      <c r="AK1021" s="16">
        <v>6.4859999999999998</v>
      </c>
      <c r="AL1021" s="16">
        <v>5.8310000000000004</v>
      </c>
      <c r="AM1021" s="16">
        <v>6.4989999999999997</v>
      </c>
      <c r="AN1021" s="16">
        <v>6.04</v>
      </c>
      <c r="AO1021" s="16">
        <v>5.7480000000000002</v>
      </c>
      <c r="AP1021" s="16">
        <v>5.1639999999999997</v>
      </c>
      <c r="AQ1021" s="16">
        <v>5.4409999999999998</v>
      </c>
      <c r="AR1021" s="16">
        <v>5.5270000000000001</v>
      </c>
      <c r="AS1021" s="16">
        <v>5.7149999999999999</v>
      </c>
      <c r="AT1021" s="7">
        <v>48.712843300000003</v>
      </c>
    </row>
    <row r="1022" spans="1:46" x14ac:dyDescent="0.25">
      <c r="A1022" s="4" t="s">
        <v>194</v>
      </c>
      <c r="B1022" s="4" t="s">
        <v>207</v>
      </c>
      <c r="C1022" s="4" t="s">
        <v>246</v>
      </c>
      <c r="D1022" s="4" t="s">
        <v>265</v>
      </c>
      <c r="E1022" s="4" t="s">
        <v>266</v>
      </c>
      <c r="F1022" s="4" t="s">
        <v>195</v>
      </c>
      <c r="G1022" s="4" t="s">
        <v>93</v>
      </c>
      <c r="H1022" s="4" t="s">
        <v>151</v>
      </c>
      <c r="I1022" s="5">
        <v>1372.694</v>
      </c>
      <c r="J1022" s="5">
        <v>2205.848</v>
      </c>
      <c r="K1022" s="5">
        <v>2254.8009999999999</v>
      </c>
      <c r="L1022" s="5">
        <v>3632.8009999999999</v>
      </c>
      <c r="M1022" s="5">
        <v>3783.337</v>
      </c>
      <c r="N1022" s="5">
        <v>3418.788</v>
      </c>
      <c r="O1022" s="5">
        <v>2976.3760000000002</v>
      </c>
      <c r="P1022" s="5">
        <v>2393.6109999999999</v>
      </c>
      <c r="Q1022" s="5">
        <v>1715.0170000000001</v>
      </c>
      <c r="R1022" s="5">
        <v>848.21</v>
      </c>
      <c r="S1022" s="5">
        <v>683.69399999999996</v>
      </c>
      <c r="T1022" s="5">
        <v>1097.17</v>
      </c>
      <c r="U1022" s="5">
        <v>921.37699999999995</v>
      </c>
      <c r="V1022" s="5">
        <v>1272.0709999999999</v>
      </c>
      <c r="W1022" s="5">
        <v>2120.087</v>
      </c>
      <c r="X1022" s="5">
        <v>1678.1469999999999</v>
      </c>
      <c r="Y1022" s="5">
        <v>2426.0030000000002</v>
      </c>
      <c r="Z1022" s="5">
        <v>2300.8130000000001</v>
      </c>
      <c r="AA1022" s="5">
        <v>1848.0239999999999</v>
      </c>
      <c r="AB1022" s="5">
        <v>1669.671</v>
      </c>
      <c r="AC1022" s="5">
        <v>1218.319</v>
      </c>
      <c r="AD1022" s="5">
        <v>930.43399999999997</v>
      </c>
      <c r="AE1022" s="5">
        <v>711.29499999999996</v>
      </c>
      <c r="AF1022" s="5">
        <v>233.01599999999999</v>
      </c>
      <c r="AG1022" s="5">
        <v>303.83699999999999</v>
      </c>
      <c r="AH1022" s="5">
        <v>1118.194</v>
      </c>
      <c r="AI1022" s="5">
        <v>1535.732</v>
      </c>
      <c r="AJ1022" s="5">
        <v>2441.288</v>
      </c>
      <c r="AK1022" s="5">
        <v>2667.1570000000002</v>
      </c>
      <c r="AL1022" s="5">
        <v>2751.0549999999998</v>
      </c>
      <c r="AM1022" s="5">
        <v>3901.6750000000002</v>
      </c>
      <c r="AN1022" s="5">
        <v>2989.2869999999998</v>
      </c>
      <c r="AO1022" s="5">
        <v>1799.3710000000001</v>
      </c>
      <c r="AP1022" s="5">
        <v>1031.4549999999999</v>
      </c>
      <c r="AQ1022" s="5">
        <v>648.85</v>
      </c>
      <c r="AR1022" s="5">
        <v>718.10900000000004</v>
      </c>
      <c r="AS1022" s="5">
        <v>269.87</v>
      </c>
      <c r="AT1022" s="5">
        <v>269.87</v>
      </c>
    </row>
    <row r="1023" spans="1:46" x14ac:dyDescent="0.25">
      <c r="A1023" s="4" t="s">
        <v>194</v>
      </c>
      <c r="B1023" s="4" t="s">
        <v>207</v>
      </c>
      <c r="C1023" s="4" t="s">
        <v>246</v>
      </c>
      <c r="D1023" s="4" t="s">
        <v>265</v>
      </c>
      <c r="E1023" s="4" t="s">
        <v>266</v>
      </c>
      <c r="F1023" s="4" t="s">
        <v>195</v>
      </c>
      <c r="G1023" s="4" t="s">
        <v>93</v>
      </c>
      <c r="H1023" s="4" t="s">
        <v>205</v>
      </c>
      <c r="I1023" s="6">
        <v>283623.70699999999</v>
      </c>
      <c r="J1023" s="6">
        <v>460113.56</v>
      </c>
      <c r="K1023" s="6">
        <v>493762.08399999997</v>
      </c>
      <c r="L1023" s="6">
        <v>816867.58900000004</v>
      </c>
      <c r="M1023" s="6">
        <v>821493.72900000005</v>
      </c>
      <c r="N1023" s="6">
        <v>749303.06900000002</v>
      </c>
      <c r="O1023" s="6">
        <v>666537.48600000003</v>
      </c>
      <c r="P1023" s="6">
        <v>534583.44999999995</v>
      </c>
      <c r="Q1023" s="6">
        <v>356144.20199999999</v>
      </c>
      <c r="R1023" s="6">
        <v>175859.20199999999</v>
      </c>
      <c r="S1023" s="6">
        <v>131744.29399999999</v>
      </c>
      <c r="T1023" s="6">
        <v>230235.40100000001</v>
      </c>
      <c r="U1023" s="6">
        <v>191205.93599999999</v>
      </c>
      <c r="V1023" s="6">
        <v>252372.28599999999</v>
      </c>
      <c r="W1023" s="6">
        <v>438753.93599999999</v>
      </c>
      <c r="X1023" s="6">
        <v>348898.05200000003</v>
      </c>
      <c r="Y1023" s="6">
        <v>486075.56099999999</v>
      </c>
      <c r="Z1023" s="6">
        <v>482565.97899999999</v>
      </c>
      <c r="AA1023" s="6">
        <v>392946.05900000001</v>
      </c>
      <c r="AB1023" s="6">
        <v>352755.81099999999</v>
      </c>
      <c r="AC1023" s="6">
        <v>253741.755</v>
      </c>
      <c r="AD1023" s="6">
        <v>190843.96</v>
      </c>
      <c r="AE1023" s="6">
        <v>148244.10999999999</v>
      </c>
      <c r="AF1023" s="6">
        <v>49540.036</v>
      </c>
      <c r="AG1023" s="6">
        <v>61934.553999999996</v>
      </c>
      <c r="AH1023" s="6">
        <v>229414.72200000001</v>
      </c>
      <c r="AI1023" s="6">
        <v>327658.84600000002</v>
      </c>
      <c r="AJ1023" s="6">
        <v>508099.63400000002</v>
      </c>
      <c r="AK1023" s="6">
        <v>615004.44400000002</v>
      </c>
      <c r="AL1023" s="6">
        <v>620690.47199999995</v>
      </c>
      <c r="AM1023" s="6">
        <v>858121.32</v>
      </c>
      <c r="AN1023" s="6">
        <v>662806.42299999995</v>
      </c>
      <c r="AO1023" s="6">
        <v>425189.65299999999</v>
      </c>
      <c r="AP1023" s="6">
        <v>231940.38200000001</v>
      </c>
      <c r="AQ1023" s="6">
        <v>137282.353</v>
      </c>
      <c r="AR1023" s="6">
        <v>148484.17000000001</v>
      </c>
      <c r="AS1023" s="6">
        <v>65030.764999999999</v>
      </c>
      <c r="AT1023" s="6">
        <v>65030.764999999999</v>
      </c>
    </row>
    <row r="1024" spans="1:46" x14ac:dyDescent="0.25">
      <c r="A1024" s="4" t="s">
        <v>194</v>
      </c>
      <c r="B1024" s="4" t="s">
        <v>207</v>
      </c>
      <c r="C1024" s="4" t="s">
        <v>246</v>
      </c>
      <c r="D1024" s="4" t="s">
        <v>265</v>
      </c>
      <c r="E1024" s="4" t="s">
        <v>266</v>
      </c>
      <c r="F1024" s="4" t="s">
        <v>195</v>
      </c>
      <c r="G1024" s="4" t="s">
        <v>93</v>
      </c>
      <c r="H1024" s="4" t="s">
        <v>249</v>
      </c>
      <c r="I1024" s="7">
        <v>2.915</v>
      </c>
      <c r="J1024" s="7">
        <v>3.347</v>
      </c>
      <c r="K1024" s="7">
        <v>2.7639999999999998</v>
      </c>
      <c r="L1024" s="7">
        <v>3.516</v>
      </c>
      <c r="M1024" s="7">
        <v>3.01</v>
      </c>
      <c r="N1024" s="7">
        <v>2.5139999999999998</v>
      </c>
      <c r="O1024" s="7">
        <v>2.3940000000000001</v>
      </c>
      <c r="P1024" s="7">
        <v>2.4809999999999999</v>
      </c>
      <c r="Q1024" s="7">
        <v>2.34</v>
      </c>
      <c r="R1024" s="7">
        <v>1.597</v>
      </c>
      <c r="S1024" s="7">
        <v>1.4350000000000001</v>
      </c>
      <c r="T1024" s="7">
        <v>2.4609999999999999</v>
      </c>
      <c r="U1024" s="7">
        <v>1.857</v>
      </c>
      <c r="V1024" s="7">
        <v>2.077</v>
      </c>
      <c r="W1024" s="7">
        <v>2.4809999999999999</v>
      </c>
      <c r="X1024" s="7">
        <v>1.5840000000000001</v>
      </c>
      <c r="Y1024" s="7">
        <v>1.8939999999999999</v>
      </c>
      <c r="Z1024" s="7">
        <v>1.996</v>
      </c>
      <c r="AA1024" s="7">
        <v>1.49</v>
      </c>
      <c r="AB1024" s="7">
        <v>1.69</v>
      </c>
      <c r="AC1024" s="7">
        <v>1.4470000000000001</v>
      </c>
      <c r="AD1024" s="7">
        <v>1.3120000000000001</v>
      </c>
      <c r="AE1024" s="7">
        <v>1.228</v>
      </c>
      <c r="AF1024" s="7">
        <v>0.5</v>
      </c>
      <c r="AG1024" s="7">
        <v>0.60499999999999998</v>
      </c>
      <c r="AH1024" s="7">
        <v>1.8360000000000001</v>
      </c>
      <c r="AI1024" s="7">
        <v>1.9750000000000001</v>
      </c>
      <c r="AJ1024" s="7">
        <v>2.14</v>
      </c>
      <c r="AK1024" s="7">
        <v>2.0880000000000001</v>
      </c>
      <c r="AL1024" s="7">
        <v>1.871</v>
      </c>
      <c r="AM1024" s="7">
        <v>2.36</v>
      </c>
      <c r="AN1024" s="7">
        <v>1.8220000000000001</v>
      </c>
      <c r="AO1024" s="7">
        <v>1.4850000000000001</v>
      </c>
      <c r="AP1024" s="7">
        <v>1.0449999999999999</v>
      </c>
      <c r="AQ1024" s="7">
        <v>0.89200000000000002</v>
      </c>
      <c r="AR1024" s="7">
        <v>1.474</v>
      </c>
      <c r="AS1024" s="7">
        <v>0.68799999999999994</v>
      </c>
      <c r="AT1024" s="7">
        <v>0.113</v>
      </c>
    </row>
    <row r="1025" spans="1:46" x14ac:dyDescent="0.25">
      <c r="A1025" s="4" t="s">
        <v>194</v>
      </c>
      <c r="B1025" s="4" t="s">
        <v>207</v>
      </c>
      <c r="C1025" s="4" t="s">
        <v>246</v>
      </c>
      <c r="D1025" s="4" t="s">
        <v>265</v>
      </c>
      <c r="E1025" s="4" t="s">
        <v>266</v>
      </c>
      <c r="F1025" s="4" t="s">
        <v>195</v>
      </c>
      <c r="G1025" s="4" t="s">
        <v>93</v>
      </c>
      <c r="H1025" s="4" t="s">
        <v>250</v>
      </c>
      <c r="I1025" s="7">
        <v>47.774000000000001</v>
      </c>
      <c r="J1025" s="7">
        <v>46.848999999999997</v>
      </c>
      <c r="K1025" s="7">
        <v>45.978999999999999</v>
      </c>
      <c r="L1025" s="7">
        <v>48.926000000000002</v>
      </c>
      <c r="M1025" s="7">
        <v>49.7</v>
      </c>
      <c r="N1025" s="7">
        <v>41.058999999999997</v>
      </c>
      <c r="O1025" s="7">
        <v>41.384</v>
      </c>
      <c r="P1025" s="7">
        <v>41.481999999999999</v>
      </c>
      <c r="Q1025" s="7">
        <v>42.357999999999997</v>
      </c>
      <c r="R1025" s="7">
        <v>38.402000000000001</v>
      </c>
      <c r="S1025" s="7">
        <v>37.622999999999998</v>
      </c>
      <c r="T1025" s="7">
        <v>44.884999999999998</v>
      </c>
      <c r="U1025" s="7">
        <v>47.832000000000001</v>
      </c>
      <c r="V1025" s="7">
        <v>46.963000000000001</v>
      </c>
      <c r="W1025" s="7">
        <v>52.854999999999997</v>
      </c>
      <c r="X1025" s="7">
        <v>49.235999999999997</v>
      </c>
      <c r="Y1025" s="7">
        <v>56.829000000000001</v>
      </c>
      <c r="Z1025" s="7">
        <v>54.725000000000001</v>
      </c>
      <c r="AA1025" s="7">
        <v>51.28</v>
      </c>
      <c r="AB1025" s="7">
        <v>49.356000000000002</v>
      </c>
      <c r="AC1025" s="7">
        <v>48.118000000000002</v>
      </c>
      <c r="AD1025" s="7">
        <v>38.179000000000002</v>
      </c>
      <c r="AE1025" s="7">
        <v>35.682000000000002</v>
      </c>
      <c r="AF1025" s="7">
        <v>29.556999999999999</v>
      </c>
      <c r="AG1025" s="7">
        <v>28.015000000000001</v>
      </c>
      <c r="AH1025" s="7">
        <v>40.563000000000002</v>
      </c>
      <c r="AI1025" s="7">
        <v>45.01</v>
      </c>
      <c r="AJ1025" s="7">
        <v>50.418999999999997</v>
      </c>
      <c r="AK1025" s="7">
        <v>52.396999999999998</v>
      </c>
      <c r="AL1025" s="7">
        <v>44.323999999999998</v>
      </c>
      <c r="AM1025" s="7">
        <v>45.868000000000002</v>
      </c>
      <c r="AN1025" s="7">
        <v>43.619</v>
      </c>
      <c r="AO1025" s="7">
        <v>32.094000000000001</v>
      </c>
      <c r="AP1025" s="7">
        <v>35.444000000000003</v>
      </c>
      <c r="AQ1025" s="7">
        <v>37.247</v>
      </c>
      <c r="AR1025" s="7">
        <v>40.335999999999999</v>
      </c>
      <c r="AS1025" s="7">
        <v>45.082999999999998</v>
      </c>
      <c r="AT1025" s="5">
        <v>2357.1179999999999</v>
      </c>
    </row>
    <row r="1026" spans="1:46" x14ac:dyDescent="0.25">
      <c r="A1026" s="4" t="s">
        <v>194</v>
      </c>
      <c r="B1026" s="4" t="s">
        <v>207</v>
      </c>
      <c r="C1026" s="4" t="s">
        <v>246</v>
      </c>
      <c r="D1026" s="4" t="s">
        <v>265</v>
      </c>
      <c r="E1026" s="4" t="s">
        <v>266</v>
      </c>
      <c r="F1026" s="4" t="s">
        <v>195</v>
      </c>
      <c r="G1026" s="4" t="s">
        <v>93</v>
      </c>
      <c r="H1026" s="4" t="s">
        <v>251</v>
      </c>
      <c r="I1026" s="7">
        <v>28.405095800000002</v>
      </c>
      <c r="J1026" s="7">
        <v>27.529619799999999</v>
      </c>
      <c r="K1026" s="7">
        <v>29.676523700000001</v>
      </c>
      <c r="L1026" s="7">
        <v>28.7053251</v>
      </c>
      <c r="M1026" s="7">
        <v>28.846507599999999</v>
      </c>
      <c r="N1026" s="7">
        <v>26.214557299999999</v>
      </c>
      <c r="O1026" s="7">
        <v>27.724896300000001</v>
      </c>
      <c r="P1026" s="7">
        <v>27.669838200000001</v>
      </c>
      <c r="Q1026" s="7">
        <v>27.3227014</v>
      </c>
      <c r="R1026" s="7">
        <v>26.785719</v>
      </c>
      <c r="S1026" s="7">
        <v>24.143734899999998</v>
      </c>
      <c r="T1026" s="7">
        <v>25.540675400000001</v>
      </c>
      <c r="U1026" s="7">
        <v>25.762869599999998</v>
      </c>
      <c r="V1026" s="7">
        <v>27.441315500000002</v>
      </c>
      <c r="W1026" s="7">
        <v>29.2657168</v>
      </c>
      <c r="X1026" s="7">
        <v>26.374911000000001</v>
      </c>
      <c r="Y1026" s="7">
        <v>26.745303</v>
      </c>
      <c r="Z1026" s="7">
        <v>27.2957663</v>
      </c>
      <c r="AA1026" s="7">
        <v>26.788893699999999</v>
      </c>
      <c r="AB1026" s="7">
        <v>27.790942999999999</v>
      </c>
      <c r="AC1026" s="7">
        <v>25.5819592</v>
      </c>
      <c r="AD1026" s="7">
        <v>21.542447200000002</v>
      </c>
      <c r="AE1026" s="7">
        <v>18.913689900000001</v>
      </c>
      <c r="AF1026" s="7">
        <v>14.3481548</v>
      </c>
      <c r="AG1026" s="7">
        <v>16.364558800000001</v>
      </c>
      <c r="AH1026" s="7">
        <v>21.459637099999998</v>
      </c>
      <c r="AI1026" s="7">
        <v>23.833602200000001</v>
      </c>
      <c r="AJ1026" s="7">
        <v>26.4624007</v>
      </c>
      <c r="AK1026" s="7">
        <v>26.799126000000001</v>
      </c>
      <c r="AL1026" s="7">
        <v>22.930651300000001</v>
      </c>
      <c r="AM1026" s="7">
        <v>23.087004700000001</v>
      </c>
      <c r="AN1026" s="7">
        <v>23.298689499999998</v>
      </c>
      <c r="AO1026" s="7">
        <v>21.779145100000001</v>
      </c>
      <c r="AP1026" s="7">
        <v>19.8668905</v>
      </c>
      <c r="AQ1026" s="7">
        <v>20.5785634</v>
      </c>
      <c r="AR1026" s="7">
        <v>23.453385600000001</v>
      </c>
      <c r="AS1026" s="7">
        <v>23.836719899999999</v>
      </c>
      <c r="AT1026" s="7">
        <v>45.082999999999998</v>
      </c>
    </row>
    <row r="1027" spans="1:46" x14ac:dyDescent="0.25">
      <c r="A1027" s="4" t="s">
        <v>194</v>
      </c>
      <c r="B1027" s="4" t="s">
        <v>207</v>
      </c>
      <c r="C1027" s="4" t="s">
        <v>246</v>
      </c>
      <c r="D1027" s="4" t="s">
        <v>265</v>
      </c>
      <c r="E1027" s="4" t="s">
        <v>266</v>
      </c>
      <c r="F1027" s="4" t="s">
        <v>195</v>
      </c>
      <c r="G1027" s="4" t="s">
        <v>93</v>
      </c>
      <c r="H1027" s="4" t="s">
        <v>252</v>
      </c>
      <c r="I1027" s="16">
        <v>1.3220000000000001</v>
      </c>
      <c r="J1027" s="16">
        <v>1.19</v>
      </c>
      <c r="K1027" s="16">
        <v>1.478</v>
      </c>
      <c r="L1027" s="16">
        <v>1.2669999999999999</v>
      </c>
      <c r="M1027" s="16">
        <v>1.43</v>
      </c>
      <c r="N1027" s="16">
        <v>1.3440000000000001</v>
      </c>
      <c r="O1027" s="16">
        <v>1.3089999999999999</v>
      </c>
      <c r="P1027" s="16">
        <v>1.1890000000000001</v>
      </c>
      <c r="Q1027" s="16">
        <v>1.1459999999999999</v>
      </c>
      <c r="R1027" s="16">
        <v>1.0629999999999999</v>
      </c>
      <c r="S1027" s="16">
        <v>1.099</v>
      </c>
      <c r="T1027" s="16">
        <v>0.91600000000000004</v>
      </c>
      <c r="U1027" s="16">
        <v>1.0189999999999999</v>
      </c>
      <c r="V1027" s="16">
        <v>1.163</v>
      </c>
      <c r="W1027" s="16">
        <v>0.96799999999999997</v>
      </c>
      <c r="X1027" s="16">
        <v>0.83699999999999997</v>
      </c>
      <c r="Y1027" s="16">
        <v>0.86399999999999999</v>
      </c>
      <c r="Z1027" s="16">
        <v>0.69299999999999995</v>
      </c>
      <c r="AA1027" s="16">
        <v>0.68700000000000006</v>
      </c>
      <c r="AB1027" s="16">
        <v>0.61299999999999999</v>
      </c>
      <c r="AC1027" s="16">
        <v>0.61599999999999999</v>
      </c>
      <c r="AD1027" s="16">
        <v>0.57999999999999996</v>
      </c>
      <c r="AE1027" s="16">
        <v>0.52800000000000002</v>
      </c>
      <c r="AF1027" s="16">
        <v>0.56499999999999995</v>
      </c>
      <c r="AG1027" s="16">
        <v>0.51800000000000002</v>
      </c>
      <c r="AH1027" s="16">
        <v>0.70399999999999996</v>
      </c>
      <c r="AI1027" s="16">
        <v>0.57699999999999996</v>
      </c>
      <c r="AJ1027" s="16">
        <v>0.52500000000000002</v>
      </c>
      <c r="AK1027" s="16">
        <v>0.63300000000000001</v>
      </c>
      <c r="AL1027" s="16">
        <v>0.58799999999999997</v>
      </c>
      <c r="AM1027" s="16">
        <v>0.73799999999999999</v>
      </c>
      <c r="AN1027" s="16">
        <v>0.57299999999999995</v>
      </c>
      <c r="AO1027" s="16">
        <v>0.85899999999999999</v>
      </c>
      <c r="AP1027" s="16">
        <v>1.0009999999999999</v>
      </c>
      <c r="AQ1027" s="16">
        <v>0.91100000000000003</v>
      </c>
      <c r="AR1027" s="16">
        <v>1.0449999999999999</v>
      </c>
      <c r="AS1027" s="16">
        <v>1.1459999999999999</v>
      </c>
      <c r="AT1027" s="7">
        <v>23.836719899999999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4BD3-01B2-449E-AC19-1FB3960DAB74}">
  <dimension ref="A1:AQ62"/>
  <sheetViews>
    <sheetView workbookViewId="0">
      <selection activeCell="A59" sqref="A59:A61"/>
    </sheetView>
  </sheetViews>
  <sheetFormatPr defaultColWidth="11.42578125" defaultRowHeight="15" x14ac:dyDescent="0.25"/>
  <cols>
    <col min="1" max="1" width="16.5703125" bestFit="1" customWidth="1"/>
    <col min="2" max="2" width="26.5703125" bestFit="1" customWidth="1"/>
    <col min="3" max="3" width="26.42578125" bestFit="1" customWidth="1"/>
    <col min="4" max="4" width="26.5703125" bestFit="1" customWidth="1"/>
    <col min="5" max="5" width="26.7109375" bestFit="1" customWidth="1"/>
    <col min="6" max="6" width="26.140625" bestFit="1" customWidth="1"/>
    <col min="7" max="8" width="26.5703125" bestFit="1" customWidth="1"/>
    <col min="9" max="9" width="26.28515625" bestFit="1" customWidth="1"/>
    <col min="10" max="10" width="26.85546875" bestFit="1" customWidth="1"/>
    <col min="11" max="11" width="26.28515625" bestFit="1" customWidth="1"/>
    <col min="12" max="12" width="25.5703125" bestFit="1" customWidth="1"/>
    <col min="13" max="14" width="26.5703125" bestFit="1" customWidth="1"/>
    <col min="15" max="15" width="26.42578125" bestFit="1" customWidth="1"/>
    <col min="16" max="16" width="26.5703125" bestFit="1" customWidth="1"/>
    <col min="17" max="17" width="26.7109375" bestFit="1" customWidth="1"/>
    <col min="18" max="18" width="26.140625" bestFit="1" customWidth="1"/>
    <col min="19" max="20" width="26.5703125" bestFit="1" customWidth="1"/>
    <col min="21" max="21" width="26.28515625" bestFit="1" customWidth="1"/>
    <col min="22" max="22" width="26.85546875" bestFit="1" customWidth="1"/>
    <col min="23" max="23" width="26.28515625" bestFit="1" customWidth="1"/>
    <col min="24" max="24" width="25.5703125" bestFit="1" customWidth="1"/>
    <col min="25" max="26" width="26.5703125" bestFit="1" customWidth="1"/>
    <col min="27" max="27" width="26.42578125" bestFit="1" customWidth="1"/>
    <col min="28" max="28" width="26.5703125" bestFit="1" customWidth="1"/>
    <col min="29" max="29" width="26.7109375" bestFit="1" customWidth="1"/>
    <col min="30" max="30" width="26.140625" bestFit="1" customWidth="1"/>
    <col min="31" max="32" width="26.5703125" bestFit="1" customWidth="1"/>
    <col min="33" max="33" width="26.28515625" bestFit="1" customWidth="1"/>
    <col min="34" max="34" width="26.85546875" bestFit="1" customWidth="1"/>
    <col min="35" max="35" width="26.28515625" bestFit="1" customWidth="1"/>
    <col min="36" max="36" width="25.5703125" bestFit="1" customWidth="1"/>
    <col min="37" max="38" width="26.5703125" bestFit="1" customWidth="1"/>
    <col min="39" max="40" width="11.140625" bestFit="1" customWidth="1"/>
    <col min="41" max="43" width="11" bestFit="1" customWidth="1"/>
  </cols>
  <sheetData>
    <row r="1" spans="1:43" x14ac:dyDescent="0.25">
      <c r="A1" s="12" t="s">
        <v>155</v>
      </c>
      <c r="B1" t="s">
        <v>57</v>
      </c>
    </row>
    <row r="2" spans="1:43" x14ac:dyDescent="0.25">
      <c r="A2" s="12" t="s">
        <v>150</v>
      </c>
      <c r="B2" t="s">
        <v>268</v>
      </c>
    </row>
    <row r="3" spans="1:43" x14ac:dyDescent="0.25">
      <c r="A3" s="12" t="s">
        <v>152</v>
      </c>
      <c r="B3" t="s">
        <v>57</v>
      </c>
    </row>
    <row r="4" spans="1:43" x14ac:dyDescent="0.25">
      <c r="A4" s="12" t="s">
        <v>153</v>
      </c>
      <c r="B4" t="s">
        <v>21</v>
      </c>
    </row>
    <row r="5" spans="1:43" x14ac:dyDescent="0.25">
      <c r="A5" s="12" t="s">
        <v>154</v>
      </c>
      <c r="B5" t="s">
        <v>21</v>
      </c>
    </row>
    <row r="7" spans="1:43" x14ac:dyDescent="0.25">
      <c r="A7" s="12" t="s">
        <v>24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163</v>
      </c>
      <c r="I7" t="s">
        <v>164</v>
      </c>
      <c r="J7" t="s">
        <v>165</v>
      </c>
      <c r="K7" t="s">
        <v>166</v>
      </c>
      <c r="L7" t="s">
        <v>167</v>
      </c>
      <c r="M7" t="s">
        <v>168</v>
      </c>
      <c r="N7" t="s">
        <v>169</v>
      </c>
      <c r="O7" t="s">
        <v>170</v>
      </c>
      <c r="P7" t="s">
        <v>171</v>
      </c>
      <c r="Q7" t="s">
        <v>172</v>
      </c>
      <c r="R7" t="s">
        <v>173</v>
      </c>
      <c r="S7" t="s">
        <v>174</v>
      </c>
      <c r="T7" t="s">
        <v>175</v>
      </c>
      <c r="U7" t="s">
        <v>176</v>
      </c>
      <c r="V7" t="s">
        <v>177</v>
      </c>
      <c r="W7" t="s">
        <v>178</v>
      </c>
      <c r="X7" t="s">
        <v>179</v>
      </c>
      <c r="Y7" t="s">
        <v>180</v>
      </c>
      <c r="Z7" t="s">
        <v>181</v>
      </c>
      <c r="AA7" t="s">
        <v>182</v>
      </c>
      <c r="AB7" t="s">
        <v>183</v>
      </c>
      <c r="AC7" t="s">
        <v>184</v>
      </c>
      <c r="AD7" t="s">
        <v>185</v>
      </c>
      <c r="AE7" t="s">
        <v>186</v>
      </c>
      <c r="AF7" t="s">
        <v>187</v>
      </c>
      <c r="AG7" t="s">
        <v>188</v>
      </c>
      <c r="AH7" t="s">
        <v>189</v>
      </c>
      <c r="AI7" t="s">
        <v>190</v>
      </c>
      <c r="AJ7" t="s">
        <v>191</v>
      </c>
      <c r="AK7" t="s">
        <v>192</v>
      </c>
      <c r="AL7" t="s">
        <v>193</v>
      </c>
    </row>
    <row r="8" spans="1:43" x14ac:dyDescent="0.25">
      <c r="A8" s="13" t="s">
        <v>203</v>
      </c>
      <c r="B8">
        <v>3727.181</v>
      </c>
      <c r="C8">
        <v>3848.5990000000002</v>
      </c>
      <c r="D8">
        <v>6120.8630000000003</v>
      </c>
      <c r="E8">
        <v>4922.6069999999991</v>
      </c>
      <c r="F8">
        <v>3764.4870000000001</v>
      </c>
      <c r="G8">
        <v>4245.5209999999997</v>
      </c>
      <c r="H8">
        <v>4252.1460000000006</v>
      </c>
      <c r="I8">
        <v>4153.134</v>
      </c>
      <c r="J8">
        <v>4105.6609999999991</v>
      </c>
      <c r="K8">
        <v>3829.5499999999997</v>
      </c>
      <c r="L8">
        <v>3441.6410000000001</v>
      </c>
      <c r="M8">
        <v>3637.799</v>
      </c>
      <c r="N8">
        <v>4331.2989999999991</v>
      </c>
      <c r="O8">
        <v>5090.0920000000006</v>
      </c>
      <c r="P8">
        <v>4943.8979999999992</v>
      </c>
      <c r="Q8">
        <v>4730.0709999999999</v>
      </c>
      <c r="R8">
        <v>4947.3629999999994</v>
      </c>
      <c r="S8">
        <v>3806.9089999999997</v>
      </c>
      <c r="T8">
        <v>3199.5119999999997</v>
      </c>
      <c r="U8">
        <v>3201.9589999999998</v>
      </c>
      <c r="V8">
        <v>3726.7809999999995</v>
      </c>
      <c r="W8">
        <v>4727.2609999999995</v>
      </c>
      <c r="X8">
        <v>4566.7029999999995</v>
      </c>
      <c r="Y8">
        <v>4085.9969999999998</v>
      </c>
      <c r="Z8">
        <v>4389.6019999999999</v>
      </c>
      <c r="AA8">
        <v>4251.875</v>
      </c>
      <c r="AB8">
        <v>5460.2550000000001</v>
      </c>
      <c r="AC8">
        <v>4800.4799999999996</v>
      </c>
      <c r="AD8">
        <v>4427.0369999999994</v>
      </c>
      <c r="AE8">
        <v>5276.8249999999998</v>
      </c>
      <c r="AF8">
        <v>3694.8429999999998</v>
      </c>
      <c r="AG8">
        <v>3798.5770000000002</v>
      </c>
      <c r="AH8">
        <v>3526.922</v>
      </c>
      <c r="AI8">
        <v>4074.0710000000004</v>
      </c>
      <c r="AJ8">
        <v>3490.7320000000004</v>
      </c>
      <c r="AK8">
        <v>3132.5940000000001</v>
      </c>
      <c r="AL8">
        <v>3605.1179999999995</v>
      </c>
    </row>
    <row r="9" spans="1:43" x14ac:dyDescent="0.25">
      <c r="A9" s="13" t="s">
        <v>201</v>
      </c>
      <c r="B9">
        <v>8778.9050000000007</v>
      </c>
      <c r="C9">
        <v>10955.552999999998</v>
      </c>
      <c r="D9">
        <v>14169.924999999999</v>
      </c>
      <c r="E9">
        <v>15494.038999999999</v>
      </c>
      <c r="F9">
        <v>17194.011999999999</v>
      </c>
      <c r="G9">
        <v>14416.960999999999</v>
      </c>
      <c r="H9">
        <v>16662.698999999997</v>
      </c>
      <c r="I9">
        <v>14384.026999999998</v>
      </c>
      <c r="J9">
        <v>14836.664999999997</v>
      </c>
      <c r="K9">
        <v>13530.555999999999</v>
      </c>
      <c r="L9">
        <v>13047.747999999996</v>
      </c>
      <c r="M9">
        <v>13735.788999999997</v>
      </c>
      <c r="N9">
        <v>12810.258999999998</v>
      </c>
      <c r="O9">
        <v>14208.68</v>
      </c>
      <c r="P9">
        <v>13467.418000000001</v>
      </c>
      <c r="Q9">
        <v>11761.017999999998</v>
      </c>
      <c r="R9">
        <v>12782.46</v>
      </c>
      <c r="S9">
        <v>10449.509</v>
      </c>
      <c r="T9">
        <v>10312.201999999999</v>
      </c>
      <c r="U9">
        <v>10441.589999999998</v>
      </c>
      <c r="V9">
        <v>11468.175999999999</v>
      </c>
      <c r="W9">
        <v>10773.945999999998</v>
      </c>
      <c r="X9">
        <v>9307.4779999999992</v>
      </c>
      <c r="Y9">
        <v>9610.5279999999984</v>
      </c>
      <c r="Z9">
        <v>10071.215</v>
      </c>
      <c r="AA9">
        <v>10631.793</v>
      </c>
      <c r="AB9">
        <v>10462.289999999999</v>
      </c>
      <c r="AC9">
        <v>11890.028</v>
      </c>
      <c r="AD9">
        <v>13422.898999999999</v>
      </c>
      <c r="AE9">
        <v>14775.041000000001</v>
      </c>
      <c r="AF9">
        <v>13408.944</v>
      </c>
      <c r="AG9">
        <v>12578.136999999999</v>
      </c>
      <c r="AH9">
        <v>12583.064999999999</v>
      </c>
      <c r="AI9">
        <v>12014.868</v>
      </c>
      <c r="AJ9">
        <v>11927.913999999999</v>
      </c>
      <c r="AK9">
        <v>12655.276</v>
      </c>
      <c r="AL9">
        <v>10847.028999999999</v>
      </c>
    </row>
    <row r="10" spans="1:43" x14ac:dyDescent="0.25">
      <c r="A10" s="13" t="s">
        <v>195</v>
      </c>
      <c r="B10">
        <v>62521.192000000003</v>
      </c>
      <c r="C10">
        <v>58793.671999999984</v>
      </c>
      <c r="D10">
        <v>63888.206000000013</v>
      </c>
      <c r="E10">
        <v>69522.051999999996</v>
      </c>
      <c r="F10">
        <v>67210.968000000008</v>
      </c>
      <c r="G10">
        <v>65161.31</v>
      </c>
      <c r="H10">
        <v>65144.326999999997</v>
      </c>
      <c r="I10">
        <v>60075.991000000009</v>
      </c>
      <c r="J10">
        <v>56174.837000000014</v>
      </c>
      <c r="K10">
        <v>57852.728999999992</v>
      </c>
      <c r="L10">
        <v>54867.352000000014</v>
      </c>
      <c r="M10">
        <v>55960.181000000004</v>
      </c>
      <c r="N10">
        <v>58226.81900000001</v>
      </c>
      <c r="O10">
        <v>60164.657999999996</v>
      </c>
      <c r="P10">
        <v>73551.680999999997</v>
      </c>
      <c r="Q10">
        <v>72076.606999999989</v>
      </c>
      <c r="R10">
        <v>73150.008999999991</v>
      </c>
      <c r="S10">
        <v>67605.220000000016</v>
      </c>
      <c r="T10">
        <v>68471.989999999991</v>
      </c>
      <c r="U10">
        <v>63172.392999999967</v>
      </c>
      <c r="V10">
        <v>63874.332000000017</v>
      </c>
      <c r="W10">
        <v>61104.937999999995</v>
      </c>
      <c r="X10">
        <v>62089.015000000029</v>
      </c>
      <c r="Y10">
        <v>61254.935999999994</v>
      </c>
      <c r="Z10">
        <v>65197.411999999997</v>
      </c>
      <c r="AA10">
        <v>70412.591</v>
      </c>
      <c r="AB10">
        <v>75981.486999999994</v>
      </c>
      <c r="AC10">
        <v>71329.557000000001</v>
      </c>
      <c r="AD10">
        <v>74505.322999999989</v>
      </c>
      <c r="AE10">
        <v>72842.572000000044</v>
      </c>
      <c r="AF10">
        <v>75470.131999999983</v>
      </c>
      <c r="AG10">
        <v>71969.050000000017</v>
      </c>
      <c r="AH10">
        <v>67640.379000000001</v>
      </c>
      <c r="AI10">
        <v>69522.506999999998</v>
      </c>
      <c r="AJ10">
        <v>66083.582999999999</v>
      </c>
      <c r="AK10">
        <v>65933.898000000016</v>
      </c>
      <c r="AL10">
        <v>66752.148000000001</v>
      </c>
    </row>
    <row r="11" spans="1:43" x14ac:dyDescent="0.25">
      <c r="A11" s="13" t="s">
        <v>56</v>
      </c>
      <c r="B11">
        <v>75027.278000000006</v>
      </c>
      <c r="C11">
        <v>73597.823999999979</v>
      </c>
      <c r="D11">
        <v>84178.994000000006</v>
      </c>
      <c r="E11">
        <v>89938.697999999989</v>
      </c>
      <c r="F11">
        <v>88169.467000000004</v>
      </c>
      <c r="G11">
        <v>83823.792000000001</v>
      </c>
      <c r="H11">
        <v>86059.171999999991</v>
      </c>
      <c r="I11">
        <v>78613.152000000002</v>
      </c>
      <c r="J11">
        <v>75117.163000000015</v>
      </c>
      <c r="K11">
        <v>75212.834999999992</v>
      </c>
      <c r="L11">
        <v>71356.741000000009</v>
      </c>
      <c r="M11">
        <v>73333.769</v>
      </c>
      <c r="N11">
        <v>75368.377000000008</v>
      </c>
      <c r="O11">
        <v>79463.429999999993</v>
      </c>
      <c r="P11">
        <v>91962.997000000003</v>
      </c>
      <c r="Q11">
        <v>88567.695999999996</v>
      </c>
      <c r="R11">
        <v>90879.831999999995</v>
      </c>
      <c r="S11">
        <v>81861.638000000021</v>
      </c>
      <c r="T11">
        <v>81983.703999999998</v>
      </c>
      <c r="U11">
        <v>76815.941999999966</v>
      </c>
      <c r="V11">
        <v>79069.289000000019</v>
      </c>
      <c r="W11">
        <v>76606.14499999999</v>
      </c>
      <c r="X11">
        <v>75963.196000000025</v>
      </c>
      <c r="Y11">
        <v>74951.460999999996</v>
      </c>
      <c r="Z11">
        <v>79658.228999999992</v>
      </c>
      <c r="AA11">
        <v>85296.259000000005</v>
      </c>
      <c r="AB11">
        <v>91904.031999999992</v>
      </c>
      <c r="AC11">
        <v>88020.065000000002</v>
      </c>
      <c r="AD11">
        <v>92355.258999999991</v>
      </c>
      <c r="AE11">
        <v>92894.438000000053</v>
      </c>
      <c r="AF11">
        <v>92573.91899999998</v>
      </c>
      <c r="AG11">
        <v>88345.764000000025</v>
      </c>
      <c r="AH11">
        <v>83750.365999999995</v>
      </c>
      <c r="AI11">
        <v>85611.445999999996</v>
      </c>
      <c r="AJ11">
        <v>81502.228999999992</v>
      </c>
      <c r="AK11">
        <v>81721.768000000011</v>
      </c>
      <c r="AL11">
        <v>81204.294999999998</v>
      </c>
    </row>
    <row r="15" spans="1:43" x14ac:dyDescent="0.25">
      <c r="A15" s="27" t="s">
        <v>200</v>
      </c>
      <c r="B15" s="30">
        <v>44440</v>
      </c>
      <c r="C15" s="30">
        <v>44470</v>
      </c>
      <c r="D15" s="30">
        <v>44501</v>
      </c>
      <c r="E15" s="30">
        <v>44531</v>
      </c>
      <c r="F15" s="30">
        <v>44562</v>
      </c>
      <c r="G15" s="30">
        <v>44593</v>
      </c>
      <c r="H15" s="30">
        <v>44621</v>
      </c>
      <c r="I15" s="30">
        <v>44652</v>
      </c>
      <c r="J15" s="30">
        <v>44682</v>
      </c>
      <c r="K15" s="30">
        <v>44713</v>
      </c>
      <c r="L15" s="30">
        <v>44743</v>
      </c>
      <c r="M15" s="30">
        <v>44774</v>
      </c>
      <c r="N15" s="30">
        <v>44805</v>
      </c>
      <c r="O15" s="30">
        <v>44835</v>
      </c>
      <c r="P15" s="30">
        <v>44866</v>
      </c>
      <c r="Q15" s="30">
        <v>44896</v>
      </c>
      <c r="R15" s="30">
        <v>44927</v>
      </c>
      <c r="S15" s="30">
        <v>44958</v>
      </c>
      <c r="T15" s="30">
        <v>44986</v>
      </c>
      <c r="U15" s="30">
        <v>45017</v>
      </c>
      <c r="V15" s="30">
        <v>45047</v>
      </c>
      <c r="W15" s="30">
        <v>45078</v>
      </c>
      <c r="X15" s="30">
        <v>45108</v>
      </c>
      <c r="Y15" s="30">
        <v>45139</v>
      </c>
      <c r="Z15" s="30">
        <v>45170</v>
      </c>
      <c r="AA15" s="30">
        <v>45200</v>
      </c>
      <c r="AB15" s="30">
        <v>45231</v>
      </c>
      <c r="AC15" s="30">
        <v>45261</v>
      </c>
      <c r="AD15" s="30">
        <v>45292</v>
      </c>
      <c r="AE15" s="30">
        <v>45323</v>
      </c>
      <c r="AF15" s="30">
        <v>45352</v>
      </c>
      <c r="AG15" s="30">
        <v>45383</v>
      </c>
      <c r="AH15" s="30">
        <v>45413</v>
      </c>
      <c r="AI15" s="30">
        <v>45444</v>
      </c>
      <c r="AJ15" s="30">
        <v>45474</v>
      </c>
      <c r="AK15" s="30">
        <v>45505</v>
      </c>
      <c r="AL15" s="30">
        <v>45536</v>
      </c>
      <c r="AM15" t="s">
        <v>269</v>
      </c>
      <c r="AN15" t="s">
        <v>270</v>
      </c>
      <c r="AO15" t="s">
        <v>271</v>
      </c>
      <c r="AP15" t="s">
        <v>272</v>
      </c>
      <c r="AQ15" t="s">
        <v>273</v>
      </c>
    </row>
    <row r="16" spans="1:43" x14ac:dyDescent="0.25">
      <c r="A16" s="13" t="s">
        <v>201</v>
      </c>
      <c r="B16" s="15">
        <v>3189.3180000000002</v>
      </c>
      <c r="C16" s="15">
        <v>3180.3180000000002</v>
      </c>
      <c r="D16" s="15">
        <v>3548.9390000000003</v>
      </c>
      <c r="E16" s="15">
        <v>3495.5480000000002</v>
      </c>
      <c r="F16" s="15">
        <v>3536.9640000000004</v>
      </c>
      <c r="G16" s="15">
        <v>3120.2440000000001</v>
      </c>
      <c r="H16" s="15">
        <v>3516.0890000000004</v>
      </c>
      <c r="I16" s="15">
        <v>3520.5390000000007</v>
      </c>
      <c r="J16" s="15">
        <v>2940.8479999999995</v>
      </c>
      <c r="K16" s="15">
        <v>2561.2280000000001</v>
      </c>
      <c r="L16" s="15">
        <v>2793.4929999999999</v>
      </c>
      <c r="M16" s="15">
        <v>2863.95</v>
      </c>
      <c r="N16" s="15">
        <v>2776.6210000000001</v>
      </c>
      <c r="O16" s="15">
        <v>2295.5</v>
      </c>
      <c r="P16" s="15">
        <v>3813.3689999999997</v>
      </c>
      <c r="Q16" s="15">
        <v>3153.3860000000004</v>
      </c>
      <c r="R16" s="15">
        <v>3003.0239999999999</v>
      </c>
      <c r="S16" s="15">
        <v>3144.9470000000001</v>
      </c>
      <c r="T16" s="15">
        <v>3021.1800000000003</v>
      </c>
      <c r="U16" s="15">
        <v>3398.55</v>
      </c>
      <c r="V16" s="15">
        <v>3285.0820000000003</v>
      </c>
      <c r="W16" s="15">
        <v>3144.0520000000001</v>
      </c>
      <c r="X16" s="15">
        <v>3127.7950000000001</v>
      </c>
      <c r="Y16" s="15">
        <v>2598.3209999999999</v>
      </c>
      <c r="Z16" s="15">
        <v>2742.4770000000003</v>
      </c>
      <c r="AA16" s="15">
        <v>2689.788</v>
      </c>
      <c r="AB16" s="15">
        <v>2492.0100000000002</v>
      </c>
      <c r="AC16" s="15">
        <v>3154.6320000000001</v>
      </c>
      <c r="AD16" s="15">
        <v>3222.0820000000003</v>
      </c>
      <c r="AE16" s="15">
        <v>3386.15</v>
      </c>
      <c r="AF16" s="15">
        <v>4846.4440000000004</v>
      </c>
      <c r="AG16" s="15">
        <v>4569.4090000000006</v>
      </c>
      <c r="AH16" s="15">
        <v>4108.0380000000005</v>
      </c>
      <c r="AI16" s="15">
        <v>4515.7599999999993</v>
      </c>
      <c r="AJ16" s="15">
        <v>3694.9390000000003</v>
      </c>
      <c r="AK16" s="15">
        <v>3708.8179999999998</v>
      </c>
      <c r="AL16" s="15">
        <v>3352.8739999999998</v>
      </c>
      <c r="AM16" s="15">
        <f>+SUM(O16:Z16)</f>
        <v>36727.683000000005</v>
      </c>
      <c r="AN16" s="15">
        <f>+SUM(AA16:AL16)</f>
        <v>43740.944000000003</v>
      </c>
      <c r="AO16" s="15">
        <f>+AN16/AM16-1</f>
        <v>0.19095299314144043</v>
      </c>
      <c r="AP16" s="15">
        <f>+AM16/$AM$18</f>
        <v>4.5829180126822078E-2</v>
      </c>
      <c r="AQ16" s="15">
        <f>+AN16/$AN$18</f>
        <v>6.1646354880094976E-2</v>
      </c>
    </row>
    <row r="17" spans="1:43" x14ac:dyDescent="0.25">
      <c r="A17" s="13" t="s">
        <v>202</v>
      </c>
      <c r="B17" s="15">
        <v>54159.94</v>
      </c>
      <c r="C17" s="15">
        <v>50235.95199999999</v>
      </c>
      <c r="D17" s="15">
        <v>57446.684999999998</v>
      </c>
      <c r="E17" s="15">
        <v>60221.178</v>
      </c>
      <c r="F17" s="15">
        <v>58752.150000000009</v>
      </c>
      <c r="G17" s="15">
        <v>60772.600000000013</v>
      </c>
      <c r="H17" s="15">
        <v>58207.351999999999</v>
      </c>
      <c r="I17" s="15">
        <v>54266.061000000002</v>
      </c>
      <c r="J17" s="15">
        <v>54007.828999999998</v>
      </c>
      <c r="K17" s="15">
        <v>54222.166999999994</v>
      </c>
      <c r="L17" s="15">
        <v>54580.175999999992</v>
      </c>
      <c r="M17" s="15">
        <v>57713.502999999997</v>
      </c>
      <c r="N17" s="15">
        <v>57039.675999999999</v>
      </c>
      <c r="O17" s="15">
        <v>58114.21</v>
      </c>
      <c r="P17" s="15">
        <v>68511.168999999994</v>
      </c>
      <c r="Q17" s="15">
        <v>73901.766000000003</v>
      </c>
      <c r="R17" s="15">
        <v>70352.852999999988</v>
      </c>
      <c r="S17" s="15">
        <v>71841.592999999993</v>
      </c>
      <c r="T17" s="15">
        <v>68158.726999999999</v>
      </c>
      <c r="U17" s="15">
        <v>63167.112999999998</v>
      </c>
      <c r="V17" s="15">
        <v>60074.615000000013</v>
      </c>
      <c r="W17" s="15">
        <v>57429.533999999992</v>
      </c>
      <c r="X17" s="15">
        <v>58015.360999999997</v>
      </c>
      <c r="Y17" s="15">
        <v>57028.635000000009</v>
      </c>
      <c r="Z17" s="15">
        <v>58080.626000000004</v>
      </c>
      <c r="AA17" s="15">
        <v>62875.945</v>
      </c>
      <c r="AB17" s="15">
        <v>65068.728999999999</v>
      </c>
      <c r="AC17" s="15">
        <v>66719.509000000005</v>
      </c>
      <c r="AD17" s="15">
        <v>67577.583999999988</v>
      </c>
      <c r="AE17" s="15">
        <v>66310.812000000005</v>
      </c>
      <c r="AF17" s="15">
        <v>61722.464999999997</v>
      </c>
      <c r="AG17" s="15">
        <v>53263.726999999992</v>
      </c>
      <c r="AH17" s="15">
        <v>48418.867999999995</v>
      </c>
      <c r="AI17" s="15">
        <v>45505.152999999998</v>
      </c>
      <c r="AJ17" s="15">
        <v>43533.416000000012</v>
      </c>
      <c r="AK17" s="15">
        <v>41690.382000000005</v>
      </c>
      <c r="AL17" s="15">
        <v>43118.781999999999</v>
      </c>
      <c r="AM17" s="15">
        <f>+SUM(O17:Z17)</f>
        <v>764676.20200000005</v>
      </c>
      <c r="AN17" s="15">
        <f>+SUM(AA17:AL17)</f>
        <v>665805.37199999997</v>
      </c>
      <c r="AO17" s="15">
        <f t="shared" ref="AO17:AO18" si="0">+AN17/AM17-1</f>
        <v>-0.1292976422457045</v>
      </c>
      <c r="AP17" s="15">
        <f t="shared" ref="AP17:AP18" si="1">+AM17/$AM$18</f>
        <v>0.95417081987317798</v>
      </c>
      <c r="AQ17" s="15">
        <f t="shared" ref="AQ17:AQ18" si="2">+AN17/$AN$18</f>
        <v>0.93835364511990516</v>
      </c>
    </row>
    <row r="18" spans="1:43" x14ac:dyDescent="0.25">
      <c r="A18" s="28" t="s">
        <v>56</v>
      </c>
      <c r="B18" s="33">
        <v>57349.258000000002</v>
      </c>
      <c r="C18" s="33">
        <v>53416.26999999999</v>
      </c>
      <c r="D18" s="33">
        <v>60995.623999999996</v>
      </c>
      <c r="E18" s="33">
        <v>63716.726000000002</v>
      </c>
      <c r="F18" s="33">
        <v>62289.114000000009</v>
      </c>
      <c r="G18" s="33">
        <v>63892.844000000012</v>
      </c>
      <c r="H18" s="33">
        <v>61723.440999999999</v>
      </c>
      <c r="I18" s="33">
        <v>57786.600000000006</v>
      </c>
      <c r="J18" s="33">
        <v>56948.676999999996</v>
      </c>
      <c r="K18" s="33">
        <v>56783.394999999997</v>
      </c>
      <c r="L18" s="33">
        <v>57373.668999999994</v>
      </c>
      <c r="M18" s="33">
        <v>60577.452999999994</v>
      </c>
      <c r="N18" s="33">
        <v>59816.296999999999</v>
      </c>
      <c r="O18" s="33">
        <v>60409.71</v>
      </c>
      <c r="P18" s="33">
        <v>72324.538</v>
      </c>
      <c r="Q18" s="33">
        <v>77055.152000000002</v>
      </c>
      <c r="R18" s="33">
        <v>73355.876999999993</v>
      </c>
      <c r="S18" s="33">
        <v>74986.539999999994</v>
      </c>
      <c r="T18" s="33">
        <v>71179.907000000007</v>
      </c>
      <c r="U18" s="33">
        <v>66565.663</v>
      </c>
      <c r="V18" s="33">
        <v>63359.697000000015</v>
      </c>
      <c r="W18" s="33">
        <v>60573.585999999996</v>
      </c>
      <c r="X18" s="33">
        <v>61143.155999999995</v>
      </c>
      <c r="Y18" s="33">
        <v>59626.956000000006</v>
      </c>
      <c r="Z18" s="33">
        <v>60823.103000000003</v>
      </c>
      <c r="AA18" s="33">
        <v>65565.732999999993</v>
      </c>
      <c r="AB18" s="33">
        <v>67560.739000000001</v>
      </c>
      <c r="AC18" s="33">
        <v>69874.141000000003</v>
      </c>
      <c r="AD18" s="33">
        <v>70799.665999999983</v>
      </c>
      <c r="AE18" s="33">
        <v>69696.962</v>
      </c>
      <c r="AF18" s="33">
        <v>66568.909</v>
      </c>
      <c r="AG18" s="33">
        <v>57833.135999999991</v>
      </c>
      <c r="AH18" s="33">
        <v>52526.905999999995</v>
      </c>
      <c r="AI18" s="33">
        <v>50020.913</v>
      </c>
      <c r="AJ18" s="33">
        <v>47228.35500000001</v>
      </c>
      <c r="AK18" s="33">
        <v>45399.200000000004</v>
      </c>
      <c r="AL18" s="33">
        <v>46471.656000000003</v>
      </c>
      <c r="AM18" s="15">
        <f>+SUM(O18:Z18)</f>
        <v>801403.88500000001</v>
      </c>
      <c r="AN18" s="15">
        <f>+SUM(AA18:AL18)</f>
        <v>709546.31599999988</v>
      </c>
      <c r="AO18" s="15">
        <f t="shared" si="0"/>
        <v>-0.11462081819081793</v>
      </c>
      <c r="AP18" s="15">
        <f t="shared" si="1"/>
        <v>1</v>
      </c>
      <c r="AQ18" s="15">
        <f t="shared" si="2"/>
        <v>1</v>
      </c>
    </row>
    <row r="36" spans="1:43" x14ac:dyDescent="0.25">
      <c r="A36" s="27" t="s">
        <v>12</v>
      </c>
      <c r="B36" s="30">
        <v>44440</v>
      </c>
      <c r="C36" s="30">
        <v>44470</v>
      </c>
      <c r="D36" s="30">
        <v>44501</v>
      </c>
      <c r="E36" s="30">
        <v>44531</v>
      </c>
      <c r="F36" s="30">
        <v>44562</v>
      </c>
      <c r="G36" s="30">
        <v>44593</v>
      </c>
      <c r="H36" s="30">
        <v>44621</v>
      </c>
      <c r="I36" s="30">
        <v>44652</v>
      </c>
      <c r="J36" s="30">
        <v>44682</v>
      </c>
      <c r="K36" s="30">
        <v>44713</v>
      </c>
      <c r="L36" s="30">
        <v>44743</v>
      </c>
      <c r="M36" s="30">
        <v>44774</v>
      </c>
      <c r="N36" s="30">
        <v>44805</v>
      </c>
      <c r="O36" s="30">
        <v>44835</v>
      </c>
      <c r="P36" s="30">
        <v>44866</v>
      </c>
      <c r="Q36" s="30">
        <v>44896</v>
      </c>
      <c r="R36" s="30">
        <v>44927</v>
      </c>
      <c r="S36" s="30">
        <v>44958</v>
      </c>
      <c r="T36" s="30">
        <v>44986</v>
      </c>
      <c r="U36" s="30">
        <v>45017</v>
      </c>
      <c r="V36" s="30">
        <v>45047</v>
      </c>
      <c r="W36" s="30">
        <v>45078</v>
      </c>
      <c r="X36" s="30">
        <v>45108</v>
      </c>
      <c r="Y36" s="30">
        <v>45139</v>
      </c>
      <c r="Z36" s="30">
        <v>45170</v>
      </c>
      <c r="AA36" s="30">
        <v>45200</v>
      </c>
      <c r="AB36" s="30">
        <v>45231</v>
      </c>
      <c r="AC36" s="30">
        <v>45261</v>
      </c>
      <c r="AD36" s="30">
        <v>45292</v>
      </c>
      <c r="AE36" s="30">
        <v>45323</v>
      </c>
      <c r="AF36" s="30">
        <v>45352</v>
      </c>
      <c r="AG36" s="30">
        <v>45383</v>
      </c>
      <c r="AH36" s="30">
        <v>45413</v>
      </c>
      <c r="AI36" s="30">
        <v>45444</v>
      </c>
      <c r="AJ36" s="30">
        <v>45474</v>
      </c>
      <c r="AK36" s="30">
        <v>45505</v>
      </c>
      <c r="AL36" s="30">
        <v>45536</v>
      </c>
      <c r="AM36" t="s">
        <v>269</v>
      </c>
      <c r="AN36" t="s">
        <v>270</v>
      </c>
      <c r="AO36" t="s">
        <v>271</v>
      </c>
      <c r="AP36" t="s">
        <v>272</v>
      </c>
      <c r="AQ36" t="s">
        <v>273</v>
      </c>
    </row>
    <row r="37" spans="1:43" x14ac:dyDescent="0.25">
      <c r="A37" s="13" t="s">
        <v>203</v>
      </c>
      <c r="B37">
        <v>16587.057999999997</v>
      </c>
      <c r="C37">
        <v>17694.039000000004</v>
      </c>
      <c r="D37">
        <v>25221.174999999999</v>
      </c>
      <c r="E37">
        <v>27988.307000000001</v>
      </c>
      <c r="F37">
        <v>23182.123</v>
      </c>
      <c r="G37">
        <v>24597.008999999998</v>
      </c>
      <c r="H37">
        <v>19839.86</v>
      </c>
      <c r="I37">
        <v>18757.724999999999</v>
      </c>
      <c r="J37">
        <v>17839.155999999999</v>
      </c>
      <c r="K37">
        <v>18413.548000000003</v>
      </c>
      <c r="L37">
        <v>17619.866000000002</v>
      </c>
      <c r="M37">
        <v>16769.368999999999</v>
      </c>
      <c r="N37">
        <v>16330.359</v>
      </c>
      <c r="O37">
        <v>16779.742999999999</v>
      </c>
      <c r="P37">
        <v>22889.103999999999</v>
      </c>
      <c r="Q37">
        <v>25678.464</v>
      </c>
      <c r="R37">
        <v>26959.300999999999</v>
      </c>
      <c r="S37">
        <v>19314.471000000001</v>
      </c>
      <c r="T37">
        <v>17086.52</v>
      </c>
      <c r="U37">
        <v>16518.215</v>
      </c>
      <c r="V37">
        <v>16359.154</v>
      </c>
      <c r="W37">
        <v>15811.86</v>
      </c>
      <c r="X37">
        <v>14928.3</v>
      </c>
      <c r="Y37">
        <v>14241.433999999999</v>
      </c>
      <c r="Z37">
        <v>13797.59</v>
      </c>
      <c r="AA37">
        <v>14556.220000000001</v>
      </c>
      <c r="AB37">
        <v>18998.063000000002</v>
      </c>
      <c r="AC37">
        <v>19581.347000000002</v>
      </c>
      <c r="AD37">
        <v>20738.156999999999</v>
      </c>
      <c r="AE37">
        <v>21182.046999999999</v>
      </c>
      <c r="AF37">
        <v>21736.088</v>
      </c>
      <c r="AG37">
        <v>20730.500999999997</v>
      </c>
      <c r="AH37">
        <v>15596.289000000001</v>
      </c>
      <c r="AI37">
        <v>16790.431</v>
      </c>
      <c r="AJ37">
        <v>19087.756000000001</v>
      </c>
      <c r="AK37">
        <v>17261.226000000002</v>
      </c>
      <c r="AL37">
        <v>16079.91</v>
      </c>
      <c r="AM37">
        <f>+SUM(O37:Z37)</f>
        <v>220364.15599999999</v>
      </c>
      <c r="AN37">
        <f>+SUM(AA37:AL37)</f>
        <v>222338.035</v>
      </c>
      <c r="AO37" s="31">
        <f>+AN37/AM37-1</f>
        <v>8.9573505774687145E-3</v>
      </c>
      <c r="AP37" s="31">
        <f>+AM37/$AM$40</f>
        <v>0.22942817299509166</v>
      </c>
      <c r="AQ37" s="31">
        <f>+AN37/$AN$40</f>
        <v>0.22833352490692913</v>
      </c>
    </row>
    <row r="38" spans="1:43" x14ac:dyDescent="0.25">
      <c r="A38" s="13" t="s">
        <v>201</v>
      </c>
      <c r="B38">
        <v>14739.672999999999</v>
      </c>
      <c r="C38">
        <v>18228.912</v>
      </c>
      <c r="D38">
        <v>21949.016000000003</v>
      </c>
      <c r="E38">
        <v>28385.294999999998</v>
      </c>
      <c r="F38">
        <v>24440.071</v>
      </c>
      <c r="G38">
        <v>22686.114999999998</v>
      </c>
      <c r="H38">
        <v>20440.038</v>
      </c>
      <c r="I38">
        <v>18486.491000000002</v>
      </c>
      <c r="J38">
        <v>17357.524000000001</v>
      </c>
      <c r="K38">
        <v>17430.124000000003</v>
      </c>
      <c r="L38">
        <v>16397.076000000001</v>
      </c>
      <c r="M38">
        <v>17875.004999999997</v>
      </c>
      <c r="N38">
        <v>17499.686000000002</v>
      </c>
      <c r="O38">
        <v>16938.061999999998</v>
      </c>
      <c r="P38">
        <v>23368.559999999998</v>
      </c>
      <c r="Q38">
        <v>24094.943999999996</v>
      </c>
      <c r="R38">
        <v>25905.796999999999</v>
      </c>
      <c r="S38">
        <v>22660.196000000004</v>
      </c>
      <c r="T38">
        <v>22513.117999999999</v>
      </c>
      <c r="U38">
        <v>20846.46</v>
      </c>
      <c r="V38">
        <v>19968.741000000002</v>
      </c>
      <c r="W38">
        <v>19864.638999999999</v>
      </c>
      <c r="X38">
        <v>20036.014000000003</v>
      </c>
      <c r="Y38">
        <v>20567.101999999999</v>
      </c>
      <c r="Z38">
        <v>19119.822</v>
      </c>
      <c r="AA38">
        <v>21577.948</v>
      </c>
      <c r="AB38">
        <v>23921.214</v>
      </c>
      <c r="AC38">
        <v>22553.815999999999</v>
      </c>
      <c r="AD38">
        <v>21579.867000000002</v>
      </c>
      <c r="AE38">
        <v>22397.340000000004</v>
      </c>
      <c r="AF38">
        <v>22130.945</v>
      </c>
      <c r="AG38">
        <v>18896.864999999998</v>
      </c>
      <c r="AH38">
        <v>17405.897000000001</v>
      </c>
      <c r="AI38">
        <v>17468.114000000001</v>
      </c>
      <c r="AJ38">
        <v>17598.212999999996</v>
      </c>
      <c r="AK38">
        <v>17319.629000000001</v>
      </c>
      <c r="AL38">
        <v>17170.11</v>
      </c>
      <c r="AM38">
        <f>+SUM(O38:Z38)</f>
        <v>255883.45499999996</v>
      </c>
      <c r="AN38">
        <f>+SUM(AA38:AL38)</f>
        <v>240019.95799999998</v>
      </c>
      <c r="AO38" s="31">
        <f t="shared" ref="AO38:AO39" si="3">+AN38/AM38-1</f>
        <v>-6.1995008626094972E-2</v>
      </c>
      <c r="AP38" s="31">
        <f t="shared" ref="AP38:AP40" si="4">+AM38/$AM$40</f>
        <v>0.26640845156469889</v>
      </c>
      <c r="AQ38" s="31">
        <f t="shared" ref="AQ38:AQ40" si="5">+AN38/$AN$40</f>
        <v>0.24649225247561929</v>
      </c>
    </row>
    <row r="39" spans="1:43" x14ac:dyDescent="0.25">
      <c r="A39" s="13" t="s">
        <v>195</v>
      </c>
      <c r="B39">
        <v>34438.112000000001</v>
      </c>
      <c r="C39">
        <v>39372.267999999996</v>
      </c>
      <c r="D39">
        <v>41985.814999999995</v>
      </c>
      <c r="E39">
        <v>48634.892</v>
      </c>
      <c r="F39">
        <v>44074.563999999998</v>
      </c>
      <c r="G39">
        <v>42195.870999999999</v>
      </c>
      <c r="H39">
        <v>44342.175000000003</v>
      </c>
      <c r="I39">
        <v>38839.163</v>
      </c>
      <c r="J39">
        <v>37154.781000000003</v>
      </c>
      <c r="K39">
        <v>38197.005999999994</v>
      </c>
      <c r="L39">
        <v>36998.254000000001</v>
      </c>
      <c r="M39">
        <v>36583.360000000001</v>
      </c>
      <c r="N39">
        <v>40339.515999999996</v>
      </c>
      <c r="O39">
        <v>43355.339</v>
      </c>
      <c r="P39">
        <v>48864.422000000006</v>
      </c>
      <c r="Q39">
        <v>51205.034000000007</v>
      </c>
      <c r="R39">
        <v>46737.694000000003</v>
      </c>
      <c r="S39">
        <v>41729.766000000003</v>
      </c>
      <c r="T39">
        <v>40234.271000000008</v>
      </c>
      <c r="U39">
        <v>37362.298999999999</v>
      </c>
      <c r="V39">
        <v>34940.039000000004</v>
      </c>
      <c r="W39">
        <v>33984.887999999999</v>
      </c>
      <c r="X39">
        <v>35700.289999999994</v>
      </c>
      <c r="Y39">
        <v>34607.974000000002</v>
      </c>
      <c r="Z39">
        <v>35523.381000000001</v>
      </c>
      <c r="AA39">
        <v>44674.784</v>
      </c>
      <c r="AB39">
        <v>52609.955000000002</v>
      </c>
      <c r="AC39">
        <v>48734.108</v>
      </c>
      <c r="AD39">
        <v>50962.698000000004</v>
      </c>
      <c r="AE39">
        <v>45492.985000000001</v>
      </c>
      <c r="AF39">
        <v>45191.25</v>
      </c>
      <c r="AG39">
        <v>39523.754999999997</v>
      </c>
      <c r="AH39">
        <v>38163.64</v>
      </c>
      <c r="AI39">
        <v>37576.222000000002</v>
      </c>
      <c r="AJ39">
        <v>35427.402000000002</v>
      </c>
      <c r="AK39">
        <v>37121.509000000005</v>
      </c>
      <c r="AL39">
        <v>35906.100999999995</v>
      </c>
      <c r="AM39">
        <f>+SUM(O39:Z39)</f>
        <v>484245.39699999994</v>
      </c>
      <c r="AN39">
        <f>+SUM(AA39:AL39)</f>
        <v>511384.4090000001</v>
      </c>
      <c r="AO39" s="31">
        <f t="shared" si="3"/>
        <v>5.6043923531605921E-2</v>
      </c>
      <c r="AP39" s="31">
        <f t="shared" si="4"/>
        <v>0.50416337544020917</v>
      </c>
      <c r="AQ39" s="31">
        <f t="shared" si="5"/>
        <v>0.52517422261745161</v>
      </c>
    </row>
    <row r="40" spans="1:43" x14ac:dyDescent="0.25">
      <c r="A40" s="28" t="s">
        <v>56</v>
      </c>
      <c r="B40" s="29">
        <v>65764.842999999993</v>
      </c>
      <c r="C40" s="29">
        <v>75295.218999999997</v>
      </c>
      <c r="D40" s="29">
        <v>89156.005999999994</v>
      </c>
      <c r="E40" s="29">
        <v>105008.49400000001</v>
      </c>
      <c r="F40" s="29">
        <v>91696.758000000002</v>
      </c>
      <c r="G40" s="29">
        <v>89478.994999999995</v>
      </c>
      <c r="H40" s="29">
        <v>84622.073000000004</v>
      </c>
      <c r="I40" s="29">
        <v>76083.379000000001</v>
      </c>
      <c r="J40" s="29">
        <v>72351.46100000001</v>
      </c>
      <c r="K40" s="29">
        <v>74040.678</v>
      </c>
      <c r="L40" s="29">
        <v>71015.195999999996</v>
      </c>
      <c r="M40" s="29">
        <v>71227.733999999997</v>
      </c>
      <c r="N40" s="29">
        <v>74169.560999999987</v>
      </c>
      <c r="O40" s="29">
        <v>77073.144</v>
      </c>
      <c r="P40" s="29">
        <v>95122.08600000001</v>
      </c>
      <c r="Q40" s="29">
        <v>100978.44200000001</v>
      </c>
      <c r="R40" s="29">
        <v>99602.792000000001</v>
      </c>
      <c r="S40" s="29">
        <v>83704.433000000005</v>
      </c>
      <c r="T40" s="29">
        <v>79833.909000000014</v>
      </c>
      <c r="U40" s="29">
        <v>74726.974000000002</v>
      </c>
      <c r="V40" s="29">
        <v>71267.934000000008</v>
      </c>
      <c r="W40" s="29">
        <v>69661.386999999988</v>
      </c>
      <c r="X40" s="29">
        <v>70664.603999999992</v>
      </c>
      <c r="Y40" s="29">
        <v>69416.510000000009</v>
      </c>
      <c r="Z40" s="29">
        <v>68440.793000000005</v>
      </c>
      <c r="AA40" s="29">
        <v>80808.952000000005</v>
      </c>
      <c r="AB40" s="29">
        <v>95529.232000000004</v>
      </c>
      <c r="AC40" s="29">
        <v>90869.271000000008</v>
      </c>
      <c r="AD40" s="29">
        <v>93280.722000000009</v>
      </c>
      <c r="AE40" s="29">
        <v>89072.372000000003</v>
      </c>
      <c r="AF40" s="29">
        <v>89058.282999999996</v>
      </c>
      <c r="AG40" s="29">
        <v>79151.120999999985</v>
      </c>
      <c r="AH40" s="29">
        <v>71165.826000000001</v>
      </c>
      <c r="AI40" s="29">
        <v>71834.766999999993</v>
      </c>
      <c r="AJ40" s="29">
        <v>72113.370999999999</v>
      </c>
      <c r="AK40" s="29">
        <v>71702.364000000001</v>
      </c>
      <c r="AL40" s="29">
        <v>69156.120999999999</v>
      </c>
      <c r="AM40">
        <f>+SUM(O40:Z40)</f>
        <v>960493.00800000015</v>
      </c>
      <c r="AN40">
        <f>+SUM(AA40:AL40)</f>
        <v>973742.402</v>
      </c>
      <c r="AO40" s="31">
        <f t="shared" ref="AO40" si="6">+AN40/AM40-1</f>
        <v>1.3794367985654254E-2</v>
      </c>
      <c r="AP40" s="31">
        <f t="shared" si="4"/>
        <v>1</v>
      </c>
      <c r="AQ40" s="31">
        <f t="shared" si="5"/>
        <v>1</v>
      </c>
    </row>
    <row r="58" spans="1:43" x14ac:dyDescent="0.25">
      <c r="A58" s="27" t="s">
        <v>204</v>
      </c>
      <c r="B58" s="30">
        <v>44440</v>
      </c>
      <c r="C58" s="30">
        <v>44470</v>
      </c>
      <c r="D58" s="30">
        <v>44501</v>
      </c>
      <c r="E58" s="30">
        <v>44531</v>
      </c>
      <c r="F58" s="30">
        <v>44562</v>
      </c>
      <c r="G58" s="30">
        <v>44593</v>
      </c>
      <c r="H58" s="30">
        <v>44621</v>
      </c>
      <c r="I58" s="30">
        <v>44652</v>
      </c>
      <c r="J58" s="30">
        <v>44682</v>
      </c>
      <c r="K58" s="30">
        <v>44713</v>
      </c>
      <c r="L58" s="30">
        <v>44743</v>
      </c>
      <c r="M58" s="30">
        <v>44774</v>
      </c>
      <c r="N58" s="30">
        <v>44805</v>
      </c>
      <c r="O58" s="30">
        <v>44835</v>
      </c>
      <c r="P58" s="30">
        <v>44866</v>
      </c>
      <c r="Q58" s="30">
        <v>44896</v>
      </c>
      <c r="R58" s="30">
        <v>44927</v>
      </c>
      <c r="S58" s="30">
        <v>44958</v>
      </c>
      <c r="T58" s="30">
        <v>44986</v>
      </c>
      <c r="U58" s="30">
        <v>45017</v>
      </c>
      <c r="V58" s="30">
        <v>45047</v>
      </c>
      <c r="W58" s="30">
        <v>45078</v>
      </c>
      <c r="X58" s="30">
        <v>45108</v>
      </c>
      <c r="Y58" s="30">
        <v>45139</v>
      </c>
      <c r="Z58" s="30">
        <v>45170</v>
      </c>
      <c r="AA58" s="30">
        <v>45200</v>
      </c>
      <c r="AB58" s="30">
        <v>45231</v>
      </c>
      <c r="AC58" s="30">
        <v>45261</v>
      </c>
      <c r="AD58" s="30">
        <v>45292</v>
      </c>
      <c r="AE58" s="30">
        <v>45323</v>
      </c>
      <c r="AF58" s="30">
        <v>45352</v>
      </c>
      <c r="AG58" s="30">
        <v>45383</v>
      </c>
      <c r="AH58" s="30">
        <v>45413</v>
      </c>
      <c r="AI58" s="30">
        <v>45444</v>
      </c>
      <c r="AJ58" s="30">
        <v>45474</v>
      </c>
      <c r="AK58" s="30">
        <v>45505</v>
      </c>
      <c r="AL58" s="30">
        <v>45536</v>
      </c>
      <c r="AM58" t="s">
        <v>269</v>
      </c>
      <c r="AN58" t="s">
        <v>270</v>
      </c>
      <c r="AO58" t="s">
        <v>271</v>
      </c>
      <c r="AP58" t="s">
        <v>272</v>
      </c>
      <c r="AQ58" t="s">
        <v>273</v>
      </c>
    </row>
    <row r="59" spans="1:43" x14ac:dyDescent="0.25">
      <c r="A59" s="13" t="s">
        <v>203</v>
      </c>
      <c r="B59">
        <v>3727.181</v>
      </c>
      <c r="C59">
        <v>3848.5990000000002</v>
      </c>
      <c r="D59">
        <v>6120.8630000000003</v>
      </c>
      <c r="E59">
        <v>4922.6069999999991</v>
      </c>
      <c r="F59">
        <v>3764.4870000000001</v>
      </c>
      <c r="G59">
        <v>4245.5209999999997</v>
      </c>
      <c r="H59">
        <v>4252.1460000000006</v>
      </c>
      <c r="I59">
        <v>4153.134</v>
      </c>
      <c r="J59">
        <v>4105.6609999999991</v>
      </c>
      <c r="K59">
        <v>3829.5499999999997</v>
      </c>
      <c r="L59">
        <v>3441.6410000000001</v>
      </c>
      <c r="M59">
        <v>3637.799</v>
      </c>
      <c r="N59">
        <v>4331.2989999999991</v>
      </c>
      <c r="O59">
        <v>5090.0920000000006</v>
      </c>
      <c r="P59">
        <v>4943.8979999999992</v>
      </c>
      <c r="Q59">
        <v>4730.0709999999999</v>
      </c>
      <c r="R59">
        <v>4947.3629999999994</v>
      </c>
      <c r="S59">
        <v>3806.9089999999997</v>
      </c>
      <c r="T59">
        <v>3199.5119999999997</v>
      </c>
      <c r="U59">
        <v>3201.9589999999998</v>
      </c>
      <c r="V59">
        <v>3726.7809999999995</v>
      </c>
      <c r="W59">
        <v>4727.2609999999995</v>
      </c>
      <c r="X59">
        <v>4566.7029999999995</v>
      </c>
      <c r="Y59">
        <v>4085.9969999999998</v>
      </c>
      <c r="Z59">
        <v>4389.6019999999999</v>
      </c>
      <c r="AA59">
        <v>4251.875</v>
      </c>
      <c r="AB59">
        <v>5460.2550000000001</v>
      </c>
      <c r="AC59">
        <v>4800.4799999999996</v>
      </c>
      <c r="AD59">
        <v>4427.0369999999994</v>
      </c>
      <c r="AE59">
        <v>5276.8249999999998</v>
      </c>
      <c r="AF59">
        <v>3694.8429999999998</v>
      </c>
      <c r="AG59">
        <v>3798.5770000000002</v>
      </c>
      <c r="AH59">
        <v>3526.922</v>
      </c>
      <c r="AI59">
        <v>4074.0710000000004</v>
      </c>
      <c r="AJ59">
        <v>3490.7320000000004</v>
      </c>
      <c r="AK59">
        <v>3132.5940000000001</v>
      </c>
      <c r="AL59">
        <v>3605.1179999999995</v>
      </c>
      <c r="AM59">
        <f>+SUM(O59:Z59)</f>
        <v>51416.148000000001</v>
      </c>
      <c r="AN59">
        <f>+SUM(AA59:AL59)</f>
        <v>49539.329000000012</v>
      </c>
      <c r="AO59" s="31">
        <f>+AN59/AM59-1</f>
        <v>-3.6502520569996588E-2</v>
      </c>
      <c r="AP59" s="31">
        <f>+AM59/$AM$62</f>
        <v>5.2584385907024654E-2</v>
      </c>
      <c r="AQ59" s="31">
        <f>+AN59/$AN$62</f>
        <v>4.7397899484934579E-2</v>
      </c>
    </row>
    <row r="60" spans="1:43" x14ac:dyDescent="0.25">
      <c r="A60" s="13" t="s">
        <v>201</v>
      </c>
      <c r="B60">
        <v>8778.9050000000007</v>
      </c>
      <c r="C60">
        <v>10955.552999999998</v>
      </c>
      <c r="D60">
        <v>14169.924999999999</v>
      </c>
      <c r="E60">
        <v>15494.038999999999</v>
      </c>
      <c r="F60">
        <v>17194.011999999999</v>
      </c>
      <c r="G60">
        <v>14416.960999999999</v>
      </c>
      <c r="H60">
        <v>16662.698999999997</v>
      </c>
      <c r="I60">
        <v>14384.026999999998</v>
      </c>
      <c r="J60">
        <v>14836.664999999997</v>
      </c>
      <c r="K60">
        <v>13530.555999999999</v>
      </c>
      <c r="L60">
        <v>13047.747999999996</v>
      </c>
      <c r="M60">
        <v>13735.788999999997</v>
      </c>
      <c r="N60">
        <v>12810.258999999998</v>
      </c>
      <c r="O60">
        <v>14208.68</v>
      </c>
      <c r="P60">
        <v>13467.418000000001</v>
      </c>
      <c r="Q60">
        <v>11761.017999999998</v>
      </c>
      <c r="R60">
        <v>12782.46</v>
      </c>
      <c r="S60">
        <v>10449.509</v>
      </c>
      <c r="T60">
        <v>10312.201999999999</v>
      </c>
      <c r="U60">
        <v>10441.589999999998</v>
      </c>
      <c r="V60">
        <v>11468.175999999999</v>
      </c>
      <c r="W60">
        <v>10773.945999999998</v>
      </c>
      <c r="X60">
        <v>9307.4779999999992</v>
      </c>
      <c r="Y60">
        <v>9610.5279999999984</v>
      </c>
      <c r="Z60">
        <v>10071.215</v>
      </c>
      <c r="AA60">
        <v>10631.793</v>
      </c>
      <c r="AB60">
        <v>10462.289999999999</v>
      </c>
      <c r="AC60">
        <v>11890.028</v>
      </c>
      <c r="AD60">
        <v>13422.898999999999</v>
      </c>
      <c r="AE60">
        <v>14775.041000000001</v>
      </c>
      <c r="AF60">
        <v>13408.944</v>
      </c>
      <c r="AG60">
        <v>12578.136999999999</v>
      </c>
      <c r="AH60">
        <v>12583.064999999999</v>
      </c>
      <c r="AI60">
        <v>12014.868</v>
      </c>
      <c r="AJ60">
        <v>11927.913999999999</v>
      </c>
      <c r="AK60">
        <v>12655.276</v>
      </c>
      <c r="AL60">
        <v>10847.028999999999</v>
      </c>
      <c r="AM60">
        <f>+SUM(O60:Z60)</f>
        <v>134654.21999999997</v>
      </c>
      <c r="AN60">
        <f>+SUM(AA60:AL60)</f>
        <v>147197.28400000001</v>
      </c>
      <c r="AO60" s="31">
        <f t="shared" ref="AO60:AO62" si="7">+AN60/AM60-1</f>
        <v>9.3150173830423233E-2</v>
      </c>
      <c r="AP60" s="31">
        <f t="shared" ref="AP60:AP62" si="8">+AM60/$AM$62</f>
        <v>0.13771372893374656</v>
      </c>
      <c r="AQ60" s="31">
        <f t="shared" ref="AQ60:AQ62" si="9">+AN60/$AN$62</f>
        <v>0.140834407980927</v>
      </c>
    </row>
    <row r="61" spans="1:43" x14ac:dyDescent="0.25">
      <c r="A61" s="13" t="s">
        <v>195</v>
      </c>
      <c r="B61">
        <v>62521.192000000003</v>
      </c>
      <c r="C61">
        <v>58793.671999999984</v>
      </c>
      <c r="D61">
        <v>63888.206000000013</v>
      </c>
      <c r="E61">
        <v>69522.051999999996</v>
      </c>
      <c r="F61">
        <v>67210.968000000008</v>
      </c>
      <c r="G61">
        <v>65161.31</v>
      </c>
      <c r="H61">
        <v>65144.326999999997</v>
      </c>
      <c r="I61">
        <v>60075.991000000009</v>
      </c>
      <c r="J61">
        <v>56174.837000000014</v>
      </c>
      <c r="K61">
        <v>57852.728999999992</v>
      </c>
      <c r="L61">
        <v>54867.352000000014</v>
      </c>
      <c r="M61">
        <v>55960.181000000004</v>
      </c>
      <c r="N61">
        <v>58226.81900000001</v>
      </c>
      <c r="O61">
        <v>60164.657999999996</v>
      </c>
      <c r="P61">
        <v>73551.680999999997</v>
      </c>
      <c r="Q61">
        <v>72076.606999999989</v>
      </c>
      <c r="R61">
        <v>73150.008999999991</v>
      </c>
      <c r="S61">
        <v>67605.220000000016</v>
      </c>
      <c r="T61">
        <v>68471.989999999991</v>
      </c>
      <c r="U61">
        <v>63172.392999999967</v>
      </c>
      <c r="V61">
        <v>63874.332000000017</v>
      </c>
      <c r="W61">
        <v>61104.937999999995</v>
      </c>
      <c r="X61">
        <v>62089.015000000029</v>
      </c>
      <c r="Y61">
        <v>61254.935999999994</v>
      </c>
      <c r="Z61">
        <v>65197.411999999997</v>
      </c>
      <c r="AA61">
        <v>70412.591</v>
      </c>
      <c r="AB61">
        <v>75981.486999999994</v>
      </c>
      <c r="AC61">
        <v>71329.557000000001</v>
      </c>
      <c r="AD61">
        <v>74505.322999999989</v>
      </c>
      <c r="AE61">
        <v>72842.572000000044</v>
      </c>
      <c r="AF61">
        <v>75470.131999999983</v>
      </c>
      <c r="AG61">
        <v>71969.050000000017</v>
      </c>
      <c r="AH61">
        <v>67640.379000000001</v>
      </c>
      <c r="AI61">
        <v>69522.506999999998</v>
      </c>
      <c r="AJ61">
        <v>66083.582999999999</v>
      </c>
      <c r="AK61">
        <v>65933.898000000016</v>
      </c>
      <c r="AL61">
        <v>66752.148000000001</v>
      </c>
      <c r="AM61">
        <f>+SUM(O61:Z61)</f>
        <v>791713.19099999999</v>
      </c>
      <c r="AN61">
        <f>+SUM(AA61:AL61)</f>
        <v>848443.22700000007</v>
      </c>
      <c r="AO61" s="31">
        <f t="shared" si="7"/>
        <v>7.1654781864055161E-2</v>
      </c>
      <c r="AP61" s="31">
        <f t="shared" si="8"/>
        <v>0.80970188515922892</v>
      </c>
      <c r="AQ61" s="31">
        <f t="shared" si="9"/>
        <v>0.81176769253413839</v>
      </c>
    </row>
    <row r="62" spans="1:43" x14ac:dyDescent="0.25">
      <c r="A62" s="28" t="s">
        <v>56</v>
      </c>
      <c r="B62" s="29">
        <v>75027.278000000006</v>
      </c>
      <c r="C62" s="29">
        <v>73597.823999999979</v>
      </c>
      <c r="D62" s="29">
        <v>84178.994000000006</v>
      </c>
      <c r="E62" s="29">
        <v>89938.697999999989</v>
      </c>
      <c r="F62" s="29">
        <v>88169.467000000004</v>
      </c>
      <c r="G62" s="29">
        <v>83823.792000000001</v>
      </c>
      <c r="H62" s="29">
        <v>86059.171999999991</v>
      </c>
      <c r="I62" s="29">
        <v>78613.152000000002</v>
      </c>
      <c r="J62" s="29">
        <v>75117.163000000015</v>
      </c>
      <c r="K62" s="29">
        <v>75212.834999999992</v>
      </c>
      <c r="L62" s="29">
        <v>71356.741000000009</v>
      </c>
      <c r="M62" s="29">
        <v>73333.769</v>
      </c>
      <c r="N62" s="29">
        <v>75368.377000000008</v>
      </c>
      <c r="O62" s="29">
        <v>79463.429999999993</v>
      </c>
      <c r="P62" s="29">
        <v>91962.997000000003</v>
      </c>
      <c r="Q62" s="29">
        <v>88567.695999999996</v>
      </c>
      <c r="R62" s="29">
        <v>90879.831999999995</v>
      </c>
      <c r="S62" s="29">
        <v>81861.638000000021</v>
      </c>
      <c r="T62" s="29">
        <v>81983.703999999998</v>
      </c>
      <c r="U62" s="29">
        <v>76815.941999999966</v>
      </c>
      <c r="V62" s="29">
        <v>79069.289000000019</v>
      </c>
      <c r="W62" s="29">
        <v>76606.14499999999</v>
      </c>
      <c r="X62" s="29">
        <v>75963.196000000025</v>
      </c>
      <c r="Y62" s="29">
        <v>74951.460999999996</v>
      </c>
      <c r="Z62" s="29">
        <v>79658.228999999992</v>
      </c>
      <c r="AA62" s="29">
        <v>85296.259000000005</v>
      </c>
      <c r="AB62" s="29">
        <v>91904.031999999992</v>
      </c>
      <c r="AC62" s="29">
        <v>88020.065000000002</v>
      </c>
      <c r="AD62" s="29">
        <v>92355.258999999991</v>
      </c>
      <c r="AE62" s="29">
        <v>92894.438000000053</v>
      </c>
      <c r="AF62" s="29">
        <v>92573.91899999998</v>
      </c>
      <c r="AG62" s="29">
        <v>88345.764000000025</v>
      </c>
      <c r="AH62" s="29">
        <v>83750.365999999995</v>
      </c>
      <c r="AI62" s="29">
        <v>85611.445999999996</v>
      </c>
      <c r="AJ62" s="29">
        <v>81502.228999999992</v>
      </c>
      <c r="AK62" s="29">
        <v>81721.768000000011</v>
      </c>
      <c r="AL62" s="29">
        <v>81204.294999999998</v>
      </c>
      <c r="AM62">
        <f>+SUM(O62:Z62)</f>
        <v>977783.55899999989</v>
      </c>
      <c r="AN62">
        <f>+SUM(AA62:AL62)</f>
        <v>1045179.8400000001</v>
      </c>
      <c r="AO62" s="31">
        <f t="shared" si="7"/>
        <v>6.8927607116781253E-2</v>
      </c>
      <c r="AP62" s="31">
        <f t="shared" si="8"/>
        <v>1</v>
      </c>
      <c r="AQ62" s="31">
        <f t="shared" si="9"/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5CF0-36A3-4855-8F55-34786F077B51}">
  <dimension ref="A1:AT172"/>
  <sheetViews>
    <sheetView workbookViewId="0">
      <selection activeCell="H1" sqref="H1"/>
    </sheetView>
  </sheetViews>
  <sheetFormatPr defaultColWidth="11.42578125" defaultRowHeight="15" x14ac:dyDescent="0.25"/>
  <sheetData>
    <row r="1" spans="1:46" ht="16.5" x14ac:dyDescent="0.25">
      <c r="A1" s="2" t="s">
        <v>155</v>
      </c>
      <c r="B1" s="2" t="s">
        <v>207</v>
      </c>
      <c r="C1" s="2" t="s">
        <v>208</v>
      </c>
      <c r="D1" s="2" t="s">
        <v>152</v>
      </c>
      <c r="E1" s="2" t="s">
        <v>153</v>
      </c>
      <c r="F1" s="2" t="s">
        <v>156</v>
      </c>
      <c r="G1" s="2" t="s">
        <v>154</v>
      </c>
      <c r="H1" s="2" t="s">
        <v>150</v>
      </c>
      <c r="I1" s="3" t="s">
        <v>209</v>
      </c>
      <c r="J1" s="3" t="s">
        <v>210</v>
      </c>
      <c r="K1" s="3" t="s">
        <v>211</v>
      </c>
      <c r="L1" s="3" t="s">
        <v>212</v>
      </c>
      <c r="M1" s="3" t="s">
        <v>213</v>
      </c>
      <c r="N1" s="3" t="s">
        <v>214</v>
      </c>
      <c r="O1" s="3" t="s">
        <v>215</v>
      </c>
      <c r="P1" s="3" t="s">
        <v>216</v>
      </c>
      <c r="Q1" s="3" t="s">
        <v>217</v>
      </c>
      <c r="R1" s="3" t="s">
        <v>218</v>
      </c>
      <c r="S1" s="3" t="s">
        <v>219</v>
      </c>
      <c r="T1" s="3" t="s">
        <v>220</v>
      </c>
      <c r="U1" s="3" t="s">
        <v>221</v>
      </c>
      <c r="V1" s="3" t="s">
        <v>222</v>
      </c>
      <c r="W1" s="3" t="s">
        <v>223</v>
      </c>
      <c r="X1" s="3" t="s">
        <v>224</v>
      </c>
      <c r="Y1" s="3" t="s">
        <v>225</v>
      </c>
      <c r="Z1" s="3" t="s">
        <v>226</v>
      </c>
      <c r="AA1" s="3" t="s">
        <v>227</v>
      </c>
      <c r="AB1" s="3" t="s">
        <v>228</v>
      </c>
      <c r="AC1" s="3" t="s">
        <v>229</v>
      </c>
      <c r="AD1" s="3" t="s">
        <v>230</v>
      </c>
      <c r="AE1" s="3" t="s">
        <v>231</v>
      </c>
      <c r="AF1" s="3" t="s">
        <v>232</v>
      </c>
      <c r="AG1" s="3" t="s">
        <v>233</v>
      </c>
      <c r="AH1" s="3" t="s">
        <v>234</v>
      </c>
      <c r="AI1" s="3" t="s">
        <v>235</v>
      </c>
      <c r="AJ1" s="3" t="s">
        <v>236</v>
      </c>
      <c r="AK1" s="3" t="s">
        <v>237</v>
      </c>
      <c r="AL1" s="3" t="s">
        <v>238</v>
      </c>
      <c r="AM1" s="3" t="s">
        <v>239</v>
      </c>
      <c r="AN1" s="3" t="s">
        <v>240</v>
      </c>
      <c r="AO1" s="3" t="s">
        <v>241</v>
      </c>
      <c r="AP1" s="3" t="s">
        <v>242</v>
      </c>
      <c r="AQ1" s="3" t="s">
        <v>243</v>
      </c>
      <c r="AR1" s="3" t="s">
        <v>244</v>
      </c>
      <c r="AS1" s="3" t="s">
        <v>245</v>
      </c>
      <c r="AT1" s="3" t="s">
        <v>274</v>
      </c>
    </row>
    <row r="2" spans="1:46" x14ac:dyDescent="0.25">
      <c r="A2" s="4" t="s">
        <v>198</v>
      </c>
      <c r="B2" s="4" t="s">
        <v>207</v>
      </c>
      <c r="C2" s="4" t="s">
        <v>246</v>
      </c>
      <c r="D2" s="4" t="s">
        <v>247</v>
      </c>
      <c r="E2" s="4" t="s">
        <v>248</v>
      </c>
      <c r="F2" s="4" t="s">
        <v>201</v>
      </c>
      <c r="G2" s="4" t="s">
        <v>93</v>
      </c>
      <c r="H2" s="4" t="s">
        <v>268</v>
      </c>
      <c r="I2" s="5">
        <v>573.60199999999998</v>
      </c>
      <c r="J2" s="5">
        <v>857.904</v>
      </c>
      <c r="K2" s="5">
        <v>962.351</v>
      </c>
      <c r="L2" s="5">
        <v>1004.544</v>
      </c>
      <c r="M2" s="5">
        <v>741.15700000000004</v>
      </c>
      <c r="N2" s="5">
        <v>734.05100000000004</v>
      </c>
      <c r="O2" s="5">
        <v>593.04999999999995</v>
      </c>
      <c r="P2" s="5">
        <v>912.91600000000005</v>
      </c>
      <c r="Q2" s="5">
        <v>577.75300000000004</v>
      </c>
      <c r="R2" s="5">
        <v>592.20600000000002</v>
      </c>
      <c r="S2" s="5">
        <v>620.04600000000005</v>
      </c>
      <c r="T2" s="5">
        <v>609.53300000000002</v>
      </c>
      <c r="U2" s="5">
        <v>619.36599999999999</v>
      </c>
      <c r="V2" s="5">
        <v>561.44600000000003</v>
      </c>
      <c r="W2" s="5">
        <v>672.779</v>
      </c>
      <c r="X2" s="5">
        <v>568.78800000000001</v>
      </c>
      <c r="Y2" s="5">
        <v>365.411</v>
      </c>
      <c r="Z2" s="5">
        <v>461.47199999999998</v>
      </c>
      <c r="AA2" s="5">
        <v>621.17200000000003</v>
      </c>
      <c r="AB2" s="5">
        <v>722.84799999999996</v>
      </c>
      <c r="AC2" s="5">
        <v>732.13499999999999</v>
      </c>
      <c r="AD2" s="5">
        <v>731.08900000000006</v>
      </c>
      <c r="AE2" s="5">
        <v>707.32799999999997</v>
      </c>
      <c r="AF2" s="5">
        <v>449.75700000000001</v>
      </c>
      <c r="AG2" s="5">
        <v>372.99299999999999</v>
      </c>
      <c r="AH2" s="5">
        <v>436.267</v>
      </c>
      <c r="AI2" s="5">
        <v>518.81100000000004</v>
      </c>
      <c r="AJ2" s="5">
        <v>904.92</v>
      </c>
      <c r="AK2" s="5">
        <v>921.17499999999995</v>
      </c>
      <c r="AL2" s="5">
        <v>896.42</v>
      </c>
      <c r="AM2" s="5">
        <v>947.10500000000002</v>
      </c>
      <c r="AN2" s="5">
        <v>1255.278</v>
      </c>
      <c r="AO2" s="5">
        <v>858.303</v>
      </c>
      <c r="AP2" s="5">
        <v>756.19100000000003</v>
      </c>
      <c r="AQ2" s="5">
        <v>557.42899999999997</v>
      </c>
      <c r="AR2" s="5">
        <v>630.58399999999995</v>
      </c>
      <c r="AS2" s="5">
        <v>437.786</v>
      </c>
      <c r="AT2" s="5">
        <v>554.75099999999998</v>
      </c>
    </row>
    <row r="3" spans="1:46" x14ac:dyDescent="0.25">
      <c r="A3" s="4" t="s">
        <v>198</v>
      </c>
      <c r="B3" s="4" t="s">
        <v>207</v>
      </c>
      <c r="C3" s="4" t="s">
        <v>246</v>
      </c>
      <c r="D3" s="4" t="s">
        <v>247</v>
      </c>
      <c r="E3" s="4" t="s">
        <v>248</v>
      </c>
      <c r="F3" s="4" t="s">
        <v>201</v>
      </c>
      <c r="G3" s="4" t="s">
        <v>253</v>
      </c>
      <c r="H3" s="4" t="s">
        <v>268</v>
      </c>
      <c r="I3" s="8">
        <v>0</v>
      </c>
      <c r="J3" s="8">
        <v>0</v>
      </c>
      <c r="K3" s="8">
        <v>0</v>
      </c>
      <c r="L3" s="5">
        <v>17.975000000000001</v>
      </c>
      <c r="M3" s="5">
        <v>26.962</v>
      </c>
      <c r="N3" s="5">
        <v>26.962</v>
      </c>
      <c r="O3" s="5">
        <v>35.950000000000003</v>
      </c>
      <c r="P3" s="5">
        <v>26.962</v>
      </c>
      <c r="Q3" s="5">
        <v>9.8620000000000001</v>
      </c>
      <c r="R3" s="5">
        <v>9.8620000000000001</v>
      </c>
      <c r="S3" s="8">
        <v>0</v>
      </c>
      <c r="T3" s="8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</row>
    <row r="4" spans="1:46" x14ac:dyDescent="0.25">
      <c r="A4" s="4" t="s">
        <v>198</v>
      </c>
      <c r="B4" s="4" t="s">
        <v>207</v>
      </c>
      <c r="C4" s="4" t="s">
        <v>246</v>
      </c>
      <c r="D4" s="4" t="s">
        <v>247</v>
      </c>
      <c r="E4" s="4" t="s">
        <v>248</v>
      </c>
      <c r="F4" s="4" t="s">
        <v>202</v>
      </c>
      <c r="G4" s="4" t="s">
        <v>93</v>
      </c>
      <c r="H4" s="4" t="s">
        <v>268</v>
      </c>
      <c r="I4" s="5">
        <v>3854.8530000000001</v>
      </c>
      <c r="J4" s="5">
        <v>3229.35</v>
      </c>
      <c r="K4" s="5">
        <v>4388.8739999999998</v>
      </c>
      <c r="L4" s="5">
        <v>5248.4070000000002</v>
      </c>
      <c r="M4" s="5">
        <v>4712.8149999999996</v>
      </c>
      <c r="N4" s="5">
        <v>5946.1419999999998</v>
      </c>
      <c r="O4" s="5">
        <v>6604.2420000000002</v>
      </c>
      <c r="P4" s="5">
        <v>6179.3860000000004</v>
      </c>
      <c r="Q4" s="5">
        <v>6474.0590000000002</v>
      </c>
      <c r="R4" s="5">
        <v>6669.2150000000001</v>
      </c>
      <c r="S4" s="5">
        <v>6205.884</v>
      </c>
      <c r="T4" s="5">
        <v>6389.05</v>
      </c>
      <c r="U4" s="5">
        <v>6336.2969999999996</v>
      </c>
      <c r="V4" s="5">
        <v>6479.6689999999999</v>
      </c>
      <c r="W4" s="5">
        <v>6856.9859999999999</v>
      </c>
      <c r="X4" s="5">
        <v>6581.1210000000001</v>
      </c>
      <c r="Y4" s="5">
        <v>6467.9070000000002</v>
      </c>
      <c r="Z4" s="5">
        <v>6947.2020000000002</v>
      </c>
      <c r="AA4" s="5">
        <v>7294.7960000000003</v>
      </c>
      <c r="AB4" s="5">
        <v>7253.777</v>
      </c>
      <c r="AC4" s="5">
        <v>7013.1670000000004</v>
      </c>
      <c r="AD4" s="5">
        <v>6619.8649999999998</v>
      </c>
      <c r="AE4" s="5">
        <v>7042.0349999999999</v>
      </c>
      <c r="AF4" s="5">
        <v>7458.3239999999996</v>
      </c>
      <c r="AG4" s="5">
        <v>6859.2190000000001</v>
      </c>
      <c r="AH4" s="5">
        <v>7228.8190000000004</v>
      </c>
      <c r="AI4" s="5">
        <v>8775.3379999999997</v>
      </c>
      <c r="AJ4" s="5">
        <v>8838.6790000000001</v>
      </c>
      <c r="AK4" s="5">
        <v>8418.0660000000007</v>
      </c>
      <c r="AL4" s="5">
        <v>7111.0910000000003</v>
      </c>
      <c r="AM4" s="5">
        <v>7368.2039999999997</v>
      </c>
      <c r="AN4" s="5">
        <v>5274.2280000000001</v>
      </c>
      <c r="AO4" s="5">
        <v>4296.7569999999996</v>
      </c>
      <c r="AP4" s="5">
        <v>3899.5610000000001</v>
      </c>
      <c r="AQ4" s="5">
        <v>4169.4430000000002</v>
      </c>
      <c r="AR4" s="5">
        <v>4256.6400000000003</v>
      </c>
      <c r="AS4" s="5">
        <v>3904.5169999999998</v>
      </c>
      <c r="AT4" s="5">
        <v>4966.4560000000001</v>
      </c>
    </row>
    <row r="5" spans="1:46" x14ac:dyDescent="0.25">
      <c r="A5" s="4" t="s">
        <v>198</v>
      </c>
      <c r="B5" s="4" t="s">
        <v>207</v>
      </c>
      <c r="C5" s="4" t="s">
        <v>246</v>
      </c>
      <c r="D5" s="4" t="s">
        <v>247</v>
      </c>
      <c r="E5" s="4" t="s">
        <v>248</v>
      </c>
      <c r="F5" s="4" t="s">
        <v>202</v>
      </c>
      <c r="G5" s="4" t="s">
        <v>116</v>
      </c>
      <c r="H5" s="4" t="s">
        <v>268</v>
      </c>
      <c r="I5" s="9">
        <v>0</v>
      </c>
      <c r="J5" s="9">
        <v>0</v>
      </c>
      <c r="K5" s="5">
        <v>96.039000000000001</v>
      </c>
      <c r="L5" s="5">
        <v>120.495</v>
      </c>
      <c r="M5" s="5">
        <v>122.16200000000001</v>
      </c>
      <c r="N5" s="5">
        <v>92.299000000000007</v>
      </c>
      <c r="O5" s="5">
        <v>83.563000000000002</v>
      </c>
      <c r="P5" s="5">
        <v>83.563000000000002</v>
      </c>
      <c r="Q5" s="5">
        <v>83.272000000000006</v>
      </c>
      <c r="R5" s="5">
        <v>76.182000000000002</v>
      </c>
      <c r="S5" s="5">
        <v>76.182000000000002</v>
      </c>
      <c r="T5" s="5">
        <v>76.557000000000002</v>
      </c>
      <c r="U5" s="5">
        <v>76.557000000000002</v>
      </c>
      <c r="V5" s="5">
        <v>73.933999999999997</v>
      </c>
      <c r="W5" s="5">
        <v>68.906000000000006</v>
      </c>
      <c r="X5" s="5">
        <v>76.834000000000003</v>
      </c>
      <c r="Y5" s="5">
        <v>78.790999999999997</v>
      </c>
      <c r="Z5" s="5">
        <v>60.09</v>
      </c>
      <c r="AA5" s="8">
        <v>0</v>
      </c>
      <c r="AB5" s="8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5">
        <v>56.604999999999997</v>
      </c>
      <c r="AO5" s="5">
        <v>69.736000000000004</v>
      </c>
      <c r="AP5" s="5">
        <v>113.60899999999999</v>
      </c>
      <c r="AQ5" s="5">
        <v>137.88200000000001</v>
      </c>
      <c r="AR5" s="5">
        <v>148.636</v>
      </c>
      <c r="AS5" s="5">
        <v>121.01600000000001</v>
      </c>
      <c r="AT5" s="5">
        <v>103.129</v>
      </c>
    </row>
    <row r="6" spans="1:46" x14ac:dyDescent="0.25">
      <c r="A6" s="4" t="s">
        <v>198</v>
      </c>
      <c r="B6" s="4" t="s">
        <v>207</v>
      </c>
      <c r="C6" s="4" t="s">
        <v>246</v>
      </c>
      <c r="D6" s="4" t="s">
        <v>247</v>
      </c>
      <c r="E6" s="4" t="s">
        <v>248</v>
      </c>
      <c r="F6" s="4" t="s">
        <v>202</v>
      </c>
      <c r="G6" s="4" t="s">
        <v>103</v>
      </c>
      <c r="H6" s="4" t="s">
        <v>268</v>
      </c>
      <c r="I6" s="5">
        <v>11495.722</v>
      </c>
      <c r="J6" s="5">
        <v>11182.303</v>
      </c>
      <c r="K6" s="5">
        <v>13183.27</v>
      </c>
      <c r="L6" s="5">
        <v>13375.584000000001</v>
      </c>
      <c r="M6" s="5">
        <v>11303.874</v>
      </c>
      <c r="N6" s="5">
        <v>13107.697</v>
      </c>
      <c r="O6" s="5">
        <v>10954.445</v>
      </c>
      <c r="P6" s="5">
        <v>12821.075999999999</v>
      </c>
      <c r="Q6" s="5">
        <v>11737.145</v>
      </c>
      <c r="R6" s="5">
        <v>11527.237999999999</v>
      </c>
      <c r="S6" s="5">
        <v>12293.464</v>
      </c>
      <c r="T6" s="5">
        <v>12618.182000000001</v>
      </c>
      <c r="U6" s="5">
        <v>12745.904</v>
      </c>
      <c r="V6" s="5">
        <v>11761.255999999999</v>
      </c>
      <c r="W6" s="5">
        <v>13706.698</v>
      </c>
      <c r="X6" s="5">
        <v>17059.909</v>
      </c>
      <c r="Y6" s="5">
        <v>17239.966</v>
      </c>
      <c r="Z6" s="5">
        <v>17694.236000000001</v>
      </c>
      <c r="AA6" s="5">
        <v>16675.186000000002</v>
      </c>
      <c r="AB6" s="5">
        <v>14885.082</v>
      </c>
      <c r="AC6" s="5">
        <v>13517.04</v>
      </c>
      <c r="AD6" s="5">
        <v>12601.761</v>
      </c>
      <c r="AE6" s="5">
        <v>11975.822</v>
      </c>
      <c r="AF6" s="5">
        <v>12711.97</v>
      </c>
      <c r="AG6" s="5">
        <v>13194.597</v>
      </c>
      <c r="AH6" s="5">
        <v>15473.093000000001</v>
      </c>
      <c r="AI6" s="5">
        <v>15946.36</v>
      </c>
      <c r="AJ6" s="5">
        <v>16192.950999999999</v>
      </c>
      <c r="AK6" s="5">
        <v>16782.82</v>
      </c>
      <c r="AL6" s="5">
        <v>15423.058999999999</v>
      </c>
      <c r="AM6" s="5">
        <v>14702.069</v>
      </c>
      <c r="AN6" s="5">
        <v>12047.722</v>
      </c>
      <c r="AO6" s="5">
        <v>11483.67</v>
      </c>
      <c r="AP6" s="5">
        <v>10292.971</v>
      </c>
      <c r="AQ6" s="5">
        <v>10330.913</v>
      </c>
      <c r="AR6" s="5">
        <v>9418.018</v>
      </c>
      <c r="AS6" s="5">
        <v>9644.5779999999995</v>
      </c>
      <c r="AT6" s="5">
        <v>9694.5650000000005</v>
      </c>
    </row>
    <row r="7" spans="1:46" x14ac:dyDescent="0.25">
      <c r="A7" s="4" t="s">
        <v>198</v>
      </c>
      <c r="B7" s="4" t="s">
        <v>207</v>
      </c>
      <c r="C7" s="4" t="s">
        <v>246</v>
      </c>
      <c r="D7" s="4" t="s">
        <v>254</v>
      </c>
      <c r="E7" s="4" t="s">
        <v>255</v>
      </c>
      <c r="F7" s="4" t="s">
        <v>203</v>
      </c>
      <c r="G7" s="4" t="s">
        <v>93</v>
      </c>
      <c r="H7" s="4" t="s">
        <v>268</v>
      </c>
      <c r="I7" s="5">
        <v>55.002000000000002</v>
      </c>
      <c r="J7" s="5">
        <v>879.88300000000004</v>
      </c>
      <c r="K7" s="5">
        <v>829.59900000000005</v>
      </c>
      <c r="L7" s="5">
        <v>712.91300000000001</v>
      </c>
      <c r="M7" s="5">
        <v>378.14100000000002</v>
      </c>
      <c r="N7" s="5">
        <v>166.3</v>
      </c>
      <c r="O7" s="5">
        <v>221.73400000000001</v>
      </c>
      <c r="P7" s="5">
        <v>332.601</v>
      </c>
      <c r="Q7" s="5">
        <v>285.96199999999999</v>
      </c>
      <c r="R7" s="8">
        <v>0</v>
      </c>
      <c r="S7" s="5">
        <v>126.01600000000001</v>
      </c>
      <c r="T7" s="5">
        <v>210.02600000000001</v>
      </c>
      <c r="U7" s="5">
        <v>296.65899999999999</v>
      </c>
      <c r="V7" s="5">
        <v>169.13399999999999</v>
      </c>
      <c r="W7" s="5">
        <v>282.68</v>
      </c>
      <c r="X7" s="8">
        <v>0</v>
      </c>
      <c r="Y7" s="8">
        <v>0</v>
      </c>
      <c r="Z7" s="8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5">
        <v>34.171999999999997</v>
      </c>
      <c r="AK7" s="5">
        <v>34.171999999999997</v>
      </c>
      <c r="AL7" s="8">
        <v>0</v>
      </c>
      <c r="AM7" s="5">
        <v>32.381999999999998</v>
      </c>
      <c r="AN7" s="5">
        <v>32.381999999999998</v>
      </c>
      <c r="AO7" s="8">
        <v>0</v>
      </c>
      <c r="AP7" s="8">
        <v>0</v>
      </c>
      <c r="AQ7" s="8">
        <v>0</v>
      </c>
      <c r="AR7" s="9">
        <v>0</v>
      </c>
      <c r="AS7" s="9">
        <v>0</v>
      </c>
      <c r="AT7" s="9">
        <v>0</v>
      </c>
    </row>
    <row r="8" spans="1:46" x14ac:dyDescent="0.25">
      <c r="A8" s="4" t="s">
        <v>198</v>
      </c>
      <c r="B8" s="4" t="s">
        <v>207</v>
      </c>
      <c r="C8" s="4" t="s">
        <v>246</v>
      </c>
      <c r="D8" s="4" t="s">
        <v>254</v>
      </c>
      <c r="E8" s="4" t="s">
        <v>255</v>
      </c>
      <c r="F8" s="4" t="s">
        <v>203</v>
      </c>
      <c r="G8" s="4" t="s">
        <v>138</v>
      </c>
      <c r="H8" s="4" t="s">
        <v>268</v>
      </c>
      <c r="I8" s="5">
        <v>79.766999999999996</v>
      </c>
      <c r="J8" s="5">
        <v>20.367000000000001</v>
      </c>
      <c r="K8" s="5">
        <v>79.831999999999994</v>
      </c>
      <c r="L8" s="5">
        <v>74.927999999999997</v>
      </c>
      <c r="M8" s="5">
        <v>54.761000000000003</v>
      </c>
      <c r="N8" s="8">
        <v>0</v>
      </c>
      <c r="O8" s="8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5">
        <v>32.430999999999997</v>
      </c>
      <c r="AQ8" s="5">
        <v>32.472000000000001</v>
      </c>
      <c r="AR8" s="8">
        <v>0</v>
      </c>
      <c r="AS8" s="5">
        <v>28.346</v>
      </c>
      <c r="AT8" s="5">
        <v>28.831</v>
      </c>
    </row>
    <row r="9" spans="1:46" x14ac:dyDescent="0.25">
      <c r="A9" s="4" t="s">
        <v>198</v>
      </c>
      <c r="B9" s="4" t="s">
        <v>207</v>
      </c>
      <c r="C9" s="4" t="s">
        <v>246</v>
      </c>
      <c r="D9" s="4" t="s">
        <v>254</v>
      </c>
      <c r="E9" s="4" t="s">
        <v>255</v>
      </c>
      <c r="F9" s="4" t="s">
        <v>195</v>
      </c>
      <c r="G9" s="4" t="s">
        <v>93</v>
      </c>
      <c r="H9" s="4" t="s">
        <v>268</v>
      </c>
      <c r="I9" s="5">
        <v>4297.4690000000001</v>
      </c>
      <c r="J9" s="5">
        <v>4092.7979999999998</v>
      </c>
      <c r="K9" s="5">
        <v>4116.8549999999996</v>
      </c>
      <c r="L9" s="5">
        <v>3104.91</v>
      </c>
      <c r="M9" s="5">
        <v>3189.788</v>
      </c>
      <c r="N9" s="5">
        <v>4153.3500000000004</v>
      </c>
      <c r="O9" s="5">
        <v>3834.866</v>
      </c>
      <c r="P9" s="5">
        <v>3329.8820000000001</v>
      </c>
      <c r="Q9" s="5">
        <v>3190.7779999999998</v>
      </c>
      <c r="R9" s="5">
        <v>3570.1019999999999</v>
      </c>
      <c r="S9" s="5">
        <v>3119.2359999999999</v>
      </c>
      <c r="T9" s="5">
        <v>2961.0210000000002</v>
      </c>
      <c r="U9" s="5">
        <v>3557.3879999999999</v>
      </c>
      <c r="V9" s="5">
        <v>3849.5859999999998</v>
      </c>
      <c r="W9" s="5">
        <v>4348.4560000000001</v>
      </c>
      <c r="X9" s="5">
        <v>3735.4009999999998</v>
      </c>
      <c r="Y9" s="5">
        <v>2993.752</v>
      </c>
      <c r="Z9" s="5">
        <v>2244.6060000000002</v>
      </c>
      <c r="AA9" s="5">
        <v>2948.5210000000002</v>
      </c>
      <c r="AB9" s="5">
        <v>2486.0650000000001</v>
      </c>
      <c r="AC9" s="5">
        <v>2704.857</v>
      </c>
      <c r="AD9" s="5">
        <v>2722.2260000000001</v>
      </c>
      <c r="AE9" s="5">
        <v>2571.4810000000002</v>
      </c>
      <c r="AF9" s="5">
        <v>2480.7080000000001</v>
      </c>
      <c r="AG9" s="5">
        <v>3373.8789999999999</v>
      </c>
      <c r="AH9" s="5">
        <v>4714.5050000000001</v>
      </c>
      <c r="AI9" s="5">
        <v>6483.5119999999997</v>
      </c>
      <c r="AJ9" s="5">
        <v>5003.9260000000004</v>
      </c>
      <c r="AK9" s="5">
        <v>5544.5959999999995</v>
      </c>
      <c r="AL9" s="5">
        <v>4304.8900000000003</v>
      </c>
      <c r="AM9" s="5">
        <v>4099.6310000000003</v>
      </c>
      <c r="AN9" s="5">
        <v>4580.4660000000003</v>
      </c>
      <c r="AO9" s="5">
        <v>3970.8919999999998</v>
      </c>
      <c r="AP9" s="5">
        <v>4080.6619999999998</v>
      </c>
      <c r="AQ9" s="5">
        <v>3283.076</v>
      </c>
      <c r="AR9" s="5">
        <v>3530.6790000000001</v>
      </c>
      <c r="AS9" s="5">
        <v>3498.069</v>
      </c>
      <c r="AT9" s="5">
        <v>4227.8419999999996</v>
      </c>
    </row>
    <row r="10" spans="1:46" x14ac:dyDescent="0.25">
      <c r="A10" s="4" t="s">
        <v>198</v>
      </c>
      <c r="B10" s="4" t="s">
        <v>207</v>
      </c>
      <c r="C10" s="4" t="s">
        <v>246</v>
      </c>
      <c r="D10" s="4" t="s">
        <v>254</v>
      </c>
      <c r="E10" s="4" t="s">
        <v>255</v>
      </c>
      <c r="F10" s="4" t="s">
        <v>195</v>
      </c>
      <c r="G10" s="4" t="s">
        <v>138</v>
      </c>
      <c r="H10" s="4" t="s">
        <v>268</v>
      </c>
      <c r="I10" s="5">
        <v>52.085999999999999</v>
      </c>
      <c r="J10" s="5">
        <v>111.071</v>
      </c>
      <c r="K10" s="5">
        <v>110.372</v>
      </c>
      <c r="L10" s="5">
        <v>146.048</v>
      </c>
      <c r="M10" s="5">
        <v>194.08199999999999</v>
      </c>
      <c r="N10" s="5">
        <v>244.464</v>
      </c>
      <c r="O10" s="5">
        <v>186.86799999999999</v>
      </c>
      <c r="P10" s="5">
        <v>232.52600000000001</v>
      </c>
      <c r="Q10" s="5">
        <v>332.10199999999998</v>
      </c>
      <c r="R10" s="5">
        <v>301.13900000000001</v>
      </c>
      <c r="S10" s="5">
        <v>417.19200000000001</v>
      </c>
      <c r="T10" s="5">
        <v>391.46199999999999</v>
      </c>
      <c r="U10" s="5">
        <v>360.46499999999997</v>
      </c>
      <c r="V10" s="5">
        <v>384.423</v>
      </c>
      <c r="W10" s="5">
        <v>298.49099999999999</v>
      </c>
      <c r="X10" s="5">
        <v>220.5</v>
      </c>
      <c r="Y10" s="5">
        <v>205.93899999999999</v>
      </c>
      <c r="Z10" s="5">
        <v>205.93899999999999</v>
      </c>
      <c r="AA10" s="5">
        <v>222.976</v>
      </c>
      <c r="AB10" s="5">
        <v>223.125</v>
      </c>
      <c r="AC10" s="5">
        <v>136.661</v>
      </c>
      <c r="AD10" s="5">
        <v>195.58199999999999</v>
      </c>
      <c r="AE10" s="5">
        <v>157.893</v>
      </c>
      <c r="AF10" s="5">
        <v>151.07300000000001</v>
      </c>
      <c r="AG10" s="5">
        <v>97.807000000000002</v>
      </c>
      <c r="AH10" s="5">
        <v>169.33199999999999</v>
      </c>
      <c r="AI10" s="5">
        <v>134.38200000000001</v>
      </c>
      <c r="AJ10" s="5">
        <v>134.38200000000001</v>
      </c>
      <c r="AK10" s="5">
        <v>134.03399999999999</v>
      </c>
      <c r="AL10" s="5">
        <v>75.031000000000006</v>
      </c>
      <c r="AM10" s="5">
        <v>234.59800000000001</v>
      </c>
      <c r="AN10" s="5">
        <v>464.83300000000003</v>
      </c>
      <c r="AO10" s="5">
        <v>504.33100000000002</v>
      </c>
      <c r="AP10" s="5">
        <v>468.53</v>
      </c>
      <c r="AQ10" s="5">
        <v>398.17899999999997</v>
      </c>
      <c r="AR10" s="5">
        <v>396.20499999999998</v>
      </c>
      <c r="AS10" s="5">
        <v>339.66500000000002</v>
      </c>
      <c r="AT10" s="5">
        <v>455.33600000000001</v>
      </c>
    </row>
    <row r="11" spans="1:46" x14ac:dyDescent="0.25">
      <c r="A11" s="4" t="s">
        <v>198</v>
      </c>
      <c r="B11" s="4" t="s">
        <v>207</v>
      </c>
      <c r="C11" s="4" t="s">
        <v>246</v>
      </c>
      <c r="D11" s="4" t="s">
        <v>254</v>
      </c>
      <c r="E11" s="4" t="s">
        <v>255</v>
      </c>
      <c r="F11" s="4" t="s">
        <v>195</v>
      </c>
      <c r="G11" s="4" t="s">
        <v>140</v>
      </c>
      <c r="H11" s="4" t="s">
        <v>268</v>
      </c>
      <c r="I11" s="5">
        <v>478.46499999999997</v>
      </c>
      <c r="J11" s="5">
        <v>517.13300000000004</v>
      </c>
      <c r="K11" s="5">
        <v>535.61</v>
      </c>
      <c r="L11" s="5">
        <v>415.435</v>
      </c>
      <c r="M11" s="5">
        <v>427.19900000000001</v>
      </c>
      <c r="N11" s="5">
        <v>456.55399999999997</v>
      </c>
      <c r="O11" s="5">
        <v>460.36900000000003</v>
      </c>
      <c r="P11" s="5">
        <v>564.55399999999997</v>
      </c>
      <c r="Q11" s="5">
        <v>725.88699999999994</v>
      </c>
      <c r="R11" s="5">
        <v>629.20699999999999</v>
      </c>
      <c r="S11" s="5">
        <v>664.71299999999997</v>
      </c>
      <c r="T11" s="5">
        <v>708.65300000000002</v>
      </c>
      <c r="U11" s="5">
        <v>750.98900000000003</v>
      </c>
      <c r="V11" s="5">
        <v>686.75699999999995</v>
      </c>
      <c r="W11" s="5">
        <v>519.13599999999997</v>
      </c>
      <c r="X11" s="5">
        <v>571.40800000000002</v>
      </c>
      <c r="Y11" s="5">
        <v>667.76499999999999</v>
      </c>
      <c r="Z11" s="5">
        <v>907.08</v>
      </c>
      <c r="AA11" s="5">
        <v>697.55499999999995</v>
      </c>
      <c r="AB11" s="5">
        <v>762.44100000000003</v>
      </c>
      <c r="AC11" s="5">
        <v>648.77300000000002</v>
      </c>
      <c r="AD11" s="5">
        <v>682.54</v>
      </c>
      <c r="AE11" s="5">
        <v>577.40899999999999</v>
      </c>
      <c r="AF11" s="5">
        <v>756.61099999999999</v>
      </c>
      <c r="AG11" s="5">
        <v>613.08299999999997</v>
      </c>
      <c r="AH11" s="5">
        <v>813.80399999999997</v>
      </c>
      <c r="AI11" s="5">
        <v>808.02200000000005</v>
      </c>
      <c r="AJ11" s="5">
        <v>707.52599999999995</v>
      </c>
      <c r="AK11" s="5">
        <v>519.82100000000003</v>
      </c>
      <c r="AL11" s="5">
        <v>531.00800000000004</v>
      </c>
      <c r="AM11" s="5">
        <v>762.64400000000001</v>
      </c>
      <c r="AN11" s="5">
        <v>793.39599999999996</v>
      </c>
      <c r="AO11" s="5">
        <v>1119.7429999999999</v>
      </c>
      <c r="AP11" s="5">
        <v>1141.704</v>
      </c>
      <c r="AQ11" s="5">
        <v>1093.07</v>
      </c>
      <c r="AR11" s="5">
        <v>1023.447</v>
      </c>
      <c r="AS11" s="5">
        <v>949.46100000000001</v>
      </c>
      <c r="AT11" s="5">
        <v>976.40499999999997</v>
      </c>
    </row>
    <row r="12" spans="1:46" x14ac:dyDescent="0.25">
      <c r="A12" s="4" t="s">
        <v>198</v>
      </c>
      <c r="B12" s="4" t="s">
        <v>207</v>
      </c>
      <c r="C12" s="4" t="s">
        <v>246</v>
      </c>
      <c r="D12" s="4" t="s">
        <v>254</v>
      </c>
      <c r="E12" s="4" t="s">
        <v>256</v>
      </c>
      <c r="F12" s="4" t="s">
        <v>195</v>
      </c>
      <c r="G12" s="4" t="s">
        <v>93</v>
      </c>
      <c r="H12" s="4" t="s">
        <v>268</v>
      </c>
      <c r="I12" s="5">
        <v>617.00800000000004</v>
      </c>
      <c r="J12" s="5">
        <v>512.96500000000003</v>
      </c>
      <c r="K12" s="5">
        <v>388.11</v>
      </c>
      <c r="L12" s="5">
        <v>249.97900000000001</v>
      </c>
      <c r="M12" s="5">
        <v>227.73699999999999</v>
      </c>
      <c r="N12" s="5">
        <v>326.46199999999999</v>
      </c>
      <c r="O12" s="5">
        <v>401.65499999999997</v>
      </c>
      <c r="P12" s="5">
        <v>341.61900000000003</v>
      </c>
      <c r="Q12" s="5">
        <v>374.68299999999999</v>
      </c>
      <c r="R12" s="5">
        <v>372.32900000000001</v>
      </c>
      <c r="S12" s="5">
        <v>362.09</v>
      </c>
      <c r="T12" s="5">
        <v>362.83800000000002</v>
      </c>
      <c r="U12" s="5">
        <v>403.95400000000001</v>
      </c>
      <c r="V12" s="5">
        <v>312.10199999999998</v>
      </c>
      <c r="W12" s="5">
        <v>307.13600000000002</v>
      </c>
      <c r="X12" s="5">
        <v>262.79700000000003</v>
      </c>
      <c r="Y12" s="5">
        <v>356.471</v>
      </c>
      <c r="Z12" s="5">
        <v>366.69400000000002</v>
      </c>
      <c r="AA12" s="5">
        <v>488.791</v>
      </c>
      <c r="AB12" s="5">
        <v>405.375</v>
      </c>
      <c r="AC12" s="5">
        <v>451.82900000000001</v>
      </c>
      <c r="AD12" s="5">
        <v>414.65</v>
      </c>
      <c r="AE12" s="5">
        <v>368.077</v>
      </c>
      <c r="AF12" s="5">
        <v>421.12299999999999</v>
      </c>
      <c r="AG12" s="5">
        <v>514.98</v>
      </c>
      <c r="AH12" s="5">
        <v>760.57799999999997</v>
      </c>
      <c r="AI12" s="5">
        <v>795.17600000000004</v>
      </c>
      <c r="AJ12" s="5">
        <v>640.52599999999995</v>
      </c>
      <c r="AK12" s="5">
        <v>417.67899999999997</v>
      </c>
      <c r="AL12" s="5">
        <v>514.35900000000004</v>
      </c>
      <c r="AM12" s="5">
        <v>580.47299999999996</v>
      </c>
      <c r="AN12" s="5">
        <v>365.483</v>
      </c>
      <c r="AO12" s="5">
        <v>449.95499999999998</v>
      </c>
      <c r="AP12" s="5">
        <v>390.20800000000003</v>
      </c>
      <c r="AQ12" s="5">
        <v>312.14400000000001</v>
      </c>
      <c r="AR12" s="5">
        <v>263.27199999999999</v>
      </c>
      <c r="AS12" s="5">
        <v>346.59300000000002</v>
      </c>
      <c r="AT12" s="5">
        <v>408.61799999999999</v>
      </c>
    </row>
    <row r="13" spans="1:46" x14ac:dyDescent="0.25">
      <c r="A13" s="4" t="s">
        <v>198</v>
      </c>
      <c r="B13" s="4" t="s">
        <v>207</v>
      </c>
      <c r="C13" s="4" t="s">
        <v>246</v>
      </c>
      <c r="D13" s="4" t="s">
        <v>254</v>
      </c>
      <c r="E13" s="4" t="s">
        <v>257</v>
      </c>
      <c r="F13" s="4" t="s">
        <v>203</v>
      </c>
      <c r="G13" s="4" t="s">
        <v>93</v>
      </c>
      <c r="H13" s="4" t="s">
        <v>268</v>
      </c>
      <c r="I13" s="5">
        <v>642.096</v>
      </c>
      <c r="J13" s="5">
        <v>414.86599999999999</v>
      </c>
      <c r="K13" s="5">
        <v>1684.806</v>
      </c>
      <c r="L13" s="5">
        <v>1654.7380000000001</v>
      </c>
      <c r="M13" s="5">
        <v>1392.268</v>
      </c>
      <c r="N13" s="5">
        <v>1594.123</v>
      </c>
      <c r="O13" s="5">
        <v>1567.1030000000001</v>
      </c>
      <c r="P13" s="5">
        <v>1363.183</v>
      </c>
      <c r="Q13" s="5">
        <v>1518.809</v>
      </c>
      <c r="R13" s="5">
        <v>1786.6849999999999</v>
      </c>
      <c r="S13" s="5">
        <v>1402.136</v>
      </c>
      <c r="T13" s="5">
        <v>1376.672</v>
      </c>
      <c r="U13" s="5">
        <v>1765.002</v>
      </c>
      <c r="V13" s="5">
        <v>1978.2560000000001</v>
      </c>
      <c r="W13" s="5">
        <v>1312.277</v>
      </c>
      <c r="X13" s="5">
        <v>1929.5650000000001</v>
      </c>
      <c r="Y13" s="5">
        <v>2589.5369999999998</v>
      </c>
      <c r="Z13" s="5">
        <v>1755.145</v>
      </c>
      <c r="AA13" s="5">
        <v>1260.444</v>
      </c>
      <c r="AB13" s="5">
        <v>1224.6849999999999</v>
      </c>
      <c r="AC13" s="5">
        <v>1248.021</v>
      </c>
      <c r="AD13" s="5">
        <v>1505.819</v>
      </c>
      <c r="AE13" s="5">
        <v>1529.933</v>
      </c>
      <c r="AF13" s="5">
        <v>1956.154</v>
      </c>
      <c r="AG13" s="5">
        <v>1766.67</v>
      </c>
      <c r="AH13" s="5">
        <v>1885.5930000000001</v>
      </c>
      <c r="AI13" s="5">
        <v>2029.653</v>
      </c>
      <c r="AJ13" s="5">
        <v>1480.107</v>
      </c>
      <c r="AK13" s="5">
        <v>1474.4590000000001</v>
      </c>
      <c r="AL13" s="5">
        <v>942.30700000000002</v>
      </c>
      <c r="AM13" s="5">
        <v>854.46799999999996</v>
      </c>
      <c r="AN13" s="5">
        <v>759.95899999999995</v>
      </c>
      <c r="AO13" s="5">
        <v>832.05</v>
      </c>
      <c r="AP13" s="5">
        <v>628.24400000000003</v>
      </c>
      <c r="AQ13" s="5">
        <v>302.67599999999999</v>
      </c>
      <c r="AR13" s="5">
        <v>324.15499999999997</v>
      </c>
      <c r="AS13" s="5">
        <v>664.30799999999999</v>
      </c>
      <c r="AT13" s="5">
        <v>413.97199999999998</v>
      </c>
    </row>
    <row r="14" spans="1:46" x14ac:dyDescent="0.25">
      <c r="A14" s="4" t="s">
        <v>198</v>
      </c>
      <c r="B14" s="4" t="s">
        <v>207</v>
      </c>
      <c r="C14" s="4" t="s">
        <v>246</v>
      </c>
      <c r="D14" s="4" t="s">
        <v>254</v>
      </c>
      <c r="E14" s="4" t="s">
        <v>258</v>
      </c>
      <c r="F14" s="4" t="s">
        <v>203</v>
      </c>
      <c r="G14" s="4" t="s">
        <v>93</v>
      </c>
      <c r="H14" s="4" t="s">
        <v>268</v>
      </c>
      <c r="I14" s="5">
        <v>914.56399999999996</v>
      </c>
      <c r="J14" s="5">
        <v>784.755</v>
      </c>
      <c r="K14" s="5">
        <v>961.83600000000001</v>
      </c>
      <c r="L14" s="5">
        <v>304.26600000000002</v>
      </c>
      <c r="M14" s="5">
        <v>307.35700000000003</v>
      </c>
      <c r="N14" s="5">
        <v>117.824</v>
      </c>
      <c r="O14" s="5">
        <v>207.78</v>
      </c>
      <c r="P14" s="5">
        <v>180.262</v>
      </c>
      <c r="Q14" s="5">
        <v>131.70099999999999</v>
      </c>
      <c r="R14" s="5">
        <v>131.70099999999999</v>
      </c>
      <c r="S14" s="5">
        <v>131.70099999999999</v>
      </c>
      <c r="T14" s="5">
        <v>129.33699999999999</v>
      </c>
      <c r="U14" s="5">
        <v>129.33699999999999</v>
      </c>
      <c r="V14" s="8">
        <v>0</v>
      </c>
      <c r="W14" s="5">
        <v>212.46799999999999</v>
      </c>
      <c r="X14" s="5">
        <v>248.779</v>
      </c>
      <c r="Y14" s="5">
        <v>278.97699999999998</v>
      </c>
      <c r="Z14" s="5">
        <v>123.00700000000001</v>
      </c>
      <c r="AA14" s="5">
        <v>51.99</v>
      </c>
      <c r="AB14" s="5">
        <v>272.91300000000001</v>
      </c>
      <c r="AC14" s="5">
        <v>796.58900000000006</v>
      </c>
      <c r="AD14" s="5">
        <v>807.67600000000004</v>
      </c>
      <c r="AE14" s="5">
        <v>692.77099999999996</v>
      </c>
      <c r="AF14" s="5">
        <v>195.68</v>
      </c>
      <c r="AG14" s="5">
        <v>638.54899999999998</v>
      </c>
      <c r="AH14" s="5">
        <v>554.89</v>
      </c>
      <c r="AI14" s="5">
        <v>734.07600000000002</v>
      </c>
      <c r="AJ14" s="5">
        <v>730.77499999999998</v>
      </c>
      <c r="AK14" s="5">
        <v>876.73400000000004</v>
      </c>
      <c r="AL14" s="5">
        <v>1517.04</v>
      </c>
      <c r="AM14" s="5">
        <v>950.97199999999998</v>
      </c>
      <c r="AN14" s="5">
        <v>845.94399999999996</v>
      </c>
      <c r="AO14" s="5">
        <v>727.86199999999997</v>
      </c>
      <c r="AP14" s="5">
        <v>1431.9349999999999</v>
      </c>
      <c r="AQ14" s="5">
        <v>796.17100000000005</v>
      </c>
      <c r="AR14" s="5">
        <v>714.774</v>
      </c>
      <c r="AS14" s="5">
        <v>839.09100000000001</v>
      </c>
      <c r="AT14" s="5">
        <v>989.56200000000001</v>
      </c>
    </row>
    <row r="15" spans="1:46" x14ac:dyDescent="0.25">
      <c r="A15" s="4" t="s">
        <v>198</v>
      </c>
      <c r="B15" s="4" t="s">
        <v>207</v>
      </c>
      <c r="C15" s="4" t="s">
        <v>246</v>
      </c>
      <c r="D15" s="4" t="s">
        <v>254</v>
      </c>
      <c r="E15" s="4" t="s">
        <v>258</v>
      </c>
      <c r="F15" s="4" t="s">
        <v>195</v>
      </c>
      <c r="G15" s="4" t="s">
        <v>93</v>
      </c>
      <c r="H15" s="4" t="s">
        <v>268</v>
      </c>
      <c r="I15" s="5">
        <v>109.191</v>
      </c>
      <c r="J15" s="5">
        <v>97.563999999999993</v>
      </c>
      <c r="K15" s="5">
        <v>67.831999999999994</v>
      </c>
      <c r="L15" s="5">
        <v>100.352</v>
      </c>
      <c r="M15" s="5">
        <v>184.864</v>
      </c>
      <c r="N15" s="5">
        <v>130.34</v>
      </c>
      <c r="O15" s="5">
        <v>243.096</v>
      </c>
      <c r="P15" s="5">
        <v>168.53800000000001</v>
      </c>
      <c r="Q15" s="5">
        <v>448.072</v>
      </c>
      <c r="R15" s="5">
        <v>413.40800000000002</v>
      </c>
      <c r="S15" s="5">
        <v>413.40800000000002</v>
      </c>
      <c r="T15" s="5">
        <v>413.40800000000002</v>
      </c>
      <c r="U15" s="5">
        <v>413.40800000000002</v>
      </c>
      <c r="V15" s="5">
        <v>604.66999999999996</v>
      </c>
      <c r="W15" s="5">
        <v>577.61</v>
      </c>
      <c r="X15" s="5">
        <v>259.61799999999999</v>
      </c>
      <c r="Y15" s="5">
        <v>502.15800000000002</v>
      </c>
      <c r="Z15" s="5">
        <v>495.97800000000001</v>
      </c>
      <c r="AA15" s="5">
        <v>390.68099999999998</v>
      </c>
      <c r="AB15" s="5">
        <v>391.25200000000001</v>
      </c>
      <c r="AC15" s="5">
        <v>559.12699999999995</v>
      </c>
      <c r="AD15" s="5">
        <v>474.16199999999998</v>
      </c>
      <c r="AE15" s="5">
        <v>378.15600000000001</v>
      </c>
      <c r="AF15" s="5">
        <v>532.58199999999999</v>
      </c>
      <c r="AG15" s="5">
        <v>627.92600000000004</v>
      </c>
      <c r="AH15" s="5">
        <v>585.25199999999995</v>
      </c>
      <c r="AI15" s="5">
        <v>543.29499999999996</v>
      </c>
      <c r="AJ15" s="5">
        <v>477.78300000000002</v>
      </c>
      <c r="AK15" s="5">
        <v>254.315</v>
      </c>
      <c r="AL15" s="5">
        <v>498.51</v>
      </c>
      <c r="AM15" s="5">
        <v>860.01700000000005</v>
      </c>
      <c r="AN15" s="5">
        <v>600.34100000000001</v>
      </c>
      <c r="AO15" s="5">
        <v>616.63900000000001</v>
      </c>
      <c r="AP15" s="5">
        <v>741.49599999999998</v>
      </c>
      <c r="AQ15" s="5">
        <v>722.49199999999996</v>
      </c>
      <c r="AR15" s="5">
        <v>861.80700000000002</v>
      </c>
      <c r="AS15" s="5">
        <v>990.79700000000003</v>
      </c>
      <c r="AT15" s="5">
        <v>895.072</v>
      </c>
    </row>
    <row r="16" spans="1:46" x14ac:dyDescent="0.25">
      <c r="A16" s="4" t="s">
        <v>198</v>
      </c>
      <c r="B16" s="4" t="s">
        <v>207</v>
      </c>
      <c r="C16" s="4" t="s">
        <v>246</v>
      </c>
      <c r="D16" s="4" t="s">
        <v>259</v>
      </c>
      <c r="E16" s="4" t="s">
        <v>248</v>
      </c>
      <c r="F16" s="4" t="s">
        <v>203</v>
      </c>
      <c r="G16" s="4" t="s">
        <v>93</v>
      </c>
      <c r="H16" s="4" t="s">
        <v>268</v>
      </c>
      <c r="I16" s="5">
        <v>8388.9699999999993</v>
      </c>
      <c r="J16" s="5">
        <v>9235.1020000000008</v>
      </c>
      <c r="K16" s="5">
        <v>11938.819</v>
      </c>
      <c r="L16" s="5">
        <v>10916.647999999999</v>
      </c>
      <c r="M16" s="5">
        <v>10549.996999999999</v>
      </c>
      <c r="N16" s="5">
        <v>12206.575000000001</v>
      </c>
      <c r="O16" s="5">
        <v>9145.9959999999992</v>
      </c>
      <c r="P16" s="5">
        <v>9711.7720000000008</v>
      </c>
      <c r="Q16" s="5">
        <v>8385.9629999999997</v>
      </c>
      <c r="R16" s="5">
        <v>9794.7510000000002</v>
      </c>
      <c r="S16" s="5">
        <v>9430.3060000000005</v>
      </c>
      <c r="T16" s="5">
        <v>8747.69</v>
      </c>
      <c r="U16" s="5">
        <v>7968.3019999999997</v>
      </c>
      <c r="V16" s="5">
        <v>8300.8029999999999</v>
      </c>
      <c r="W16" s="5">
        <v>10447.433999999999</v>
      </c>
      <c r="X16" s="5">
        <v>10207.469999999999</v>
      </c>
      <c r="Y16" s="5">
        <v>10709.49</v>
      </c>
      <c r="Z16" s="5">
        <v>9191.9500000000007</v>
      </c>
      <c r="AA16" s="5">
        <v>9328.3670000000002</v>
      </c>
      <c r="AB16" s="5">
        <v>7368.0219999999999</v>
      </c>
      <c r="AC16" s="5">
        <v>6559.8860000000004</v>
      </c>
      <c r="AD16" s="5">
        <v>7834.9539999999997</v>
      </c>
      <c r="AE16" s="5">
        <v>6794.6779999999999</v>
      </c>
      <c r="AF16" s="5">
        <v>6856.0360000000001</v>
      </c>
      <c r="AG16" s="5">
        <v>6730.7830000000004</v>
      </c>
      <c r="AH16" s="5">
        <v>6924.634</v>
      </c>
      <c r="AI16" s="5">
        <v>9219.11</v>
      </c>
      <c r="AJ16" s="5">
        <v>10039.279</v>
      </c>
      <c r="AK16" s="5">
        <v>9467.5550000000003</v>
      </c>
      <c r="AL16" s="5">
        <v>10883.471</v>
      </c>
      <c r="AM16" s="5">
        <v>11646.576999999999</v>
      </c>
      <c r="AN16" s="5">
        <v>10043.200999999999</v>
      </c>
      <c r="AO16" s="5">
        <v>6689.2470000000003</v>
      </c>
      <c r="AP16" s="5">
        <v>7929.5150000000003</v>
      </c>
      <c r="AQ16" s="5">
        <v>8118.4650000000001</v>
      </c>
      <c r="AR16" s="5">
        <v>8015.0609999999997</v>
      </c>
      <c r="AS16" s="5">
        <v>7287.6850000000004</v>
      </c>
      <c r="AT16" s="5">
        <v>8078.8670000000002</v>
      </c>
    </row>
    <row r="17" spans="1:46" x14ac:dyDescent="0.25">
      <c r="A17" s="4" t="s">
        <v>198</v>
      </c>
      <c r="B17" s="4" t="s">
        <v>207</v>
      </c>
      <c r="C17" s="4" t="s">
        <v>246</v>
      </c>
      <c r="D17" s="4" t="s">
        <v>259</v>
      </c>
      <c r="E17" s="4" t="s">
        <v>248</v>
      </c>
      <c r="F17" s="4" t="s">
        <v>201</v>
      </c>
      <c r="G17" s="4" t="s">
        <v>93</v>
      </c>
      <c r="H17" s="4" t="s">
        <v>268</v>
      </c>
      <c r="I17" s="5">
        <v>4689.915</v>
      </c>
      <c r="J17" s="5">
        <v>6403.5609999999997</v>
      </c>
      <c r="K17" s="5">
        <v>6561.9359999999997</v>
      </c>
      <c r="L17" s="5">
        <v>8032.8580000000002</v>
      </c>
      <c r="M17" s="5">
        <v>8150.5919999999996</v>
      </c>
      <c r="N17" s="5">
        <v>8315.9609999999993</v>
      </c>
      <c r="O17" s="5">
        <v>7883.308</v>
      </c>
      <c r="P17" s="5">
        <v>7412.1379999999999</v>
      </c>
      <c r="Q17" s="5">
        <v>6971.9690000000001</v>
      </c>
      <c r="R17" s="5">
        <v>6876.8410000000003</v>
      </c>
      <c r="S17" s="5">
        <v>6159.4870000000001</v>
      </c>
      <c r="T17" s="5">
        <v>6313.0540000000001</v>
      </c>
      <c r="U17" s="5">
        <v>6424.72</v>
      </c>
      <c r="V17" s="5">
        <v>6170.6120000000001</v>
      </c>
      <c r="W17" s="5">
        <v>6981.03</v>
      </c>
      <c r="X17" s="5">
        <v>5935.7569999999996</v>
      </c>
      <c r="Y17" s="5">
        <v>8312.348</v>
      </c>
      <c r="Z17" s="5">
        <v>8523.6550000000007</v>
      </c>
      <c r="AA17" s="5">
        <v>7309.2479999999996</v>
      </c>
      <c r="AB17" s="5">
        <v>7950.4170000000004</v>
      </c>
      <c r="AC17" s="5">
        <v>7822.9870000000001</v>
      </c>
      <c r="AD17" s="5">
        <v>8745.4619999999995</v>
      </c>
      <c r="AE17" s="5">
        <v>8316.94</v>
      </c>
      <c r="AF17" s="5">
        <v>9128.7049999999999</v>
      </c>
      <c r="AG17" s="5">
        <v>7673.1840000000002</v>
      </c>
      <c r="AH17" s="5">
        <v>8873.3410000000003</v>
      </c>
      <c r="AI17" s="5">
        <v>9932.2340000000004</v>
      </c>
      <c r="AJ17" s="5">
        <v>9306.0020000000004</v>
      </c>
      <c r="AK17" s="5">
        <v>8174.585</v>
      </c>
      <c r="AL17" s="5">
        <v>8844.84</v>
      </c>
      <c r="AM17" s="5">
        <v>9944.402</v>
      </c>
      <c r="AN17" s="5">
        <v>7187.7049999999999</v>
      </c>
      <c r="AO17" s="5">
        <v>7384.8310000000001</v>
      </c>
      <c r="AP17" s="5">
        <v>6815.6450000000004</v>
      </c>
      <c r="AQ17" s="5">
        <v>7196.5619999999999</v>
      </c>
      <c r="AR17" s="5">
        <v>7326.4660000000003</v>
      </c>
      <c r="AS17" s="5">
        <v>7442.482</v>
      </c>
      <c r="AT17" s="5">
        <v>7102.9690000000001</v>
      </c>
    </row>
    <row r="18" spans="1:46" x14ac:dyDescent="0.25">
      <c r="A18" s="4" t="s">
        <v>198</v>
      </c>
      <c r="B18" s="4" t="s">
        <v>207</v>
      </c>
      <c r="C18" s="4" t="s">
        <v>246</v>
      </c>
      <c r="D18" s="4" t="s">
        <v>259</v>
      </c>
      <c r="E18" s="4" t="s">
        <v>248</v>
      </c>
      <c r="F18" s="4" t="s">
        <v>195</v>
      </c>
      <c r="G18" s="4" t="s">
        <v>93</v>
      </c>
      <c r="H18" s="4" t="s">
        <v>268</v>
      </c>
      <c r="I18" s="5">
        <v>13361.716</v>
      </c>
      <c r="J18" s="5">
        <v>15207.199000000001</v>
      </c>
      <c r="K18" s="5">
        <v>15283.679</v>
      </c>
      <c r="L18" s="5">
        <v>16520.771000000001</v>
      </c>
      <c r="M18" s="5">
        <v>14287.698</v>
      </c>
      <c r="N18" s="5">
        <v>14602.074000000001</v>
      </c>
      <c r="O18" s="5">
        <v>18630.554</v>
      </c>
      <c r="P18" s="5">
        <v>16633.069</v>
      </c>
      <c r="Q18" s="5">
        <v>16570.201000000001</v>
      </c>
      <c r="R18" s="5">
        <v>16630.887999999999</v>
      </c>
      <c r="S18" s="5">
        <v>16233.727999999999</v>
      </c>
      <c r="T18" s="5">
        <v>15937.799000000001</v>
      </c>
      <c r="U18" s="5">
        <v>15061.385</v>
      </c>
      <c r="V18" s="5">
        <v>17326.764999999999</v>
      </c>
      <c r="W18" s="5">
        <v>19526.249</v>
      </c>
      <c r="X18" s="5">
        <v>20702.866000000002</v>
      </c>
      <c r="Y18" s="5">
        <v>19585.016</v>
      </c>
      <c r="Z18" s="5">
        <v>17468.448</v>
      </c>
      <c r="AA18" s="5">
        <v>17804.772000000001</v>
      </c>
      <c r="AB18" s="5">
        <v>15456.611999999999</v>
      </c>
      <c r="AC18" s="5">
        <v>14003.63</v>
      </c>
      <c r="AD18" s="5">
        <v>13624.07</v>
      </c>
      <c r="AE18" s="5">
        <v>15561.514999999999</v>
      </c>
      <c r="AF18" s="5">
        <v>14975.019</v>
      </c>
      <c r="AG18" s="5">
        <v>16046.259</v>
      </c>
      <c r="AH18" s="5">
        <v>20364.687000000002</v>
      </c>
      <c r="AI18" s="5">
        <v>23058.999</v>
      </c>
      <c r="AJ18" s="5">
        <v>20332.591</v>
      </c>
      <c r="AK18" s="5">
        <v>18825.509999999998</v>
      </c>
      <c r="AL18" s="5">
        <v>18880.406999999999</v>
      </c>
      <c r="AM18" s="5">
        <v>17050.862000000001</v>
      </c>
      <c r="AN18" s="5">
        <v>14393.355</v>
      </c>
      <c r="AO18" s="5">
        <v>13421.424000000001</v>
      </c>
      <c r="AP18" s="5">
        <v>13814.91</v>
      </c>
      <c r="AQ18" s="5">
        <v>13672.861000000001</v>
      </c>
      <c r="AR18" s="5">
        <v>14056.748</v>
      </c>
      <c r="AS18" s="5">
        <v>13934.319</v>
      </c>
      <c r="AT18" s="5">
        <v>13567.120999999999</v>
      </c>
    </row>
    <row r="19" spans="1:46" x14ac:dyDescent="0.25">
      <c r="A19" s="4" t="s">
        <v>198</v>
      </c>
      <c r="B19" s="4" t="s">
        <v>207</v>
      </c>
      <c r="C19" s="4" t="s">
        <v>246</v>
      </c>
      <c r="D19" s="4" t="s">
        <v>259</v>
      </c>
      <c r="E19" s="4" t="s">
        <v>248</v>
      </c>
      <c r="F19" s="4" t="s">
        <v>195</v>
      </c>
      <c r="G19" s="4" t="s">
        <v>260</v>
      </c>
      <c r="H19" s="4" t="s">
        <v>268</v>
      </c>
      <c r="I19" s="5">
        <v>291.17599999999999</v>
      </c>
      <c r="J19" s="5">
        <v>271.32600000000002</v>
      </c>
      <c r="K19" s="5">
        <v>203.495</v>
      </c>
      <c r="L19" s="5">
        <v>450.209</v>
      </c>
      <c r="M19" s="5">
        <v>751.03</v>
      </c>
      <c r="N19" s="5">
        <v>749.35599999999999</v>
      </c>
      <c r="O19" s="5">
        <v>510.25900000000001</v>
      </c>
      <c r="P19" s="5">
        <v>678.47299999999996</v>
      </c>
      <c r="Q19" s="5">
        <v>713.62</v>
      </c>
      <c r="R19" s="5">
        <v>716.23900000000003</v>
      </c>
      <c r="S19" s="5">
        <v>598.03700000000003</v>
      </c>
      <c r="T19" s="5">
        <v>594.197</v>
      </c>
      <c r="U19" s="5">
        <v>137.57300000000001</v>
      </c>
      <c r="V19" s="5">
        <v>138.43799999999999</v>
      </c>
      <c r="W19" s="5">
        <v>480.23</v>
      </c>
      <c r="X19" s="5">
        <v>248.06200000000001</v>
      </c>
      <c r="Y19" s="5">
        <v>118.699</v>
      </c>
      <c r="Z19" s="8">
        <v>0</v>
      </c>
      <c r="AA19" s="5">
        <v>186.66399999999999</v>
      </c>
      <c r="AB19" s="5">
        <v>186.66399999999999</v>
      </c>
      <c r="AC19" s="5">
        <v>177.83799999999999</v>
      </c>
      <c r="AD19" s="5">
        <v>174.31700000000001</v>
      </c>
      <c r="AE19" s="5">
        <v>174.31700000000001</v>
      </c>
      <c r="AF19" s="5">
        <v>182.63499999999999</v>
      </c>
      <c r="AG19" s="5">
        <v>182.63499999999999</v>
      </c>
      <c r="AH19" s="5">
        <v>534.22799999999995</v>
      </c>
      <c r="AI19" s="5">
        <v>526.70600000000002</v>
      </c>
      <c r="AJ19" s="5">
        <v>348.48</v>
      </c>
      <c r="AK19" s="5">
        <v>347.08800000000002</v>
      </c>
      <c r="AL19" s="5">
        <v>300.12200000000001</v>
      </c>
      <c r="AM19" s="5">
        <v>294.60199999999998</v>
      </c>
      <c r="AN19" s="5">
        <v>169.51300000000001</v>
      </c>
      <c r="AO19" s="5">
        <v>148</v>
      </c>
      <c r="AP19" s="5">
        <v>148</v>
      </c>
      <c r="AQ19" s="5">
        <v>221.58199999999999</v>
      </c>
      <c r="AR19" s="5">
        <v>217.82300000000001</v>
      </c>
      <c r="AS19" s="5">
        <v>333.40699999999998</v>
      </c>
      <c r="AT19" s="5">
        <v>141.73500000000001</v>
      </c>
    </row>
    <row r="20" spans="1:46" x14ac:dyDescent="0.25">
      <c r="A20" s="4" t="s">
        <v>198</v>
      </c>
      <c r="B20" s="4" t="s">
        <v>207</v>
      </c>
      <c r="C20" s="4" t="s">
        <v>246</v>
      </c>
      <c r="D20" s="4" t="s">
        <v>259</v>
      </c>
      <c r="E20" s="4" t="s">
        <v>261</v>
      </c>
      <c r="F20" s="4" t="s">
        <v>201</v>
      </c>
      <c r="G20" s="4" t="s">
        <v>93</v>
      </c>
      <c r="H20" s="4" t="s">
        <v>268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5">
        <v>104.95399999999999</v>
      </c>
      <c r="AI20" s="8">
        <v>0</v>
      </c>
      <c r="AJ20" s="8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</row>
    <row r="21" spans="1:46" x14ac:dyDescent="0.25">
      <c r="A21" s="4" t="s">
        <v>198</v>
      </c>
      <c r="B21" s="4" t="s">
        <v>207</v>
      </c>
      <c r="C21" s="4" t="s">
        <v>246</v>
      </c>
      <c r="D21" s="4" t="s">
        <v>259</v>
      </c>
      <c r="E21" s="4" t="s">
        <v>261</v>
      </c>
      <c r="F21" s="4" t="s">
        <v>195</v>
      </c>
      <c r="G21" s="4" t="s">
        <v>93</v>
      </c>
      <c r="H21" s="4" t="s">
        <v>268</v>
      </c>
      <c r="I21" s="5">
        <v>1541.6179999999999</v>
      </c>
      <c r="J21" s="5">
        <v>1008.875</v>
      </c>
      <c r="K21" s="5">
        <v>906.80899999999997</v>
      </c>
      <c r="L21" s="5">
        <v>948.39700000000005</v>
      </c>
      <c r="M21" s="5">
        <v>836.19899999999996</v>
      </c>
      <c r="N21" s="5">
        <v>842.60900000000004</v>
      </c>
      <c r="O21" s="5">
        <v>858.94299999999998</v>
      </c>
      <c r="P21" s="5">
        <v>899.83</v>
      </c>
      <c r="Q21" s="5">
        <v>807.21199999999999</v>
      </c>
      <c r="R21" s="5">
        <v>891.48099999999999</v>
      </c>
      <c r="S21" s="5">
        <v>768.26499999999999</v>
      </c>
      <c r="T21" s="5">
        <v>731.67200000000003</v>
      </c>
      <c r="U21" s="5">
        <v>654.37300000000005</v>
      </c>
      <c r="V21" s="5">
        <v>583.05799999999999</v>
      </c>
      <c r="W21" s="5">
        <v>1023.847</v>
      </c>
      <c r="X21" s="5">
        <v>777.51599999999996</v>
      </c>
      <c r="Y21" s="5">
        <v>1133.21</v>
      </c>
      <c r="Z21" s="5">
        <v>839.68799999999999</v>
      </c>
      <c r="AA21" s="5">
        <v>741.43</v>
      </c>
      <c r="AB21" s="5">
        <v>805.43700000000001</v>
      </c>
      <c r="AC21" s="5">
        <v>988.96400000000006</v>
      </c>
      <c r="AD21" s="5">
        <v>1100.6980000000001</v>
      </c>
      <c r="AE21" s="5">
        <v>1012.227</v>
      </c>
      <c r="AF21" s="5">
        <v>921.30600000000004</v>
      </c>
      <c r="AG21" s="5">
        <v>912.53399999999999</v>
      </c>
      <c r="AH21" s="5">
        <v>863.87800000000004</v>
      </c>
      <c r="AI21" s="5">
        <v>1003.889</v>
      </c>
      <c r="AJ21" s="5">
        <v>882.03800000000001</v>
      </c>
      <c r="AK21" s="5">
        <v>1039.615</v>
      </c>
      <c r="AL21" s="5">
        <v>1103.2170000000001</v>
      </c>
      <c r="AM21" s="5">
        <v>1152.47</v>
      </c>
      <c r="AN21" s="5">
        <v>1195.08</v>
      </c>
      <c r="AO21" s="5">
        <v>1104.135</v>
      </c>
      <c r="AP21" s="5">
        <v>1206.0909999999999</v>
      </c>
      <c r="AQ21" s="5">
        <v>1215.33</v>
      </c>
      <c r="AR21" s="5">
        <v>1311.491</v>
      </c>
      <c r="AS21" s="5">
        <v>1041.9369999999999</v>
      </c>
      <c r="AT21" s="5">
        <v>1067.261</v>
      </c>
    </row>
    <row r="22" spans="1:46" x14ac:dyDescent="0.25">
      <c r="A22" s="4" t="s">
        <v>198</v>
      </c>
      <c r="B22" s="4" t="s">
        <v>207</v>
      </c>
      <c r="C22" s="4" t="s">
        <v>246</v>
      </c>
      <c r="D22" s="4" t="s">
        <v>259</v>
      </c>
      <c r="E22" s="4" t="s">
        <v>261</v>
      </c>
      <c r="F22" s="4" t="s">
        <v>195</v>
      </c>
      <c r="G22" s="4" t="s">
        <v>262</v>
      </c>
      <c r="H22" s="4" t="s">
        <v>268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5">
        <v>95.320999999999998</v>
      </c>
      <c r="R22" s="5">
        <v>42.005000000000003</v>
      </c>
      <c r="S22" s="5">
        <v>42.005000000000003</v>
      </c>
      <c r="T22" s="5">
        <v>42.005000000000003</v>
      </c>
      <c r="U22" s="5">
        <v>42.38</v>
      </c>
      <c r="V22" s="5">
        <v>42.283999999999999</v>
      </c>
      <c r="W22" s="5">
        <v>68.906000000000006</v>
      </c>
      <c r="X22" s="5">
        <v>76.834000000000003</v>
      </c>
      <c r="Y22" s="5">
        <v>78.790999999999997</v>
      </c>
      <c r="Z22" s="5">
        <v>60.09</v>
      </c>
      <c r="AA22" s="5">
        <v>60.09</v>
      </c>
      <c r="AB22" s="5">
        <v>60.09</v>
      </c>
      <c r="AC22" s="8">
        <v>0</v>
      </c>
      <c r="AD22" s="8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</row>
    <row r="23" spans="1:46" x14ac:dyDescent="0.25">
      <c r="A23" s="4" t="s">
        <v>198</v>
      </c>
      <c r="B23" s="4" t="s">
        <v>207</v>
      </c>
      <c r="C23" s="4" t="s">
        <v>246</v>
      </c>
      <c r="D23" s="4" t="s">
        <v>263</v>
      </c>
      <c r="E23" s="4" t="s">
        <v>248</v>
      </c>
      <c r="F23" s="4" t="s">
        <v>201</v>
      </c>
      <c r="G23" s="4" t="s">
        <v>71</v>
      </c>
      <c r="H23" s="4" t="s">
        <v>268</v>
      </c>
      <c r="I23" s="5">
        <v>500.95699999999999</v>
      </c>
      <c r="J23" s="5">
        <v>597.82500000000005</v>
      </c>
      <c r="K23" s="5">
        <v>384.15499999999997</v>
      </c>
      <c r="L23" s="5">
        <v>93.114000000000004</v>
      </c>
      <c r="M23" s="8">
        <v>0</v>
      </c>
      <c r="N23" s="8">
        <v>0</v>
      </c>
      <c r="O23" s="8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</row>
    <row r="24" spans="1:46" x14ac:dyDescent="0.25">
      <c r="A24" s="4" t="s">
        <v>198</v>
      </c>
      <c r="B24" s="4" t="s">
        <v>207</v>
      </c>
      <c r="C24" s="4" t="s">
        <v>246</v>
      </c>
      <c r="D24" s="4" t="s">
        <v>263</v>
      </c>
      <c r="E24" s="4" t="s">
        <v>248</v>
      </c>
      <c r="F24" s="4" t="s">
        <v>201</v>
      </c>
      <c r="G24" s="4" t="s">
        <v>76</v>
      </c>
      <c r="H24" s="4" t="s">
        <v>268</v>
      </c>
      <c r="I24" s="5">
        <v>55.002000000000002</v>
      </c>
      <c r="J24" s="5">
        <v>76.769000000000005</v>
      </c>
      <c r="K24" s="5">
        <v>85.597999999999999</v>
      </c>
      <c r="L24" s="5">
        <v>8.9870000000000001</v>
      </c>
      <c r="M24" s="5">
        <v>8.9870000000000001</v>
      </c>
      <c r="N24" s="5">
        <v>8.9870000000000001</v>
      </c>
      <c r="O24" s="5">
        <v>8.9870000000000001</v>
      </c>
      <c r="P24" s="8">
        <v>0</v>
      </c>
      <c r="Q24" s="5">
        <v>9.8620000000000001</v>
      </c>
      <c r="R24" s="8">
        <v>0</v>
      </c>
      <c r="S24" s="5">
        <v>9.8620000000000001</v>
      </c>
      <c r="T24" s="5">
        <v>9.8620000000000001</v>
      </c>
      <c r="U24" s="5">
        <v>9.8620000000000001</v>
      </c>
      <c r="V24" s="5">
        <v>9.8620000000000001</v>
      </c>
      <c r="W24" s="5">
        <v>11.92</v>
      </c>
      <c r="X24" s="5">
        <v>36.820999999999998</v>
      </c>
      <c r="Y24" s="8">
        <v>0</v>
      </c>
      <c r="Z24" s="5">
        <v>11.863</v>
      </c>
      <c r="AA24" s="5">
        <v>110.172</v>
      </c>
      <c r="AB24" s="5">
        <v>48.628</v>
      </c>
      <c r="AC24" s="5">
        <v>48.628</v>
      </c>
      <c r="AD24" s="5">
        <v>48.628</v>
      </c>
      <c r="AE24" s="5">
        <v>49.456000000000003</v>
      </c>
      <c r="AF24" s="5">
        <v>154.292</v>
      </c>
      <c r="AG24" s="5">
        <v>314.24200000000002</v>
      </c>
      <c r="AH24" s="5">
        <v>314.24200000000002</v>
      </c>
      <c r="AI24" s="5">
        <v>254</v>
      </c>
      <c r="AJ24" s="5">
        <v>330.86500000000001</v>
      </c>
      <c r="AK24" s="5">
        <v>350.95</v>
      </c>
      <c r="AL24" s="5">
        <v>357.125</v>
      </c>
      <c r="AM24" s="5">
        <v>427.09300000000002</v>
      </c>
      <c r="AN24" s="5">
        <v>452.49099999999999</v>
      </c>
      <c r="AO24" s="5">
        <v>300.97399999999999</v>
      </c>
      <c r="AP24" s="5">
        <v>342.94200000000001</v>
      </c>
      <c r="AQ24" s="5">
        <v>424.89100000000002</v>
      </c>
      <c r="AR24" s="5">
        <v>323.012</v>
      </c>
      <c r="AS24" s="5">
        <v>283.86700000000002</v>
      </c>
      <c r="AT24" s="5">
        <v>376.233</v>
      </c>
    </row>
    <row r="25" spans="1:46" x14ac:dyDescent="0.25">
      <c r="A25" s="4" t="s">
        <v>198</v>
      </c>
      <c r="B25" s="4" t="s">
        <v>207</v>
      </c>
      <c r="C25" s="4" t="s">
        <v>246</v>
      </c>
      <c r="D25" s="4" t="s">
        <v>263</v>
      </c>
      <c r="E25" s="4" t="s">
        <v>248</v>
      </c>
      <c r="F25" s="4" t="s">
        <v>201</v>
      </c>
      <c r="G25" s="4" t="s">
        <v>85</v>
      </c>
      <c r="H25" s="4" t="s">
        <v>268</v>
      </c>
      <c r="I25" s="5">
        <v>2032.3810000000001</v>
      </c>
      <c r="J25" s="5">
        <v>2235.5819999999999</v>
      </c>
      <c r="K25" s="5">
        <v>2030.3620000000001</v>
      </c>
      <c r="L25" s="5">
        <v>2398.0740000000001</v>
      </c>
      <c r="M25" s="5">
        <v>3474.701</v>
      </c>
      <c r="N25" s="5">
        <v>2515.9290000000001</v>
      </c>
      <c r="O25" s="5">
        <v>3359.7289999999998</v>
      </c>
      <c r="P25" s="5">
        <v>2718.2820000000002</v>
      </c>
      <c r="Q25" s="5">
        <v>2238.16</v>
      </c>
      <c r="R25" s="5">
        <v>1835.722</v>
      </c>
      <c r="S25" s="5">
        <v>1724.346</v>
      </c>
      <c r="T25" s="5">
        <v>1921.326</v>
      </c>
      <c r="U25" s="5">
        <v>1516.174</v>
      </c>
      <c r="V25" s="5">
        <v>2513.71</v>
      </c>
      <c r="W25" s="5">
        <v>1809.673</v>
      </c>
      <c r="X25" s="5">
        <v>1749.174</v>
      </c>
      <c r="Y25" s="5">
        <v>1794.5809999999999</v>
      </c>
      <c r="Z25" s="5">
        <v>2061.6439999999998</v>
      </c>
      <c r="AA25" s="5">
        <v>1725.412</v>
      </c>
      <c r="AB25" s="5">
        <v>2300.5509999999999</v>
      </c>
      <c r="AC25" s="5">
        <v>2821.4250000000002</v>
      </c>
      <c r="AD25" s="5">
        <v>2525.5169999999998</v>
      </c>
      <c r="AE25" s="5">
        <v>1847.1859999999999</v>
      </c>
      <c r="AF25" s="5">
        <v>2522.5650000000001</v>
      </c>
      <c r="AG25" s="5">
        <v>2397.35</v>
      </c>
      <c r="AH25" s="5">
        <v>2667.1669999999999</v>
      </c>
      <c r="AI25" s="5">
        <v>3019.1060000000002</v>
      </c>
      <c r="AJ25" s="5">
        <v>3350.9090000000001</v>
      </c>
      <c r="AK25" s="5">
        <v>5249.6360000000004</v>
      </c>
      <c r="AL25" s="5">
        <v>6221.8760000000002</v>
      </c>
      <c r="AM25" s="5">
        <v>5551.4210000000003</v>
      </c>
      <c r="AN25" s="5">
        <v>4716.8980000000001</v>
      </c>
      <c r="AO25" s="5">
        <v>4724.92</v>
      </c>
      <c r="AP25" s="5">
        <v>4713.3540000000003</v>
      </c>
      <c r="AQ25" s="5">
        <v>4513.7269999999999</v>
      </c>
      <c r="AR25" s="5">
        <v>4324.8519999999999</v>
      </c>
      <c r="AS25" s="5">
        <v>3709.8890000000001</v>
      </c>
      <c r="AT25" s="5">
        <v>4956.1779999999999</v>
      </c>
    </row>
    <row r="26" spans="1:46" x14ac:dyDescent="0.25">
      <c r="A26" s="4" t="s">
        <v>198</v>
      </c>
      <c r="B26" s="4" t="s">
        <v>207</v>
      </c>
      <c r="C26" s="4" t="s">
        <v>246</v>
      </c>
      <c r="D26" s="4" t="s">
        <v>263</v>
      </c>
      <c r="E26" s="4" t="s">
        <v>248</v>
      </c>
      <c r="F26" s="4" t="s">
        <v>195</v>
      </c>
      <c r="G26" s="4" t="s">
        <v>264</v>
      </c>
      <c r="H26" s="4" t="s">
        <v>268</v>
      </c>
      <c r="I26" s="5">
        <v>150.935</v>
      </c>
      <c r="J26" s="5">
        <v>166.42</v>
      </c>
      <c r="K26" s="5">
        <v>165.928</v>
      </c>
      <c r="L26" s="5">
        <v>74.748000000000005</v>
      </c>
      <c r="M26" s="5">
        <v>19.986999999999998</v>
      </c>
      <c r="N26" s="5">
        <v>19.986999999999998</v>
      </c>
      <c r="O26" s="5">
        <v>19.986999999999998</v>
      </c>
      <c r="P26" s="5">
        <v>19.986999999999998</v>
      </c>
      <c r="Q26" s="5">
        <v>20.155000000000001</v>
      </c>
      <c r="R26" s="5">
        <v>22.123999999999999</v>
      </c>
      <c r="S26" s="5">
        <v>19.273</v>
      </c>
      <c r="T26" s="5">
        <v>19.273</v>
      </c>
      <c r="U26" s="5">
        <v>19.273</v>
      </c>
      <c r="V26" s="5">
        <v>19.273</v>
      </c>
      <c r="W26" s="5">
        <v>25.675999999999998</v>
      </c>
      <c r="X26" s="5">
        <v>25.454000000000001</v>
      </c>
      <c r="Y26" s="5">
        <v>21.303999999999998</v>
      </c>
      <c r="Z26" s="5">
        <v>131.76499999999999</v>
      </c>
      <c r="AA26" s="5">
        <v>21.303999999999998</v>
      </c>
      <c r="AB26" s="5">
        <v>94.944999999999993</v>
      </c>
      <c r="AC26" s="5">
        <v>65.763000000000005</v>
      </c>
      <c r="AD26" s="5">
        <v>64.882999999999996</v>
      </c>
      <c r="AE26" s="5">
        <v>64.882999999999996</v>
      </c>
      <c r="AF26" s="5">
        <v>69.290000000000006</v>
      </c>
      <c r="AG26" s="5">
        <v>69.290000000000006</v>
      </c>
      <c r="AH26" s="5">
        <v>113.239</v>
      </c>
      <c r="AI26" s="5">
        <v>67.191000000000003</v>
      </c>
      <c r="AJ26" s="5">
        <v>114.452</v>
      </c>
      <c r="AK26" s="5">
        <v>90.751000000000005</v>
      </c>
      <c r="AL26" s="5">
        <v>100.673</v>
      </c>
      <c r="AM26" s="5">
        <v>101.145</v>
      </c>
      <c r="AN26" s="5">
        <v>130.85300000000001</v>
      </c>
      <c r="AO26" s="5">
        <v>125.863</v>
      </c>
      <c r="AP26" s="5">
        <v>123.59699999999999</v>
      </c>
      <c r="AQ26" s="5">
        <v>101.86</v>
      </c>
      <c r="AR26" s="5">
        <v>98.588999999999999</v>
      </c>
      <c r="AS26" s="5">
        <v>92.79</v>
      </c>
      <c r="AT26" s="5">
        <v>149.76499999999999</v>
      </c>
    </row>
    <row r="27" spans="1:46" x14ac:dyDescent="0.25">
      <c r="A27" s="4" t="s">
        <v>198</v>
      </c>
      <c r="B27" s="4" t="s">
        <v>207</v>
      </c>
      <c r="C27" s="4" t="s">
        <v>246</v>
      </c>
      <c r="D27" s="4" t="s">
        <v>263</v>
      </c>
      <c r="E27" s="4" t="s">
        <v>248</v>
      </c>
      <c r="F27" s="4" t="s">
        <v>195</v>
      </c>
      <c r="G27" s="4" t="s">
        <v>71</v>
      </c>
      <c r="H27" s="4" t="s">
        <v>268</v>
      </c>
      <c r="I27" s="5">
        <v>2083.0819999999999</v>
      </c>
      <c r="J27" s="5">
        <v>1730.568</v>
      </c>
      <c r="K27" s="5">
        <v>1866.9480000000001</v>
      </c>
      <c r="L27" s="5">
        <v>1204.3620000000001</v>
      </c>
      <c r="M27" s="5">
        <v>3062.0529999999999</v>
      </c>
      <c r="N27" s="5">
        <v>3312.08</v>
      </c>
      <c r="O27" s="5">
        <v>3934.28</v>
      </c>
      <c r="P27" s="5">
        <v>3449.8679999999999</v>
      </c>
      <c r="Q27" s="5">
        <v>2605.8409999999999</v>
      </c>
      <c r="R27" s="5">
        <v>3092.5050000000001</v>
      </c>
      <c r="S27" s="5">
        <v>2681.3519999999999</v>
      </c>
      <c r="T27" s="5">
        <v>2845.0909999999999</v>
      </c>
      <c r="U27" s="5">
        <v>2633.0940000000001</v>
      </c>
      <c r="V27" s="5">
        <v>2818.6619999999998</v>
      </c>
      <c r="W27" s="5">
        <v>3007.1880000000001</v>
      </c>
      <c r="X27" s="5">
        <v>3083.4459999999999</v>
      </c>
      <c r="Y27" s="5">
        <v>4271.107</v>
      </c>
      <c r="Z27" s="5">
        <v>4238.9260000000004</v>
      </c>
      <c r="AA27" s="5">
        <v>4404.8100000000004</v>
      </c>
      <c r="AB27" s="5">
        <v>3502.8290000000002</v>
      </c>
      <c r="AC27" s="5">
        <v>3223.1329999999998</v>
      </c>
      <c r="AD27" s="5">
        <v>3322.864</v>
      </c>
      <c r="AE27" s="5">
        <v>3785.3339999999998</v>
      </c>
      <c r="AF27" s="5">
        <v>4506.7719999999999</v>
      </c>
      <c r="AG27" s="5">
        <v>4866.0169999999998</v>
      </c>
      <c r="AH27" s="5">
        <v>4656.42</v>
      </c>
      <c r="AI27" s="5">
        <v>4873.3190000000004</v>
      </c>
      <c r="AJ27" s="5">
        <v>3607.3220000000001</v>
      </c>
      <c r="AK27" s="5">
        <v>3945.8760000000002</v>
      </c>
      <c r="AL27" s="5">
        <v>4271.8320000000003</v>
      </c>
      <c r="AM27" s="5">
        <v>5178.6949999999997</v>
      </c>
      <c r="AN27" s="5">
        <v>3478.2959999999998</v>
      </c>
      <c r="AO27" s="5">
        <v>2938.1419999999998</v>
      </c>
      <c r="AP27" s="5">
        <v>2410.7640000000001</v>
      </c>
      <c r="AQ27" s="5">
        <v>2493.9389999999999</v>
      </c>
      <c r="AR27" s="5">
        <v>2105.6819999999998</v>
      </c>
      <c r="AS27" s="5">
        <v>2438.855</v>
      </c>
      <c r="AT27" s="5">
        <v>4396.7619999999997</v>
      </c>
    </row>
    <row r="28" spans="1:46" x14ac:dyDescent="0.25">
      <c r="A28" s="4" t="s">
        <v>198</v>
      </c>
      <c r="B28" s="4" t="s">
        <v>207</v>
      </c>
      <c r="C28" s="4" t="s">
        <v>246</v>
      </c>
      <c r="D28" s="4" t="s">
        <v>263</v>
      </c>
      <c r="E28" s="4" t="s">
        <v>248</v>
      </c>
      <c r="F28" s="4" t="s">
        <v>195</v>
      </c>
      <c r="G28" s="4" t="s">
        <v>76</v>
      </c>
      <c r="H28" s="4" t="s">
        <v>268</v>
      </c>
      <c r="I28" s="5">
        <v>971.02200000000005</v>
      </c>
      <c r="J28" s="5">
        <v>847.077</v>
      </c>
      <c r="K28" s="5">
        <v>844.178</v>
      </c>
      <c r="L28" s="5">
        <v>846.19100000000003</v>
      </c>
      <c r="M28" s="5">
        <v>1103.902</v>
      </c>
      <c r="N28" s="5">
        <v>889.72199999999998</v>
      </c>
      <c r="O28" s="5">
        <v>975.75199999999995</v>
      </c>
      <c r="P28" s="5">
        <v>909.54300000000001</v>
      </c>
      <c r="Q28" s="5">
        <v>878.4</v>
      </c>
      <c r="R28" s="5">
        <v>780.226</v>
      </c>
      <c r="S28" s="5">
        <v>740.15899999999999</v>
      </c>
      <c r="T28" s="5">
        <v>728.20600000000002</v>
      </c>
      <c r="U28" s="5">
        <v>647.67499999999995</v>
      </c>
      <c r="V28" s="5">
        <v>914.58500000000004</v>
      </c>
      <c r="W28" s="5">
        <v>1604.221</v>
      </c>
      <c r="X28" s="5">
        <v>1254.9480000000001</v>
      </c>
      <c r="Y28" s="5">
        <v>1203.8779999999999</v>
      </c>
      <c r="Z28" s="5">
        <v>1385.721</v>
      </c>
      <c r="AA28" s="5">
        <v>1221.4000000000001</v>
      </c>
      <c r="AB28" s="5">
        <v>1032.598</v>
      </c>
      <c r="AC28" s="5">
        <v>966.52</v>
      </c>
      <c r="AD28" s="5">
        <v>987.18899999999996</v>
      </c>
      <c r="AE28" s="5">
        <v>991.94100000000003</v>
      </c>
      <c r="AF28" s="5">
        <v>861.08100000000002</v>
      </c>
      <c r="AG28" s="5">
        <v>1084.548</v>
      </c>
      <c r="AH28" s="5">
        <v>1221.8610000000001</v>
      </c>
      <c r="AI28" s="5">
        <v>2006.6289999999999</v>
      </c>
      <c r="AJ28" s="5">
        <v>1902.4169999999999</v>
      </c>
      <c r="AK28" s="5">
        <v>1493.289</v>
      </c>
      <c r="AL28" s="5">
        <v>1742.3050000000001</v>
      </c>
      <c r="AM28" s="5">
        <v>1806.383</v>
      </c>
      <c r="AN28" s="5">
        <v>2026.963</v>
      </c>
      <c r="AO28" s="5">
        <v>1567.789</v>
      </c>
      <c r="AP28" s="5">
        <v>1624.55</v>
      </c>
      <c r="AQ28" s="5">
        <v>1836.923</v>
      </c>
      <c r="AR28" s="5">
        <v>1694.18</v>
      </c>
      <c r="AS28" s="5">
        <v>1631.056</v>
      </c>
      <c r="AT28" s="5">
        <v>1719.7950000000001</v>
      </c>
    </row>
    <row r="29" spans="1:46" x14ac:dyDescent="0.25">
      <c r="A29" s="4" t="s">
        <v>198</v>
      </c>
      <c r="B29" s="4" t="s">
        <v>207</v>
      </c>
      <c r="C29" s="4" t="s">
        <v>246</v>
      </c>
      <c r="D29" s="4" t="s">
        <v>263</v>
      </c>
      <c r="E29" s="4" t="s">
        <v>248</v>
      </c>
      <c r="F29" s="4" t="s">
        <v>195</v>
      </c>
      <c r="G29" s="4" t="s">
        <v>85</v>
      </c>
      <c r="H29" s="4" t="s">
        <v>268</v>
      </c>
      <c r="I29" s="5">
        <v>5603.5150000000003</v>
      </c>
      <c r="J29" s="5">
        <v>7069.1139999999996</v>
      </c>
      <c r="K29" s="5">
        <v>7432.36</v>
      </c>
      <c r="L29" s="5">
        <v>6385.45</v>
      </c>
      <c r="M29" s="5">
        <v>5756.2939999999999</v>
      </c>
      <c r="N29" s="5">
        <v>5751.0150000000003</v>
      </c>
      <c r="O29" s="5">
        <v>6251.6390000000001</v>
      </c>
      <c r="P29" s="5">
        <v>6031.6210000000001</v>
      </c>
      <c r="Q29" s="5">
        <v>5354.1970000000001</v>
      </c>
      <c r="R29" s="5">
        <v>6726.134</v>
      </c>
      <c r="S29" s="5">
        <v>6534.7219999999998</v>
      </c>
      <c r="T29" s="5">
        <v>6903.3909999999996</v>
      </c>
      <c r="U29" s="5">
        <v>6711.2969999999996</v>
      </c>
      <c r="V29" s="5">
        <v>7179.3969999999999</v>
      </c>
      <c r="W29" s="5">
        <v>8383.8179999999993</v>
      </c>
      <c r="X29" s="5">
        <v>10003.048000000001</v>
      </c>
      <c r="Y29" s="5">
        <v>12370.605</v>
      </c>
      <c r="Z29" s="5">
        <v>11875.03</v>
      </c>
      <c r="AA29" s="5">
        <v>11574.007</v>
      </c>
      <c r="AB29" s="5">
        <v>8789.5259999999998</v>
      </c>
      <c r="AC29" s="5">
        <v>9090.6479999999992</v>
      </c>
      <c r="AD29" s="5">
        <v>9091.9509999999991</v>
      </c>
      <c r="AE29" s="5">
        <v>9902.9419999999991</v>
      </c>
      <c r="AF29" s="5">
        <v>9115.0509999999995</v>
      </c>
      <c r="AG29" s="5">
        <v>8922.7909999999993</v>
      </c>
      <c r="AH29" s="5">
        <v>7636.0550000000003</v>
      </c>
      <c r="AI29" s="5">
        <v>7812.6940000000004</v>
      </c>
      <c r="AJ29" s="5">
        <v>8757.0750000000007</v>
      </c>
      <c r="AK29" s="5">
        <v>8498.3469999999998</v>
      </c>
      <c r="AL29" s="5">
        <v>10027.737999999999</v>
      </c>
      <c r="AM29" s="5">
        <v>9939.8310000000001</v>
      </c>
      <c r="AN29" s="5">
        <v>10820.769</v>
      </c>
      <c r="AO29" s="5">
        <v>9746.2039999999997</v>
      </c>
      <c r="AP29" s="5">
        <v>9220.4480000000003</v>
      </c>
      <c r="AQ29" s="5">
        <v>8606.6859999999997</v>
      </c>
      <c r="AR29" s="5">
        <v>9313.4130000000005</v>
      </c>
      <c r="AS29" s="5">
        <v>8954.768</v>
      </c>
      <c r="AT29" s="5">
        <v>10085.422</v>
      </c>
    </row>
    <row r="30" spans="1:46" x14ac:dyDescent="0.25">
      <c r="A30" s="4" t="s">
        <v>198</v>
      </c>
      <c r="B30" s="4" t="s">
        <v>207</v>
      </c>
      <c r="C30" s="4" t="s">
        <v>246</v>
      </c>
      <c r="D30" s="4" t="s">
        <v>265</v>
      </c>
      <c r="E30" s="4" t="s">
        <v>266</v>
      </c>
      <c r="F30" s="4" t="s">
        <v>195</v>
      </c>
      <c r="G30" s="4" t="s">
        <v>93</v>
      </c>
      <c r="H30" s="4" t="s">
        <v>268</v>
      </c>
      <c r="I30" s="5">
        <v>1427.383</v>
      </c>
      <c r="J30" s="5">
        <v>950.851</v>
      </c>
      <c r="K30" s="5">
        <v>1020.817</v>
      </c>
      <c r="L30" s="5">
        <v>1692.28</v>
      </c>
      <c r="M30" s="5">
        <v>1042.693</v>
      </c>
      <c r="N30" s="5">
        <v>2171.5050000000001</v>
      </c>
      <c r="O30" s="5">
        <v>1596.3610000000001</v>
      </c>
      <c r="P30" s="5">
        <v>1620.6210000000001</v>
      </c>
      <c r="Q30" s="5">
        <v>1511.1759999999999</v>
      </c>
      <c r="R30" s="5">
        <v>1212.5840000000001</v>
      </c>
      <c r="S30" s="5">
        <v>1178.442</v>
      </c>
      <c r="T30" s="5">
        <v>1073.011</v>
      </c>
      <c r="U30" s="5">
        <v>1834.287</v>
      </c>
      <c r="V30" s="5">
        <v>1938.931</v>
      </c>
      <c r="W30" s="5">
        <v>2171.915</v>
      </c>
      <c r="X30" s="5">
        <v>1470.335</v>
      </c>
      <c r="Y30" s="5">
        <v>2088.375</v>
      </c>
      <c r="Z30" s="5">
        <v>1582.56</v>
      </c>
      <c r="AA30" s="5">
        <v>1101.0899999999999</v>
      </c>
      <c r="AB30" s="5">
        <v>997.28399999999999</v>
      </c>
      <c r="AC30" s="5">
        <v>902.23599999999999</v>
      </c>
      <c r="AD30" s="5">
        <v>854.47</v>
      </c>
      <c r="AE30" s="5">
        <v>743.79600000000005</v>
      </c>
      <c r="AF30" s="5">
        <v>776.63199999999995</v>
      </c>
      <c r="AG30" s="5">
        <v>676.78300000000002</v>
      </c>
      <c r="AH30" s="5">
        <v>689.53200000000004</v>
      </c>
      <c r="AI30" s="5">
        <v>808.42399999999998</v>
      </c>
      <c r="AJ30" s="5">
        <v>823.42899999999997</v>
      </c>
      <c r="AK30" s="5">
        <v>1125.49</v>
      </c>
      <c r="AL30" s="5">
        <v>1074.7819999999999</v>
      </c>
      <c r="AM30" s="5">
        <v>874.16899999999998</v>
      </c>
      <c r="AN30" s="5">
        <v>967.38900000000001</v>
      </c>
      <c r="AO30" s="5">
        <v>509.291</v>
      </c>
      <c r="AP30" s="5">
        <v>439.75900000000001</v>
      </c>
      <c r="AQ30" s="5">
        <v>541.87099999999998</v>
      </c>
      <c r="AR30" s="5">
        <v>622.87199999999996</v>
      </c>
      <c r="AS30" s="5">
        <v>591.12400000000002</v>
      </c>
      <c r="AT30" s="5">
        <v>598.76400000000001</v>
      </c>
    </row>
    <row r="31" spans="1:46" x14ac:dyDescent="0.25">
      <c r="A31" s="4" t="s">
        <v>267</v>
      </c>
      <c r="B31" s="4" t="s">
        <v>207</v>
      </c>
      <c r="C31" s="4" t="s">
        <v>246</v>
      </c>
      <c r="D31" s="4" t="s">
        <v>247</v>
      </c>
      <c r="E31" s="4" t="s">
        <v>248</v>
      </c>
      <c r="F31" s="4" t="s">
        <v>201</v>
      </c>
      <c r="G31" s="4" t="s">
        <v>93</v>
      </c>
      <c r="H31" s="4" t="s">
        <v>268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</row>
    <row r="32" spans="1:46" x14ac:dyDescent="0.25">
      <c r="A32" s="4" t="s">
        <v>267</v>
      </c>
      <c r="B32" s="4" t="s">
        <v>207</v>
      </c>
      <c r="C32" s="4" t="s">
        <v>246</v>
      </c>
      <c r="D32" s="4" t="s">
        <v>247</v>
      </c>
      <c r="E32" s="4" t="s">
        <v>248</v>
      </c>
      <c r="F32" s="4" t="s">
        <v>201</v>
      </c>
      <c r="G32" s="4" t="s">
        <v>253</v>
      </c>
      <c r="H32" s="4" t="s">
        <v>268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9">
        <v>0</v>
      </c>
      <c r="AE32" s="9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</row>
    <row r="33" spans="1:46" x14ac:dyDescent="0.25">
      <c r="A33" s="4" t="s">
        <v>267</v>
      </c>
      <c r="B33" s="4" t="s">
        <v>207</v>
      </c>
      <c r="C33" s="4" t="s">
        <v>246</v>
      </c>
      <c r="D33" s="4" t="s">
        <v>247</v>
      </c>
      <c r="E33" s="4" t="s">
        <v>248</v>
      </c>
      <c r="F33" s="4" t="s">
        <v>202</v>
      </c>
      <c r="G33" s="4" t="s">
        <v>93</v>
      </c>
      <c r="H33" s="4" t="s">
        <v>268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</row>
    <row r="34" spans="1:46" x14ac:dyDescent="0.25">
      <c r="A34" s="4" t="s">
        <v>267</v>
      </c>
      <c r="B34" s="4" t="s">
        <v>207</v>
      </c>
      <c r="C34" s="4" t="s">
        <v>246</v>
      </c>
      <c r="D34" s="4" t="s">
        <v>247</v>
      </c>
      <c r="E34" s="4" t="s">
        <v>248</v>
      </c>
      <c r="F34" s="4" t="s">
        <v>202</v>
      </c>
      <c r="G34" s="4" t="s">
        <v>113</v>
      </c>
      <c r="H34" s="4" t="s">
        <v>268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9">
        <v>0</v>
      </c>
      <c r="AF34" s="9">
        <v>0</v>
      </c>
      <c r="AG34" s="9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</row>
    <row r="35" spans="1:46" x14ac:dyDescent="0.25">
      <c r="A35" s="4" t="s">
        <v>267</v>
      </c>
      <c r="B35" s="4" t="s">
        <v>207</v>
      </c>
      <c r="C35" s="4" t="s">
        <v>246</v>
      </c>
      <c r="D35" s="4" t="s">
        <v>247</v>
      </c>
      <c r="E35" s="4" t="s">
        <v>248</v>
      </c>
      <c r="F35" s="4" t="s">
        <v>202</v>
      </c>
      <c r="G35" s="4" t="s">
        <v>116</v>
      </c>
      <c r="H35" s="4" t="s">
        <v>268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</row>
    <row r="36" spans="1:46" x14ac:dyDescent="0.25">
      <c r="A36" s="4" t="s">
        <v>267</v>
      </c>
      <c r="B36" s="4" t="s">
        <v>207</v>
      </c>
      <c r="C36" s="4" t="s">
        <v>246</v>
      </c>
      <c r="D36" s="4" t="s">
        <v>247</v>
      </c>
      <c r="E36" s="4" t="s">
        <v>248</v>
      </c>
      <c r="F36" s="4" t="s">
        <v>202</v>
      </c>
      <c r="G36" s="4" t="s">
        <v>103</v>
      </c>
      <c r="H36" s="4" t="s">
        <v>268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</row>
    <row r="37" spans="1:46" x14ac:dyDescent="0.25">
      <c r="A37" s="4" t="s">
        <v>267</v>
      </c>
      <c r="B37" s="4" t="s">
        <v>207</v>
      </c>
      <c r="C37" s="4" t="s">
        <v>246</v>
      </c>
      <c r="D37" s="4" t="s">
        <v>254</v>
      </c>
      <c r="E37" s="4" t="s">
        <v>255</v>
      </c>
      <c r="F37" s="4" t="s">
        <v>203</v>
      </c>
      <c r="G37" s="4" t="s">
        <v>138</v>
      </c>
      <c r="H37" s="4" t="s">
        <v>268</v>
      </c>
      <c r="I37" s="8">
        <v>0</v>
      </c>
      <c r="J37" s="8">
        <v>0</v>
      </c>
      <c r="K37" s="8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</row>
    <row r="38" spans="1:46" x14ac:dyDescent="0.25">
      <c r="A38" s="4" t="s">
        <v>267</v>
      </c>
      <c r="B38" s="4" t="s">
        <v>207</v>
      </c>
      <c r="C38" s="4" t="s">
        <v>246</v>
      </c>
      <c r="D38" s="4" t="s">
        <v>254</v>
      </c>
      <c r="E38" s="4" t="s">
        <v>255</v>
      </c>
      <c r="F38" s="4" t="s">
        <v>195</v>
      </c>
      <c r="G38" s="4" t="s">
        <v>93</v>
      </c>
      <c r="H38" s="4" t="s">
        <v>268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</row>
    <row r="39" spans="1:46" x14ac:dyDescent="0.25">
      <c r="A39" s="4" t="s">
        <v>267</v>
      </c>
      <c r="B39" s="4" t="s">
        <v>207</v>
      </c>
      <c r="C39" s="4" t="s">
        <v>246</v>
      </c>
      <c r="D39" s="4" t="s">
        <v>254</v>
      </c>
      <c r="E39" s="4" t="s">
        <v>255</v>
      </c>
      <c r="F39" s="4" t="s">
        <v>195</v>
      </c>
      <c r="G39" s="4" t="s">
        <v>138</v>
      </c>
      <c r="H39" s="4" t="s">
        <v>268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</row>
    <row r="40" spans="1:46" x14ac:dyDescent="0.25">
      <c r="A40" s="4" t="s">
        <v>267</v>
      </c>
      <c r="B40" s="4" t="s">
        <v>207</v>
      </c>
      <c r="C40" s="4" t="s">
        <v>246</v>
      </c>
      <c r="D40" s="4" t="s">
        <v>254</v>
      </c>
      <c r="E40" s="4" t="s">
        <v>255</v>
      </c>
      <c r="F40" s="4" t="s">
        <v>195</v>
      </c>
      <c r="G40" s="4" t="s">
        <v>140</v>
      </c>
      <c r="H40" s="4" t="s">
        <v>268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</row>
    <row r="41" spans="1:46" x14ac:dyDescent="0.25">
      <c r="A41" s="4" t="s">
        <v>267</v>
      </c>
      <c r="B41" s="4" t="s">
        <v>207</v>
      </c>
      <c r="C41" s="4" t="s">
        <v>246</v>
      </c>
      <c r="D41" s="4" t="s">
        <v>254</v>
      </c>
      <c r="E41" s="4" t="s">
        <v>256</v>
      </c>
      <c r="F41" s="4" t="s">
        <v>195</v>
      </c>
      <c r="G41" s="4" t="s">
        <v>93</v>
      </c>
      <c r="H41" s="4" t="s">
        <v>268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</row>
    <row r="42" spans="1:46" x14ac:dyDescent="0.25">
      <c r="A42" s="4" t="s">
        <v>267</v>
      </c>
      <c r="B42" s="4" t="s">
        <v>207</v>
      </c>
      <c r="C42" s="4" t="s">
        <v>246</v>
      </c>
      <c r="D42" s="4" t="s">
        <v>254</v>
      </c>
      <c r="E42" s="4" t="s">
        <v>257</v>
      </c>
      <c r="F42" s="4" t="s">
        <v>203</v>
      </c>
      <c r="G42" s="4" t="s">
        <v>93</v>
      </c>
      <c r="H42" s="4" t="s">
        <v>268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</row>
    <row r="43" spans="1:46" x14ac:dyDescent="0.25">
      <c r="A43" s="4" t="s">
        <v>267</v>
      </c>
      <c r="B43" s="4" t="s">
        <v>207</v>
      </c>
      <c r="C43" s="4" t="s">
        <v>246</v>
      </c>
      <c r="D43" s="4" t="s">
        <v>254</v>
      </c>
      <c r="E43" s="4" t="s">
        <v>258</v>
      </c>
      <c r="F43" s="4" t="s">
        <v>203</v>
      </c>
      <c r="G43" s="4" t="s">
        <v>93</v>
      </c>
      <c r="H43" s="4" t="s">
        <v>268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</row>
    <row r="44" spans="1:46" x14ac:dyDescent="0.25">
      <c r="A44" s="4" t="s">
        <v>267</v>
      </c>
      <c r="B44" s="4" t="s">
        <v>207</v>
      </c>
      <c r="C44" s="4" t="s">
        <v>246</v>
      </c>
      <c r="D44" s="4" t="s">
        <v>254</v>
      </c>
      <c r="E44" s="4" t="s">
        <v>258</v>
      </c>
      <c r="F44" s="4" t="s">
        <v>195</v>
      </c>
      <c r="G44" s="4" t="s">
        <v>93</v>
      </c>
      <c r="H44" s="4" t="s">
        <v>268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</row>
    <row r="45" spans="1:46" x14ac:dyDescent="0.25">
      <c r="A45" s="4" t="s">
        <v>267</v>
      </c>
      <c r="B45" s="4" t="s">
        <v>207</v>
      </c>
      <c r="C45" s="4" t="s">
        <v>246</v>
      </c>
      <c r="D45" s="4" t="s">
        <v>259</v>
      </c>
      <c r="E45" s="4" t="s">
        <v>248</v>
      </c>
      <c r="F45" s="4" t="s">
        <v>203</v>
      </c>
      <c r="G45" s="4" t="s">
        <v>93</v>
      </c>
      <c r="H45" s="4" t="s">
        <v>268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</row>
    <row r="46" spans="1:46" x14ac:dyDescent="0.25">
      <c r="A46" s="4" t="s">
        <v>267</v>
      </c>
      <c r="B46" s="4" t="s">
        <v>207</v>
      </c>
      <c r="C46" s="4" t="s">
        <v>246</v>
      </c>
      <c r="D46" s="4" t="s">
        <v>259</v>
      </c>
      <c r="E46" s="4" t="s">
        <v>248</v>
      </c>
      <c r="F46" s="4" t="s">
        <v>201</v>
      </c>
      <c r="G46" s="4" t="s">
        <v>93</v>
      </c>
      <c r="H46" s="4" t="s">
        <v>268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</row>
    <row r="47" spans="1:46" x14ac:dyDescent="0.25">
      <c r="A47" s="4" t="s">
        <v>267</v>
      </c>
      <c r="B47" s="4" t="s">
        <v>207</v>
      </c>
      <c r="C47" s="4" t="s">
        <v>246</v>
      </c>
      <c r="D47" s="4" t="s">
        <v>259</v>
      </c>
      <c r="E47" s="4" t="s">
        <v>248</v>
      </c>
      <c r="F47" s="4" t="s">
        <v>195</v>
      </c>
      <c r="G47" s="4" t="s">
        <v>93</v>
      </c>
      <c r="H47" s="4" t="s">
        <v>268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</row>
    <row r="48" spans="1:46" x14ac:dyDescent="0.25">
      <c r="A48" s="4" t="s">
        <v>267</v>
      </c>
      <c r="B48" s="4" t="s">
        <v>207</v>
      </c>
      <c r="C48" s="4" t="s">
        <v>246</v>
      </c>
      <c r="D48" s="4" t="s">
        <v>259</v>
      </c>
      <c r="E48" s="4" t="s">
        <v>248</v>
      </c>
      <c r="F48" s="4" t="s">
        <v>195</v>
      </c>
      <c r="G48" s="4" t="s">
        <v>260</v>
      </c>
      <c r="H48" s="4" t="s">
        <v>268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</row>
    <row r="49" spans="1:46" x14ac:dyDescent="0.25">
      <c r="A49" s="4" t="s">
        <v>267</v>
      </c>
      <c r="B49" s="4" t="s">
        <v>207</v>
      </c>
      <c r="C49" s="4" t="s">
        <v>246</v>
      </c>
      <c r="D49" s="4" t="s">
        <v>259</v>
      </c>
      <c r="E49" s="4" t="s">
        <v>261</v>
      </c>
      <c r="F49" s="4" t="s">
        <v>195</v>
      </c>
      <c r="G49" s="4" t="s">
        <v>93</v>
      </c>
      <c r="H49" s="4" t="s">
        <v>268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</row>
    <row r="50" spans="1:46" x14ac:dyDescent="0.25">
      <c r="A50" s="4" t="s">
        <v>267</v>
      </c>
      <c r="B50" s="4" t="s">
        <v>207</v>
      </c>
      <c r="C50" s="4" t="s">
        <v>246</v>
      </c>
      <c r="D50" s="4" t="s">
        <v>259</v>
      </c>
      <c r="E50" s="4" t="s">
        <v>261</v>
      </c>
      <c r="F50" s="4" t="s">
        <v>195</v>
      </c>
      <c r="G50" s="4" t="s">
        <v>262</v>
      </c>
      <c r="H50" s="4" t="s">
        <v>268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</row>
    <row r="51" spans="1:46" x14ac:dyDescent="0.25">
      <c r="A51" s="4" t="s">
        <v>267</v>
      </c>
      <c r="B51" s="4" t="s">
        <v>207</v>
      </c>
      <c r="C51" s="4" t="s">
        <v>246</v>
      </c>
      <c r="D51" s="4" t="s">
        <v>263</v>
      </c>
      <c r="E51" s="4" t="s">
        <v>248</v>
      </c>
      <c r="F51" s="4" t="s">
        <v>201</v>
      </c>
      <c r="G51" s="4" t="s">
        <v>76</v>
      </c>
      <c r="H51" s="4" t="s">
        <v>268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</row>
    <row r="52" spans="1:46" x14ac:dyDescent="0.25">
      <c r="A52" s="4" t="s">
        <v>267</v>
      </c>
      <c r="B52" s="4" t="s">
        <v>207</v>
      </c>
      <c r="C52" s="4" t="s">
        <v>246</v>
      </c>
      <c r="D52" s="4" t="s">
        <v>263</v>
      </c>
      <c r="E52" s="4" t="s">
        <v>248</v>
      </c>
      <c r="F52" s="4" t="s">
        <v>201</v>
      </c>
      <c r="G52" s="4" t="s">
        <v>85</v>
      </c>
      <c r="H52" s="4" t="s">
        <v>268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</row>
    <row r="53" spans="1:46" x14ac:dyDescent="0.25">
      <c r="A53" s="4" t="s">
        <v>267</v>
      </c>
      <c r="B53" s="4" t="s">
        <v>207</v>
      </c>
      <c r="C53" s="4" t="s">
        <v>246</v>
      </c>
      <c r="D53" s="4" t="s">
        <v>263</v>
      </c>
      <c r="E53" s="4" t="s">
        <v>248</v>
      </c>
      <c r="F53" s="4" t="s">
        <v>195</v>
      </c>
      <c r="G53" s="4" t="s">
        <v>264</v>
      </c>
      <c r="H53" s="4" t="s">
        <v>268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</row>
    <row r="54" spans="1:46" x14ac:dyDescent="0.25">
      <c r="A54" s="4" t="s">
        <v>267</v>
      </c>
      <c r="B54" s="4" t="s">
        <v>207</v>
      </c>
      <c r="C54" s="4" t="s">
        <v>246</v>
      </c>
      <c r="D54" s="4" t="s">
        <v>263</v>
      </c>
      <c r="E54" s="4" t="s">
        <v>248</v>
      </c>
      <c r="F54" s="4" t="s">
        <v>195</v>
      </c>
      <c r="G54" s="4" t="s">
        <v>71</v>
      </c>
      <c r="H54" s="4" t="s">
        <v>268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</row>
    <row r="55" spans="1:46" x14ac:dyDescent="0.25">
      <c r="A55" s="4" t="s">
        <v>267</v>
      </c>
      <c r="B55" s="4" t="s">
        <v>207</v>
      </c>
      <c r="C55" s="4" t="s">
        <v>246</v>
      </c>
      <c r="D55" s="4" t="s">
        <v>263</v>
      </c>
      <c r="E55" s="4" t="s">
        <v>248</v>
      </c>
      <c r="F55" s="4" t="s">
        <v>195</v>
      </c>
      <c r="G55" s="4" t="s">
        <v>76</v>
      </c>
      <c r="H55" s="4" t="s">
        <v>268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</row>
    <row r="56" spans="1:46" x14ac:dyDescent="0.25">
      <c r="A56" s="4" t="s">
        <v>267</v>
      </c>
      <c r="B56" s="4" t="s">
        <v>207</v>
      </c>
      <c r="C56" s="4" t="s">
        <v>246</v>
      </c>
      <c r="D56" s="4" t="s">
        <v>263</v>
      </c>
      <c r="E56" s="4" t="s">
        <v>248</v>
      </c>
      <c r="F56" s="4" t="s">
        <v>195</v>
      </c>
      <c r="G56" s="4" t="s">
        <v>85</v>
      </c>
      <c r="H56" s="4" t="s">
        <v>268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</row>
    <row r="57" spans="1:46" x14ac:dyDescent="0.25">
      <c r="A57" s="4" t="s">
        <v>267</v>
      </c>
      <c r="B57" s="4" t="s">
        <v>207</v>
      </c>
      <c r="C57" s="4" t="s">
        <v>246</v>
      </c>
      <c r="D57" s="4" t="s">
        <v>265</v>
      </c>
      <c r="E57" s="4" t="s">
        <v>266</v>
      </c>
      <c r="F57" s="4" t="s">
        <v>195</v>
      </c>
      <c r="G57" s="4" t="s">
        <v>93</v>
      </c>
      <c r="H57" s="4" t="s">
        <v>268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</row>
    <row r="58" spans="1:46" x14ac:dyDescent="0.25">
      <c r="A58" s="4" t="s">
        <v>197</v>
      </c>
      <c r="B58" s="4" t="s">
        <v>207</v>
      </c>
      <c r="C58" s="4" t="s">
        <v>246</v>
      </c>
      <c r="D58" s="4" t="s">
        <v>247</v>
      </c>
      <c r="E58" s="4" t="s">
        <v>248</v>
      </c>
      <c r="F58" s="4" t="s">
        <v>201</v>
      </c>
      <c r="G58" s="4" t="s">
        <v>93</v>
      </c>
      <c r="H58" s="4" t="s">
        <v>268</v>
      </c>
      <c r="I58" s="5">
        <v>43.625999999999998</v>
      </c>
      <c r="J58" s="5">
        <v>43.625999999999998</v>
      </c>
      <c r="K58" s="5">
        <v>41.125999999999998</v>
      </c>
      <c r="L58" s="5">
        <v>164.679</v>
      </c>
      <c r="M58" s="5">
        <v>155.012</v>
      </c>
      <c r="N58" s="5">
        <v>223.304</v>
      </c>
      <c r="O58" s="5">
        <v>403.00299999999999</v>
      </c>
      <c r="P58" s="5">
        <v>238.07</v>
      </c>
      <c r="Q58" s="5">
        <v>94.070999999999998</v>
      </c>
      <c r="R58" s="5">
        <v>94.09</v>
      </c>
      <c r="S58" s="5">
        <v>181.24799999999999</v>
      </c>
      <c r="T58" s="5">
        <v>182.71899999999999</v>
      </c>
      <c r="U58" s="5">
        <v>182.202</v>
      </c>
      <c r="V58" s="5">
        <v>180.327</v>
      </c>
      <c r="W58" s="5">
        <v>211.39400000000001</v>
      </c>
      <c r="X58" s="5">
        <v>116.572</v>
      </c>
      <c r="Y58" s="5">
        <v>414.16</v>
      </c>
      <c r="Z58" s="5">
        <v>407.03899999999999</v>
      </c>
      <c r="AA58" s="5">
        <v>384.76400000000001</v>
      </c>
      <c r="AB58" s="5">
        <v>869.303</v>
      </c>
      <c r="AC58" s="5">
        <v>941.55</v>
      </c>
      <c r="AD58" s="5">
        <v>666.61099999999999</v>
      </c>
      <c r="AE58" s="5">
        <v>810.20299999999997</v>
      </c>
      <c r="AF58" s="5">
        <v>744.85699999999997</v>
      </c>
      <c r="AG58" s="5">
        <v>607.41300000000001</v>
      </c>
      <c r="AH58" s="5">
        <v>437.17200000000003</v>
      </c>
      <c r="AI58" s="5">
        <v>312.911</v>
      </c>
      <c r="AJ58" s="5">
        <v>356.85199999999998</v>
      </c>
      <c r="AK58" s="5">
        <v>534.03899999999999</v>
      </c>
      <c r="AL58" s="5">
        <v>171.65899999999999</v>
      </c>
      <c r="AM58" s="5">
        <v>244.465</v>
      </c>
      <c r="AN58" s="5">
        <v>264.024</v>
      </c>
      <c r="AO58" s="5">
        <v>846.37199999999996</v>
      </c>
      <c r="AP58" s="5">
        <v>1042.213</v>
      </c>
      <c r="AQ58" s="5">
        <v>1035.144</v>
      </c>
      <c r="AR58" s="5">
        <v>1136.7049999999999</v>
      </c>
      <c r="AS58" s="5">
        <v>964.90300000000002</v>
      </c>
      <c r="AT58" s="5">
        <v>935.57399999999996</v>
      </c>
    </row>
    <row r="59" spans="1:46" x14ac:dyDescent="0.25">
      <c r="A59" s="4" t="s">
        <v>197</v>
      </c>
      <c r="B59" s="4" t="s">
        <v>207</v>
      </c>
      <c r="C59" s="4" t="s">
        <v>246</v>
      </c>
      <c r="D59" s="4" t="s">
        <v>247</v>
      </c>
      <c r="E59" s="4" t="s">
        <v>248</v>
      </c>
      <c r="F59" s="4" t="s">
        <v>201</v>
      </c>
      <c r="G59" s="4" t="s">
        <v>253</v>
      </c>
      <c r="H59" s="4" t="s">
        <v>268</v>
      </c>
      <c r="I59" s="5">
        <v>15.333</v>
      </c>
      <c r="J59" s="5">
        <v>15.333</v>
      </c>
      <c r="K59" s="5">
        <v>15.333</v>
      </c>
      <c r="L59" s="5">
        <v>19.332999999999998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</row>
    <row r="60" spans="1:46" x14ac:dyDescent="0.25">
      <c r="A60" s="4" t="s">
        <v>197</v>
      </c>
      <c r="B60" s="4" t="s">
        <v>207</v>
      </c>
      <c r="C60" s="4" t="s">
        <v>246</v>
      </c>
      <c r="D60" s="4" t="s">
        <v>247</v>
      </c>
      <c r="E60" s="4" t="s">
        <v>248</v>
      </c>
      <c r="F60" s="4" t="s">
        <v>202</v>
      </c>
      <c r="G60" s="4" t="s">
        <v>93</v>
      </c>
      <c r="H60" s="4" t="s">
        <v>268</v>
      </c>
      <c r="I60" s="5">
        <v>2595.6930000000002</v>
      </c>
      <c r="J60" s="5">
        <v>2408.3760000000002</v>
      </c>
      <c r="K60" s="5">
        <v>2893.5590000000002</v>
      </c>
      <c r="L60" s="5">
        <v>2974.1680000000001</v>
      </c>
      <c r="M60" s="5">
        <v>3170.8330000000001</v>
      </c>
      <c r="N60" s="5">
        <v>2634.7750000000001</v>
      </c>
      <c r="O60" s="5">
        <v>2272.2910000000002</v>
      </c>
      <c r="P60" s="5">
        <v>1469.4090000000001</v>
      </c>
      <c r="Q60" s="5">
        <v>1311.6569999999999</v>
      </c>
      <c r="R60" s="5">
        <v>1463.3009999999999</v>
      </c>
      <c r="S60" s="5">
        <v>1466.7180000000001</v>
      </c>
      <c r="T60" s="5">
        <v>1751.3040000000001</v>
      </c>
      <c r="U60" s="5">
        <v>1766.058</v>
      </c>
      <c r="V60" s="5">
        <v>2086.866</v>
      </c>
      <c r="W60" s="5">
        <v>1758.049</v>
      </c>
      <c r="X60" s="5">
        <v>2427.232</v>
      </c>
      <c r="Y60" s="5">
        <v>2384.3150000000001</v>
      </c>
      <c r="Z60" s="5">
        <v>2419.5120000000002</v>
      </c>
      <c r="AA60" s="5">
        <v>2664.7370000000001</v>
      </c>
      <c r="AB60" s="5">
        <v>2283.471</v>
      </c>
      <c r="AC60" s="5">
        <v>2156.23</v>
      </c>
      <c r="AD60" s="5">
        <v>1691.3810000000001</v>
      </c>
      <c r="AE60" s="5">
        <v>1950.095</v>
      </c>
      <c r="AF60" s="5">
        <v>1794.54</v>
      </c>
      <c r="AG60" s="5">
        <v>1663.08</v>
      </c>
      <c r="AH60" s="5">
        <v>1581.39</v>
      </c>
      <c r="AI60" s="5">
        <v>1684.0250000000001</v>
      </c>
      <c r="AJ60" s="5">
        <v>1892.826</v>
      </c>
      <c r="AK60" s="5">
        <v>1891.3810000000001</v>
      </c>
      <c r="AL60" s="5">
        <v>1792.1869999999999</v>
      </c>
      <c r="AM60" s="5">
        <v>1885.1289999999999</v>
      </c>
      <c r="AN60" s="5">
        <v>1261.8150000000001</v>
      </c>
      <c r="AO60" s="5">
        <v>1428.636</v>
      </c>
      <c r="AP60" s="5">
        <v>743.66499999999996</v>
      </c>
      <c r="AQ60" s="5">
        <v>617.798</v>
      </c>
      <c r="AR60" s="5">
        <v>585.13599999999997</v>
      </c>
      <c r="AS60" s="5">
        <v>948.43700000000001</v>
      </c>
      <c r="AT60" s="5">
        <v>1738.6210000000001</v>
      </c>
    </row>
    <row r="61" spans="1:46" x14ac:dyDescent="0.25">
      <c r="A61" s="4" t="s">
        <v>197</v>
      </c>
      <c r="B61" s="4" t="s">
        <v>207</v>
      </c>
      <c r="C61" s="4" t="s">
        <v>246</v>
      </c>
      <c r="D61" s="4" t="s">
        <v>247</v>
      </c>
      <c r="E61" s="4" t="s">
        <v>248</v>
      </c>
      <c r="F61" s="4" t="s">
        <v>202</v>
      </c>
      <c r="G61" s="4" t="s">
        <v>113</v>
      </c>
      <c r="H61" s="4" t="s">
        <v>268</v>
      </c>
      <c r="I61" s="5">
        <v>126.744</v>
      </c>
      <c r="J61" s="5">
        <v>126.744</v>
      </c>
      <c r="K61" s="5">
        <v>126.744</v>
      </c>
      <c r="L61" s="5">
        <v>231.446</v>
      </c>
      <c r="M61" s="5">
        <v>231.446</v>
      </c>
      <c r="N61" s="5">
        <v>231.446</v>
      </c>
      <c r="O61" s="5">
        <v>231.446</v>
      </c>
      <c r="P61" s="5">
        <v>39.311999999999998</v>
      </c>
      <c r="Q61" s="8">
        <v>0</v>
      </c>
      <c r="R61" s="8">
        <v>0</v>
      </c>
      <c r="S61" s="8">
        <v>0</v>
      </c>
      <c r="T61" s="9">
        <v>0</v>
      </c>
      <c r="U61" s="9">
        <v>0</v>
      </c>
      <c r="V61" s="9">
        <v>0</v>
      </c>
      <c r="W61" s="9">
        <v>0</v>
      </c>
      <c r="X61" s="5">
        <v>20.123999999999999</v>
      </c>
      <c r="Y61" s="5">
        <v>20.123999999999999</v>
      </c>
      <c r="Z61" s="5">
        <v>20.123999999999999</v>
      </c>
      <c r="AA61" s="8">
        <v>0</v>
      </c>
      <c r="AB61" s="8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5">
        <v>11</v>
      </c>
      <c r="AK61" s="5">
        <v>11</v>
      </c>
      <c r="AL61" s="5">
        <v>9.6</v>
      </c>
      <c r="AM61" s="5">
        <v>9.6</v>
      </c>
      <c r="AN61" s="5">
        <v>9.6</v>
      </c>
      <c r="AO61" s="5">
        <v>9.6</v>
      </c>
      <c r="AP61" s="5">
        <v>9.6</v>
      </c>
      <c r="AQ61" s="5">
        <v>9.6</v>
      </c>
      <c r="AR61" s="8">
        <v>0</v>
      </c>
      <c r="AS61" s="8">
        <v>0</v>
      </c>
      <c r="AT61" s="8">
        <v>0</v>
      </c>
    </row>
    <row r="62" spans="1:46" x14ac:dyDescent="0.25">
      <c r="A62" s="4" t="s">
        <v>197</v>
      </c>
      <c r="B62" s="4" t="s">
        <v>207</v>
      </c>
      <c r="C62" s="4" t="s">
        <v>246</v>
      </c>
      <c r="D62" s="4" t="s">
        <v>247</v>
      </c>
      <c r="E62" s="4" t="s">
        <v>248</v>
      </c>
      <c r="F62" s="4" t="s">
        <v>202</v>
      </c>
      <c r="G62" s="4" t="s">
        <v>116</v>
      </c>
      <c r="H62" s="4" t="s">
        <v>268</v>
      </c>
      <c r="I62" s="5">
        <v>6.8259999999999996</v>
      </c>
      <c r="J62" s="5">
        <v>6.8259999999999996</v>
      </c>
      <c r="K62" s="5">
        <v>6.8259999999999996</v>
      </c>
      <c r="L62" s="5">
        <v>5.9729999999999999</v>
      </c>
      <c r="M62" s="5">
        <v>187.87700000000001</v>
      </c>
      <c r="N62" s="5">
        <v>181.904</v>
      </c>
      <c r="O62" s="5">
        <v>214.922</v>
      </c>
      <c r="P62" s="5">
        <v>218.048</v>
      </c>
      <c r="Q62" s="5">
        <v>305.51499999999999</v>
      </c>
      <c r="R62" s="5">
        <v>463.49299999999999</v>
      </c>
      <c r="S62" s="5">
        <v>426.041</v>
      </c>
      <c r="T62" s="5">
        <v>510.34199999999998</v>
      </c>
      <c r="U62" s="5">
        <v>510.34199999999998</v>
      </c>
      <c r="V62" s="5">
        <v>700.53300000000002</v>
      </c>
      <c r="W62" s="5">
        <v>759.75599999999997</v>
      </c>
      <c r="X62" s="5">
        <v>704.45600000000002</v>
      </c>
      <c r="Y62" s="5">
        <v>833.13599999999997</v>
      </c>
      <c r="Z62" s="5">
        <v>769.51099999999997</v>
      </c>
      <c r="AA62" s="5">
        <v>487.25900000000001</v>
      </c>
      <c r="AB62" s="5">
        <v>436.1</v>
      </c>
      <c r="AC62" s="5">
        <v>496.161</v>
      </c>
      <c r="AD62" s="5">
        <v>293.93099999999998</v>
      </c>
      <c r="AE62" s="5">
        <v>308.601</v>
      </c>
      <c r="AF62" s="5">
        <v>308.85599999999999</v>
      </c>
      <c r="AG62" s="5">
        <v>278.49599999999998</v>
      </c>
      <c r="AH62" s="5">
        <v>201.27500000000001</v>
      </c>
      <c r="AI62" s="5">
        <v>164.876</v>
      </c>
      <c r="AJ62" s="5">
        <v>273.988</v>
      </c>
      <c r="AK62" s="5">
        <v>151.06</v>
      </c>
      <c r="AL62" s="5">
        <v>147.43199999999999</v>
      </c>
      <c r="AM62" s="5">
        <v>91.468999999999994</v>
      </c>
      <c r="AN62" s="5">
        <v>90.361000000000004</v>
      </c>
      <c r="AO62" s="5">
        <v>85.156000000000006</v>
      </c>
      <c r="AP62" s="5">
        <v>43.738999999999997</v>
      </c>
      <c r="AQ62" s="5">
        <v>43.738999999999997</v>
      </c>
      <c r="AR62" s="5">
        <v>46.454999999999998</v>
      </c>
      <c r="AS62" s="5">
        <v>46.454999999999998</v>
      </c>
      <c r="AT62" s="5">
        <v>46.454999999999998</v>
      </c>
    </row>
    <row r="63" spans="1:46" x14ac:dyDescent="0.25">
      <c r="A63" s="4" t="s">
        <v>197</v>
      </c>
      <c r="B63" s="4" t="s">
        <v>207</v>
      </c>
      <c r="C63" s="4" t="s">
        <v>246</v>
      </c>
      <c r="D63" s="4" t="s">
        <v>247</v>
      </c>
      <c r="E63" s="4" t="s">
        <v>248</v>
      </c>
      <c r="F63" s="4" t="s">
        <v>202</v>
      </c>
      <c r="G63" s="4" t="s">
        <v>103</v>
      </c>
      <c r="H63" s="4" t="s">
        <v>268</v>
      </c>
      <c r="I63" s="5">
        <v>5302.741</v>
      </c>
      <c r="J63" s="5">
        <v>5244.3670000000002</v>
      </c>
      <c r="K63" s="5">
        <v>5582.9139999999998</v>
      </c>
      <c r="L63" s="5">
        <v>6128.8010000000004</v>
      </c>
      <c r="M63" s="5">
        <v>6434.1210000000001</v>
      </c>
      <c r="N63" s="5">
        <v>5717.7830000000004</v>
      </c>
      <c r="O63" s="5">
        <v>5344.4009999999998</v>
      </c>
      <c r="P63" s="5">
        <v>4177.7479999999996</v>
      </c>
      <c r="Q63" s="5">
        <v>5339.6629999999996</v>
      </c>
      <c r="R63" s="5">
        <v>5573.0029999999997</v>
      </c>
      <c r="S63" s="5">
        <v>5331.5069999999996</v>
      </c>
      <c r="T63" s="5">
        <v>5854.8109999999997</v>
      </c>
      <c r="U63" s="5">
        <v>6139.0990000000002</v>
      </c>
      <c r="V63" s="5">
        <v>6084.0479999999998</v>
      </c>
      <c r="W63" s="5">
        <v>5101.1329999999998</v>
      </c>
      <c r="X63" s="5">
        <v>4921.7650000000003</v>
      </c>
      <c r="Y63" s="5">
        <v>4142.8860000000004</v>
      </c>
      <c r="Z63" s="5">
        <v>7871.1459999999997</v>
      </c>
      <c r="AA63" s="5">
        <v>7518.8370000000004</v>
      </c>
      <c r="AB63" s="5">
        <v>7042.1040000000003</v>
      </c>
      <c r="AC63" s="5">
        <v>7013.5919999999996</v>
      </c>
      <c r="AD63" s="5">
        <v>6704.3940000000002</v>
      </c>
      <c r="AE63" s="5">
        <v>7390.1719999999996</v>
      </c>
      <c r="AF63" s="5">
        <v>6382.4530000000004</v>
      </c>
      <c r="AG63" s="5">
        <v>6329.393</v>
      </c>
      <c r="AH63" s="5">
        <v>6017.3950000000004</v>
      </c>
      <c r="AI63" s="5">
        <v>5762.0249999999996</v>
      </c>
      <c r="AJ63" s="5">
        <v>5232.3119999999999</v>
      </c>
      <c r="AK63" s="5">
        <v>5920.79</v>
      </c>
      <c r="AL63" s="5">
        <v>4615.4840000000004</v>
      </c>
      <c r="AM63" s="5">
        <v>4705.576</v>
      </c>
      <c r="AN63" s="5">
        <v>4581.5</v>
      </c>
      <c r="AO63" s="5">
        <v>3797.6819999999998</v>
      </c>
      <c r="AP63" s="5">
        <v>3271.9920000000002</v>
      </c>
      <c r="AQ63" s="5">
        <v>3688.19</v>
      </c>
      <c r="AR63" s="5">
        <v>3144.6550000000002</v>
      </c>
      <c r="AS63" s="5">
        <v>3121.0830000000001</v>
      </c>
      <c r="AT63" s="5">
        <v>3910.89</v>
      </c>
    </row>
    <row r="64" spans="1:46" x14ac:dyDescent="0.25">
      <c r="A64" s="4" t="s">
        <v>197</v>
      </c>
      <c r="B64" s="4" t="s">
        <v>207</v>
      </c>
      <c r="C64" s="4" t="s">
        <v>246</v>
      </c>
      <c r="D64" s="4" t="s">
        <v>254</v>
      </c>
      <c r="E64" s="4" t="s">
        <v>255</v>
      </c>
      <c r="F64" s="4" t="s">
        <v>203</v>
      </c>
      <c r="G64" s="4" t="s">
        <v>138</v>
      </c>
      <c r="H64" s="4" t="s">
        <v>268</v>
      </c>
      <c r="I64" s="5">
        <v>31.686</v>
      </c>
      <c r="J64" s="5">
        <v>31.686</v>
      </c>
      <c r="K64" s="8">
        <v>0</v>
      </c>
      <c r="L64" s="5">
        <v>57.860999999999997</v>
      </c>
      <c r="M64" s="5">
        <v>57.860999999999997</v>
      </c>
      <c r="N64" s="5">
        <v>57.860999999999997</v>
      </c>
      <c r="O64" s="5">
        <v>57.860999999999997</v>
      </c>
      <c r="P64" s="5">
        <v>19.655999999999999</v>
      </c>
      <c r="Q64" s="8">
        <v>0</v>
      </c>
      <c r="R64" s="8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</row>
    <row r="65" spans="1:46" x14ac:dyDescent="0.25">
      <c r="A65" s="4" t="s">
        <v>197</v>
      </c>
      <c r="B65" s="4" t="s">
        <v>207</v>
      </c>
      <c r="C65" s="4" t="s">
        <v>246</v>
      </c>
      <c r="D65" s="4" t="s">
        <v>254</v>
      </c>
      <c r="E65" s="4" t="s">
        <v>255</v>
      </c>
      <c r="F65" s="4" t="s">
        <v>195</v>
      </c>
      <c r="G65" s="4" t="s">
        <v>93</v>
      </c>
      <c r="H65" s="4" t="s">
        <v>268</v>
      </c>
      <c r="I65" s="5">
        <v>1649.6890000000001</v>
      </c>
      <c r="J65" s="5">
        <v>1564.191</v>
      </c>
      <c r="K65" s="5">
        <v>1257.6389999999999</v>
      </c>
      <c r="L65" s="5">
        <v>1224.2280000000001</v>
      </c>
      <c r="M65" s="5">
        <v>1306.395</v>
      </c>
      <c r="N65" s="5">
        <v>819.35699999999997</v>
      </c>
      <c r="O65" s="5">
        <v>679.56100000000004</v>
      </c>
      <c r="P65" s="5">
        <v>1057.4949999999999</v>
      </c>
      <c r="Q65" s="5">
        <v>1190.5550000000001</v>
      </c>
      <c r="R65" s="5">
        <v>892.95699999999999</v>
      </c>
      <c r="S65" s="5">
        <v>461.04</v>
      </c>
      <c r="T65" s="5">
        <v>473.62700000000001</v>
      </c>
      <c r="U65" s="5">
        <v>1078.672</v>
      </c>
      <c r="V65" s="5">
        <v>758.23500000000001</v>
      </c>
      <c r="W65" s="5">
        <v>1376.3989999999999</v>
      </c>
      <c r="X65" s="5">
        <v>1283.913</v>
      </c>
      <c r="Y65" s="5">
        <v>963.17600000000004</v>
      </c>
      <c r="Z65" s="5">
        <v>959.27</v>
      </c>
      <c r="AA65" s="5">
        <v>1474.6410000000001</v>
      </c>
      <c r="AB65" s="5">
        <v>1232.45</v>
      </c>
      <c r="AC65" s="5">
        <v>1302.826</v>
      </c>
      <c r="AD65" s="5">
        <v>1313.1010000000001</v>
      </c>
      <c r="AE65" s="5">
        <v>1604.9290000000001</v>
      </c>
      <c r="AF65" s="5">
        <v>1520.77</v>
      </c>
      <c r="AG65" s="5">
        <v>1407.021</v>
      </c>
      <c r="AH65" s="5">
        <v>1151.3050000000001</v>
      </c>
      <c r="AI65" s="5">
        <v>829.46400000000006</v>
      </c>
      <c r="AJ65" s="5">
        <v>1205.662</v>
      </c>
      <c r="AK65" s="5">
        <v>1008.121</v>
      </c>
      <c r="AL65" s="5">
        <v>705.32</v>
      </c>
      <c r="AM65" s="5">
        <v>520.91200000000003</v>
      </c>
      <c r="AN65" s="5">
        <v>552.63300000000004</v>
      </c>
      <c r="AO65" s="5">
        <v>552.05999999999995</v>
      </c>
      <c r="AP65" s="5">
        <v>381.46100000000001</v>
      </c>
      <c r="AQ65" s="5">
        <v>300.858</v>
      </c>
      <c r="AR65" s="5">
        <v>213.76900000000001</v>
      </c>
      <c r="AS65" s="5">
        <v>326.63</v>
      </c>
      <c r="AT65" s="5">
        <v>328.31099999999998</v>
      </c>
    </row>
    <row r="66" spans="1:46" x14ac:dyDescent="0.25">
      <c r="A66" s="4" t="s">
        <v>197</v>
      </c>
      <c r="B66" s="4" t="s">
        <v>207</v>
      </c>
      <c r="C66" s="4" t="s">
        <v>246</v>
      </c>
      <c r="D66" s="4" t="s">
        <v>254</v>
      </c>
      <c r="E66" s="4" t="s">
        <v>255</v>
      </c>
      <c r="F66" s="4" t="s">
        <v>195</v>
      </c>
      <c r="G66" s="4" t="s">
        <v>138</v>
      </c>
      <c r="H66" s="4" t="s">
        <v>268</v>
      </c>
      <c r="I66" s="5">
        <v>95.058000000000007</v>
      </c>
      <c r="J66" s="5">
        <v>95.058000000000007</v>
      </c>
      <c r="K66" s="8">
        <v>0</v>
      </c>
      <c r="L66" s="5">
        <v>173.584</v>
      </c>
      <c r="M66" s="5">
        <v>115.723</v>
      </c>
      <c r="N66" s="5">
        <v>57.860999999999997</v>
      </c>
      <c r="O66" s="5">
        <v>476.76499999999999</v>
      </c>
      <c r="P66" s="5">
        <v>66.194999999999993</v>
      </c>
      <c r="Q66" s="5">
        <v>40.265999999999998</v>
      </c>
      <c r="R66" s="5">
        <v>136.435</v>
      </c>
      <c r="S66" s="5">
        <v>136.28399999999999</v>
      </c>
      <c r="T66" s="5">
        <v>135.476</v>
      </c>
      <c r="U66" s="5">
        <v>135.476</v>
      </c>
      <c r="V66" s="5">
        <v>39.344999999999999</v>
      </c>
      <c r="W66" s="5">
        <v>143.30799999999999</v>
      </c>
      <c r="X66" s="5">
        <v>21.84</v>
      </c>
      <c r="Y66" s="5">
        <v>22.445</v>
      </c>
      <c r="Z66" s="5">
        <v>22.445</v>
      </c>
      <c r="AA66" s="5">
        <v>42.569000000000003</v>
      </c>
      <c r="AB66" s="5">
        <v>42.884</v>
      </c>
      <c r="AC66" s="5">
        <v>176.93600000000001</v>
      </c>
      <c r="AD66" s="5">
        <v>176.93600000000001</v>
      </c>
      <c r="AE66" s="5">
        <v>176.93600000000001</v>
      </c>
      <c r="AF66" s="5">
        <v>181.566</v>
      </c>
      <c r="AG66" s="5">
        <v>182.899</v>
      </c>
      <c r="AH66" s="5">
        <v>151.89099999999999</v>
      </c>
      <c r="AI66" s="5">
        <v>148.239</v>
      </c>
      <c r="AJ66" s="5">
        <v>146.245</v>
      </c>
      <c r="AK66" s="5">
        <v>133.03299999999999</v>
      </c>
      <c r="AL66" s="5">
        <v>139.17599999999999</v>
      </c>
      <c r="AM66" s="5">
        <v>139.17599999999999</v>
      </c>
      <c r="AN66" s="5">
        <v>139.17599999999999</v>
      </c>
      <c r="AO66" s="5">
        <v>26.369</v>
      </c>
      <c r="AP66" s="5">
        <v>26.369</v>
      </c>
      <c r="AQ66" s="5">
        <v>147.892</v>
      </c>
      <c r="AR66" s="5">
        <v>137.929</v>
      </c>
      <c r="AS66" s="8">
        <v>0</v>
      </c>
      <c r="AT66" s="8">
        <v>0</v>
      </c>
    </row>
    <row r="67" spans="1:46" x14ac:dyDescent="0.25">
      <c r="A67" s="4" t="s">
        <v>197</v>
      </c>
      <c r="B67" s="4" t="s">
        <v>207</v>
      </c>
      <c r="C67" s="4" t="s">
        <v>246</v>
      </c>
      <c r="D67" s="4" t="s">
        <v>254</v>
      </c>
      <c r="E67" s="4" t="s">
        <v>255</v>
      </c>
      <c r="F67" s="4" t="s">
        <v>195</v>
      </c>
      <c r="G67" s="4" t="s">
        <v>140</v>
      </c>
      <c r="H67" s="4" t="s">
        <v>268</v>
      </c>
      <c r="I67" s="9">
        <v>0</v>
      </c>
      <c r="J67" s="9">
        <v>0</v>
      </c>
      <c r="K67" s="9">
        <v>0</v>
      </c>
      <c r="L67" s="9">
        <v>0</v>
      </c>
      <c r="M67" s="5">
        <v>48.332999999999998</v>
      </c>
      <c r="N67" s="8">
        <v>0</v>
      </c>
      <c r="O67" s="5">
        <v>323.82400000000001</v>
      </c>
      <c r="P67" s="5">
        <v>390.01900000000001</v>
      </c>
      <c r="Q67" s="5">
        <v>416.22500000000002</v>
      </c>
      <c r="R67" s="5">
        <v>20.18</v>
      </c>
      <c r="S67" s="5">
        <v>20.029</v>
      </c>
      <c r="T67" s="5">
        <v>19.221</v>
      </c>
      <c r="U67" s="5">
        <v>19.221</v>
      </c>
      <c r="V67" s="5">
        <v>19.221</v>
      </c>
      <c r="W67" s="5">
        <v>19.375</v>
      </c>
      <c r="X67" s="5">
        <v>21.84</v>
      </c>
      <c r="Y67" s="5">
        <v>31.347000000000001</v>
      </c>
      <c r="Z67" s="5">
        <v>11.223000000000001</v>
      </c>
      <c r="AA67" s="5">
        <v>51.47</v>
      </c>
      <c r="AB67" s="5">
        <v>78.638000000000005</v>
      </c>
      <c r="AC67" s="5">
        <v>212.691</v>
      </c>
      <c r="AD67" s="5">
        <v>212.691</v>
      </c>
      <c r="AE67" s="5">
        <v>221.69399999999999</v>
      </c>
      <c r="AF67" s="5">
        <v>149.828</v>
      </c>
      <c r="AG67" s="5">
        <v>150.542</v>
      </c>
      <c r="AH67" s="5">
        <v>138.07599999999999</v>
      </c>
      <c r="AI67" s="5">
        <v>134.42400000000001</v>
      </c>
      <c r="AJ67" s="5">
        <v>133.34100000000001</v>
      </c>
      <c r="AK67" s="5">
        <v>227.35499999999999</v>
      </c>
      <c r="AL67" s="5">
        <v>238.79900000000001</v>
      </c>
      <c r="AM67" s="5">
        <v>125.991</v>
      </c>
      <c r="AN67" s="5">
        <v>251.983</v>
      </c>
      <c r="AO67" s="5">
        <v>256.23</v>
      </c>
      <c r="AP67" s="5">
        <v>256.23</v>
      </c>
      <c r="AQ67" s="5">
        <v>256.23</v>
      </c>
      <c r="AR67" s="5">
        <v>275.858</v>
      </c>
      <c r="AS67" s="8">
        <v>0</v>
      </c>
      <c r="AT67" s="5">
        <v>148.63399999999999</v>
      </c>
    </row>
    <row r="68" spans="1:46" x14ac:dyDescent="0.25">
      <c r="A68" s="4" t="s">
        <v>197</v>
      </c>
      <c r="B68" s="4" t="s">
        <v>207</v>
      </c>
      <c r="C68" s="4" t="s">
        <v>246</v>
      </c>
      <c r="D68" s="4" t="s">
        <v>254</v>
      </c>
      <c r="E68" s="4" t="s">
        <v>256</v>
      </c>
      <c r="F68" s="4" t="s">
        <v>195</v>
      </c>
      <c r="G68" s="4" t="s">
        <v>93</v>
      </c>
      <c r="H68" s="4" t="s">
        <v>268</v>
      </c>
      <c r="I68" s="5">
        <v>187.61600000000001</v>
      </c>
      <c r="J68" s="5">
        <v>173.965</v>
      </c>
      <c r="K68" s="5">
        <v>72.081000000000003</v>
      </c>
      <c r="L68" s="5">
        <v>79.366</v>
      </c>
      <c r="M68" s="5">
        <v>75.382000000000005</v>
      </c>
      <c r="N68" s="5">
        <v>68.042000000000002</v>
      </c>
      <c r="O68" s="5">
        <v>48.344000000000001</v>
      </c>
      <c r="P68" s="5">
        <v>39.07</v>
      </c>
      <c r="Q68" s="5">
        <v>36.167999999999999</v>
      </c>
      <c r="R68" s="5">
        <v>101.102</v>
      </c>
      <c r="S68" s="5">
        <v>102.133</v>
      </c>
      <c r="T68" s="5">
        <v>74.53</v>
      </c>
      <c r="U68" s="5">
        <v>276.40300000000002</v>
      </c>
      <c r="V68" s="5">
        <v>316.23</v>
      </c>
      <c r="W68" s="5">
        <v>338.24</v>
      </c>
      <c r="X68" s="5">
        <v>338.33499999999998</v>
      </c>
      <c r="Y68" s="5">
        <v>338.637</v>
      </c>
      <c r="Z68" s="5">
        <v>293.38299999999998</v>
      </c>
      <c r="AA68" s="5">
        <v>298.291</v>
      </c>
      <c r="AB68" s="5">
        <v>270.17200000000003</v>
      </c>
      <c r="AC68" s="5">
        <v>287.29000000000002</v>
      </c>
      <c r="AD68" s="5">
        <v>287.50700000000001</v>
      </c>
      <c r="AE68" s="5">
        <v>287.36599999999999</v>
      </c>
      <c r="AF68" s="5">
        <v>452.88900000000001</v>
      </c>
      <c r="AG68" s="5">
        <v>453.50799999999998</v>
      </c>
      <c r="AH68" s="5">
        <v>394.512</v>
      </c>
      <c r="AI68" s="5">
        <v>383.55599999999998</v>
      </c>
      <c r="AJ68" s="5">
        <v>272.69400000000002</v>
      </c>
      <c r="AK68" s="5">
        <v>373.05599999999998</v>
      </c>
      <c r="AL68" s="5">
        <v>242.55</v>
      </c>
      <c r="AM68" s="5">
        <v>355.35700000000003</v>
      </c>
      <c r="AN68" s="5">
        <v>355.35700000000003</v>
      </c>
      <c r="AO68" s="5">
        <v>394.68900000000002</v>
      </c>
      <c r="AP68" s="5">
        <v>394.68900000000002</v>
      </c>
      <c r="AQ68" s="5">
        <v>394.68900000000002</v>
      </c>
      <c r="AR68" s="5">
        <v>431.61799999999999</v>
      </c>
      <c r="AS68" s="5">
        <v>389.59199999999998</v>
      </c>
      <c r="AT68" s="5">
        <v>385.70299999999997</v>
      </c>
    </row>
    <row r="69" spans="1:46" x14ac:dyDescent="0.25">
      <c r="A69" s="4" t="s">
        <v>197</v>
      </c>
      <c r="B69" s="4" t="s">
        <v>207</v>
      </c>
      <c r="C69" s="4" t="s">
        <v>246</v>
      </c>
      <c r="D69" s="4" t="s">
        <v>254</v>
      </c>
      <c r="E69" s="4" t="s">
        <v>257</v>
      </c>
      <c r="F69" s="4" t="s">
        <v>203</v>
      </c>
      <c r="G69" s="4" t="s">
        <v>93</v>
      </c>
      <c r="H69" s="4" t="s">
        <v>268</v>
      </c>
      <c r="I69" s="5">
        <v>45.762999999999998</v>
      </c>
      <c r="J69" s="5">
        <v>45.762999999999998</v>
      </c>
      <c r="K69" s="5">
        <v>22.881</v>
      </c>
      <c r="L69" s="5">
        <v>25.213000000000001</v>
      </c>
      <c r="M69" s="5">
        <v>25.213000000000001</v>
      </c>
      <c r="N69" s="8">
        <v>0</v>
      </c>
      <c r="O69" s="8">
        <v>0</v>
      </c>
      <c r="P69" s="5">
        <v>19.698</v>
      </c>
      <c r="Q69" s="8">
        <v>0</v>
      </c>
      <c r="R69" s="8">
        <v>0</v>
      </c>
      <c r="S69" s="8">
        <v>0</v>
      </c>
      <c r="T69" s="5">
        <v>172.25399999999999</v>
      </c>
      <c r="U69" s="5">
        <v>171.221</v>
      </c>
      <c r="V69" s="5">
        <v>213.38499999999999</v>
      </c>
      <c r="W69" s="5">
        <v>663.69100000000003</v>
      </c>
      <c r="X69" s="5">
        <v>479.41699999999997</v>
      </c>
      <c r="Y69" s="5">
        <v>253.70500000000001</v>
      </c>
      <c r="Z69" s="5">
        <v>214.602</v>
      </c>
      <c r="AA69" s="5">
        <v>239.63399999999999</v>
      </c>
      <c r="AB69" s="5">
        <v>250.98599999999999</v>
      </c>
      <c r="AC69" s="5">
        <v>268.10399999999998</v>
      </c>
      <c r="AD69" s="5">
        <v>268.10399999999998</v>
      </c>
      <c r="AE69" s="5">
        <v>402.15600000000001</v>
      </c>
      <c r="AF69" s="5">
        <v>275.49099999999999</v>
      </c>
      <c r="AG69" s="5">
        <v>275.49099999999999</v>
      </c>
      <c r="AH69" s="5">
        <v>289.85899999999998</v>
      </c>
      <c r="AI69" s="5">
        <v>282.55500000000001</v>
      </c>
      <c r="AJ69" s="5">
        <v>282.214</v>
      </c>
      <c r="AK69" s="5">
        <v>255.79</v>
      </c>
      <c r="AL69" s="5">
        <v>112.807</v>
      </c>
      <c r="AM69" s="5">
        <v>338.42099999999999</v>
      </c>
      <c r="AN69" s="5">
        <v>63.595999999999997</v>
      </c>
      <c r="AO69" s="5">
        <v>63.595999999999997</v>
      </c>
      <c r="AP69" s="5">
        <v>50.411000000000001</v>
      </c>
      <c r="AQ69" s="5">
        <v>50.411000000000001</v>
      </c>
      <c r="AR69" s="5">
        <v>49.662999999999997</v>
      </c>
      <c r="AS69" s="5">
        <v>49.662999999999997</v>
      </c>
      <c r="AT69" s="5">
        <v>49.662999999999997</v>
      </c>
    </row>
    <row r="70" spans="1:46" x14ac:dyDescent="0.25">
      <c r="A70" s="4" t="s">
        <v>197</v>
      </c>
      <c r="B70" s="4" t="s">
        <v>207</v>
      </c>
      <c r="C70" s="4" t="s">
        <v>246</v>
      </c>
      <c r="D70" s="4" t="s">
        <v>254</v>
      </c>
      <c r="E70" s="4" t="s">
        <v>258</v>
      </c>
      <c r="F70" s="4" t="s">
        <v>203</v>
      </c>
      <c r="G70" s="4" t="s">
        <v>93</v>
      </c>
      <c r="H70" s="4" t="s">
        <v>268</v>
      </c>
      <c r="I70" s="5">
        <v>40.353000000000002</v>
      </c>
      <c r="J70" s="5">
        <v>36.918999999999997</v>
      </c>
      <c r="K70" s="5">
        <v>67.825999999999993</v>
      </c>
      <c r="L70" s="5">
        <v>61.383000000000003</v>
      </c>
      <c r="M70" s="5">
        <v>82.908000000000001</v>
      </c>
      <c r="N70" s="5">
        <v>164.755</v>
      </c>
      <c r="O70" s="5">
        <v>174.87200000000001</v>
      </c>
      <c r="P70" s="5">
        <v>108.26600000000001</v>
      </c>
      <c r="Q70" s="5">
        <v>107.996</v>
      </c>
      <c r="R70" s="5">
        <v>107.996</v>
      </c>
      <c r="S70" s="5">
        <v>107.996</v>
      </c>
      <c r="T70" s="5">
        <v>93.647000000000006</v>
      </c>
      <c r="U70" s="5">
        <v>93.647000000000006</v>
      </c>
      <c r="V70" s="5">
        <v>7.548</v>
      </c>
      <c r="W70" s="5">
        <v>7.548</v>
      </c>
      <c r="X70" s="5">
        <v>7.548</v>
      </c>
      <c r="Y70" s="5">
        <v>7.548</v>
      </c>
      <c r="Z70" s="5">
        <v>6.9480000000000004</v>
      </c>
      <c r="AA70" s="5">
        <v>6.9480000000000004</v>
      </c>
      <c r="AB70" s="8">
        <v>0</v>
      </c>
      <c r="AC70" s="8">
        <v>0</v>
      </c>
      <c r="AD70" s="9">
        <v>0</v>
      </c>
      <c r="AE70" s="9">
        <v>0</v>
      </c>
      <c r="AF70" s="9">
        <v>0</v>
      </c>
      <c r="AG70" s="5">
        <v>12.797000000000001</v>
      </c>
      <c r="AH70" s="5">
        <v>13.815</v>
      </c>
      <c r="AI70" s="5">
        <v>380.541</v>
      </c>
      <c r="AJ70" s="5">
        <v>38.71</v>
      </c>
      <c r="AK70" s="5">
        <v>64.516999999999996</v>
      </c>
      <c r="AL70" s="5">
        <v>1233.414</v>
      </c>
      <c r="AM70" s="5">
        <v>315.11</v>
      </c>
      <c r="AN70" s="5">
        <v>393.55900000000003</v>
      </c>
      <c r="AO70" s="5">
        <v>262.37299999999999</v>
      </c>
      <c r="AP70" s="8">
        <v>0</v>
      </c>
      <c r="AQ70" s="5">
        <v>13.183999999999999</v>
      </c>
      <c r="AR70" s="5">
        <v>10.494999999999999</v>
      </c>
      <c r="AS70" s="5">
        <v>20.99</v>
      </c>
      <c r="AT70" s="5">
        <v>10.494999999999999</v>
      </c>
    </row>
    <row r="71" spans="1:46" x14ac:dyDescent="0.25">
      <c r="A71" s="4" t="s">
        <v>197</v>
      </c>
      <c r="B71" s="4" t="s">
        <v>207</v>
      </c>
      <c r="C71" s="4" t="s">
        <v>246</v>
      </c>
      <c r="D71" s="4" t="s">
        <v>254</v>
      </c>
      <c r="E71" s="4" t="s">
        <v>258</v>
      </c>
      <c r="F71" s="4" t="s">
        <v>195</v>
      </c>
      <c r="G71" s="4" t="s">
        <v>93</v>
      </c>
      <c r="H71" s="4" t="s">
        <v>268</v>
      </c>
      <c r="I71" s="5">
        <v>95.058000000000007</v>
      </c>
      <c r="J71" s="5">
        <v>95.058000000000007</v>
      </c>
      <c r="K71" s="8">
        <v>0</v>
      </c>
      <c r="L71" s="5">
        <v>115.723</v>
      </c>
      <c r="M71" s="5">
        <v>57.860999999999997</v>
      </c>
      <c r="N71" s="5">
        <v>57.860999999999997</v>
      </c>
      <c r="O71" s="5">
        <v>21.524999999999999</v>
      </c>
      <c r="P71" s="5">
        <v>39.311999999999998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5">
        <v>54.773000000000003</v>
      </c>
      <c r="W71" s="5">
        <v>410.79899999999998</v>
      </c>
      <c r="X71" s="5">
        <v>379.19900000000001</v>
      </c>
      <c r="Y71" s="5">
        <v>399.75599999999997</v>
      </c>
      <c r="Z71" s="5">
        <v>257.51600000000002</v>
      </c>
      <c r="AA71" s="5">
        <v>241.2</v>
      </c>
      <c r="AB71" s="5">
        <v>193.25299999999999</v>
      </c>
      <c r="AC71" s="5">
        <v>181.965</v>
      </c>
      <c r="AD71" s="5">
        <v>154.15799999999999</v>
      </c>
      <c r="AE71" s="5">
        <v>197.83500000000001</v>
      </c>
      <c r="AF71" s="5">
        <v>318.714</v>
      </c>
      <c r="AG71" s="5">
        <v>318.714</v>
      </c>
      <c r="AH71" s="5">
        <v>281.70400000000001</v>
      </c>
      <c r="AI71" s="5">
        <v>241.21700000000001</v>
      </c>
      <c r="AJ71" s="5">
        <v>240.876</v>
      </c>
      <c r="AK71" s="5">
        <v>214.452</v>
      </c>
      <c r="AL71" s="5">
        <v>235.214</v>
      </c>
      <c r="AM71" s="5">
        <v>225.614</v>
      </c>
      <c r="AN71" s="5">
        <v>451.22800000000001</v>
      </c>
      <c r="AO71" s="5">
        <v>486.09199999999998</v>
      </c>
      <c r="AP71" s="5">
        <v>503.214</v>
      </c>
      <c r="AQ71" s="5">
        <v>491.8</v>
      </c>
      <c r="AR71" s="5">
        <v>551.71600000000001</v>
      </c>
      <c r="AS71" s="5">
        <v>495.68099999999998</v>
      </c>
      <c r="AT71" s="5">
        <v>490.49599999999998</v>
      </c>
    </row>
    <row r="72" spans="1:46" x14ac:dyDescent="0.25">
      <c r="A72" s="4" t="s">
        <v>197</v>
      </c>
      <c r="B72" s="4" t="s">
        <v>207</v>
      </c>
      <c r="C72" s="4" t="s">
        <v>246</v>
      </c>
      <c r="D72" s="4" t="s">
        <v>259</v>
      </c>
      <c r="E72" s="4" t="s">
        <v>248</v>
      </c>
      <c r="F72" s="4" t="s">
        <v>203</v>
      </c>
      <c r="G72" s="4" t="s">
        <v>93</v>
      </c>
      <c r="H72" s="4" t="s">
        <v>268</v>
      </c>
      <c r="I72" s="5">
        <v>1995.48</v>
      </c>
      <c r="J72" s="5">
        <v>1851.8620000000001</v>
      </c>
      <c r="K72" s="5">
        <v>2719.9029999999998</v>
      </c>
      <c r="L72" s="5">
        <v>3776.6669999999999</v>
      </c>
      <c r="M72" s="5">
        <v>2960.7779999999998</v>
      </c>
      <c r="N72" s="5">
        <v>2969.4670000000001</v>
      </c>
      <c r="O72" s="5">
        <v>1968.865</v>
      </c>
      <c r="P72" s="5">
        <v>1812.9829999999999</v>
      </c>
      <c r="Q72" s="5">
        <v>2459.8719999999998</v>
      </c>
      <c r="R72" s="5">
        <v>2023.06</v>
      </c>
      <c r="S72" s="5">
        <v>1846.1010000000001</v>
      </c>
      <c r="T72" s="5">
        <v>1779.954</v>
      </c>
      <c r="U72" s="5">
        <v>1647.6489999999999</v>
      </c>
      <c r="V72" s="5">
        <v>2831.37</v>
      </c>
      <c r="W72" s="5">
        <v>3075.9029999999998</v>
      </c>
      <c r="X72" s="5">
        <v>2229.9699999999998</v>
      </c>
      <c r="Y72" s="5">
        <v>2111.0430000000001</v>
      </c>
      <c r="Z72" s="5">
        <v>1612.7719999999999</v>
      </c>
      <c r="AA72" s="5">
        <v>1517.673</v>
      </c>
      <c r="AB72" s="5">
        <v>2277.098</v>
      </c>
      <c r="AC72" s="5">
        <v>4063.047</v>
      </c>
      <c r="AD72" s="5">
        <v>2505.3020000000001</v>
      </c>
      <c r="AE72" s="5">
        <v>2465.4299999999998</v>
      </c>
      <c r="AF72" s="5">
        <v>2088.9360000000001</v>
      </c>
      <c r="AG72" s="5">
        <v>1505.4760000000001</v>
      </c>
      <c r="AH72" s="5">
        <v>1293.77</v>
      </c>
      <c r="AI72" s="5">
        <v>1542.596</v>
      </c>
      <c r="AJ72" s="5">
        <v>3084.6149999999998</v>
      </c>
      <c r="AK72" s="5">
        <v>3329.25</v>
      </c>
      <c r="AL72" s="5">
        <v>3239.663</v>
      </c>
      <c r="AM72" s="5">
        <v>2600.288</v>
      </c>
      <c r="AN72" s="5">
        <v>2269.7060000000001</v>
      </c>
      <c r="AO72" s="5">
        <v>1820.2739999999999</v>
      </c>
      <c r="AP72" s="5">
        <v>1725.6489999999999</v>
      </c>
      <c r="AQ72" s="5">
        <v>1385.248</v>
      </c>
      <c r="AR72" s="5">
        <v>1154.521</v>
      </c>
      <c r="AS72" s="5">
        <v>1102</v>
      </c>
      <c r="AT72" s="5">
        <v>1181.2429999999999</v>
      </c>
    </row>
    <row r="73" spans="1:46" x14ac:dyDescent="0.25">
      <c r="A73" s="4" t="s">
        <v>197</v>
      </c>
      <c r="B73" s="4" t="s">
        <v>207</v>
      </c>
      <c r="C73" s="4" t="s">
        <v>246</v>
      </c>
      <c r="D73" s="4" t="s">
        <v>259</v>
      </c>
      <c r="E73" s="4" t="s">
        <v>248</v>
      </c>
      <c r="F73" s="4" t="s">
        <v>201</v>
      </c>
      <c r="G73" s="4" t="s">
        <v>93</v>
      </c>
      <c r="H73" s="4" t="s">
        <v>268</v>
      </c>
      <c r="I73" s="5">
        <v>1804.934</v>
      </c>
      <c r="J73" s="5">
        <v>1274.7829999999999</v>
      </c>
      <c r="K73" s="5">
        <v>2642.7550000000001</v>
      </c>
      <c r="L73" s="5">
        <v>2061.1819999999998</v>
      </c>
      <c r="M73" s="5">
        <v>1923.739</v>
      </c>
      <c r="N73" s="5">
        <v>2189.3139999999999</v>
      </c>
      <c r="O73" s="5">
        <v>1778.7380000000001</v>
      </c>
      <c r="P73" s="5">
        <v>1543.0540000000001</v>
      </c>
      <c r="Q73" s="5">
        <v>1637.682</v>
      </c>
      <c r="R73" s="5">
        <v>1849.9770000000001</v>
      </c>
      <c r="S73" s="5">
        <v>1645.1120000000001</v>
      </c>
      <c r="T73" s="5">
        <v>1539.258</v>
      </c>
      <c r="U73" s="5">
        <v>1386.2909999999999</v>
      </c>
      <c r="V73" s="5">
        <v>1090.8630000000001</v>
      </c>
      <c r="W73" s="5">
        <v>1826.172</v>
      </c>
      <c r="X73" s="5">
        <v>1665.904</v>
      </c>
      <c r="Y73" s="5">
        <v>2549.2179999999998</v>
      </c>
      <c r="Z73" s="5">
        <v>1352.4960000000001</v>
      </c>
      <c r="AA73" s="5">
        <v>1800.924</v>
      </c>
      <c r="AB73" s="5">
        <v>1179.5150000000001</v>
      </c>
      <c r="AC73" s="5">
        <v>1401.001</v>
      </c>
      <c r="AD73" s="5">
        <v>1364.9849999999999</v>
      </c>
      <c r="AE73" s="5">
        <v>1215.2270000000001</v>
      </c>
      <c r="AF73" s="5">
        <v>1678.105</v>
      </c>
      <c r="AG73" s="5">
        <v>1498.451</v>
      </c>
      <c r="AH73" s="5">
        <v>1238.8989999999999</v>
      </c>
      <c r="AI73" s="5">
        <v>1161.9000000000001</v>
      </c>
      <c r="AJ73" s="5">
        <v>953.12099999999998</v>
      </c>
      <c r="AK73" s="5">
        <v>1211.7670000000001</v>
      </c>
      <c r="AL73" s="5">
        <v>1510.056</v>
      </c>
      <c r="AM73" s="5">
        <v>1801.9449999999999</v>
      </c>
      <c r="AN73" s="5">
        <v>1293.1289999999999</v>
      </c>
      <c r="AO73" s="5">
        <v>963.13199999999995</v>
      </c>
      <c r="AP73" s="5">
        <v>1317.9480000000001</v>
      </c>
      <c r="AQ73" s="5">
        <v>1340.7449999999999</v>
      </c>
      <c r="AR73" s="5">
        <v>900.54600000000005</v>
      </c>
      <c r="AS73" s="5">
        <v>865.005</v>
      </c>
      <c r="AT73" s="5">
        <v>721.904</v>
      </c>
    </row>
    <row r="74" spans="1:46" x14ac:dyDescent="0.25">
      <c r="A74" s="4" t="s">
        <v>197</v>
      </c>
      <c r="B74" s="4" t="s">
        <v>207</v>
      </c>
      <c r="C74" s="4" t="s">
        <v>246</v>
      </c>
      <c r="D74" s="4" t="s">
        <v>259</v>
      </c>
      <c r="E74" s="4" t="s">
        <v>248</v>
      </c>
      <c r="F74" s="4" t="s">
        <v>195</v>
      </c>
      <c r="G74" s="4" t="s">
        <v>93</v>
      </c>
      <c r="H74" s="4" t="s">
        <v>268</v>
      </c>
      <c r="I74" s="5">
        <v>4058.058</v>
      </c>
      <c r="J74" s="5">
        <v>4063.413</v>
      </c>
      <c r="K74" s="5">
        <v>4968.49</v>
      </c>
      <c r="L74" s="5">
        <v>5533.393</v>
      </c>
      <c r="M74" s="5">
        <v>4967.1260000000002</v>
      </c>
      <c r="N74" s="5">
        <v>3285.8719999999998</v>
      </c>
      <c r="O74" s="5">
        <v>3548.886</v>
      </c>
      <c r="P74" s="5">
        <v>2751.3389999999999</v>
      </c>
      <c r="Q74" s="5">
        <v>2435.8249999999998</v>
      </c>
      <c r="R74" s="5">
        <v>2521.4290000000001</v>
      </c>
      <c r="S74" s="5">
        <v>2471.7420000000002</v>
      </c>
      <c r="T74" s="5">
        <v>2503.9079999999999</v>
      </c>
      <c r="U74" s="5">
        <v>2780.4769999999999</v>
      </c>
      <c r="V74" s="5">
        <v>3544.002</v>
      </c>
      <c r="W74" s="5">
        <v>2803.7139999999999</v>
      </c>
      <c r="X74" s="5">
        <v>3672.5880000000002</v>
      </c>
      <c r="Y74" s="5">
        <v>3765.2139999999999</v>
      </c>
      <c r="Z74" s="5">
        <v>3238.4789999999998</v>
      </c>
      <c r="AA74" s="5">
        <v>3164.0749999999998</v>
      </c>
      <c r="AB74" s="5">
        <v>2986.0239999999999</v>
      </c>
      <c r="AC74" s="5">
        <v>4521.4840000000004</v>
      </c>
      <c r="AD74" s="5">
        <v>3323.5790000000002</v>
      </c>
      <c r="AE74" s="5">
        <v>2608.17</v>
      </c>
      <c r="AF74" s="5">
        <v>3100.8389999999999</v>
      </c>
      <c r="AG74" s="5">
        <v>2925.7739999999999</v>
      </c>
      <c r="AH74" s="5">
        <v>2501.7570000000001</v>
      </c>
      <c r="AI74" s="5">
        <v>2506.8580000000002</v>
      </c>
      <c r="AJ74" s="5">
        <v>3412.127</v>
      </c>
      <c r="AK74" s="5">
        <v>2810.61</v>
      </c>
      <c r="AL74" s="5">
        <v>2193.5230000000001</v>
      </c>
      <c r="AM74" s="5">
        <v>2312.326</v>
      </c>
      <c r="AN74" s="5">
        <v>2062.6559999999999</v>
      </c>
      <c r="AO74" s="5">
        <v>1591.8040000000001</v>
      </c>
      <c r="AP74" s="5">
        <v>2092.7130000000002</v>
      </c>
      <c r="AQ74" s="5">
        <v>1887.883</v>
      </c>
      <c r="AR74" s="5">
        <v>2118.4340000000002</v>
      </c>
      <c r="AS74" s="5">
        <v>1729.221</v>
      </c>
      <c r="AT74" s="5">
        <v>2436.5320000000002</v>
      </c>
    </row>
    <row r="75" spans="1:46" x14ac:dyDescent="0.25">
      <c r="A75" s="4" t="s">
        <v>197</v>
      </c>
      <c r="B75" s="4" t="s">
        <v>207</v>
      </c>
      <c r="C75" s="4" t="s">
        <v>246</v>
      </c>
      <c r="D75" s="4" t="s">
        <v>259</v>
      </c>
      <c r="E75" s="4" t="s">
        <v>248</v>
      </c>
      <c r="F75" s="4" t="s">
        <v>195</v>
      </c>
      <c r="G75" s="4" t="s">
        <v>260</v>
      </c>
      <c r="H75" s="4" t="s">
        <v>268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5">
        <v>390.072</v>
      </c>
      <c r="O75" s="5">
        <v>404.78</v>
      </c>
      <c r="P75" s="5">
        <v>404.78</v>
      </c>
      <c r="Q75" s="5">
        <v>495.10399999999998</v>
      </c>
      <c r="R75" s="5">
        <v>480.65600000000001</v>
      </c>
      <c r="S75" s="5">
        <v>480.65600000000001</v>
      </c>
      <c r="T75" s="5">
        <v>480.65600000000001</v>
      </c>
      <c r="U75" s="5">
        <v>480.65600000000001</v>
      </c>
      <c r="V75" s="8">
        <v>0</v>
      </c>
      <c r="W75" s="8">
        <v>0</v>
      </c>
      <c r="X75" s="8">
        <v>0</v>
      </c>
      <c r="Y75" s="8">
        <v>0</v>
      </c>
      <c r="Z75" s="9">
        <v>0</v>
      </c>
      <c r="AA75" s="5">
        <v>725.399</v>
      </c>
      <c r="AB75" s="5">
        <v>627.46500000000003</v>
      </c>
      <c r="AC75" s="5">
        <v>670.26</v>
      </c>
      <c r="AD75" s="5">
        <v>670.26</v>
      </c>
      <c r="AE75" s="5">
        <v>670.26</v>
      </c>
      <c r="AF75" s="5">
        <v>688.72799999999995</v>
      </c>
      <c r="AG75" s="5">
        <v>688.72799999999995</v>
      </c>
      <c r="AH75" s="5">
        <v>621.303</v>
      </c>
      <c r="AI75" s="5">
        <v>603.04200000000003</v>
      </c>
      <c r="AJ75" s="5">
        <v>602.19000000000005</v>
      </c>
      <c r="AK75" s="5">
        <v>536.13</v>
      </c>
      <c r="AL75" s="5">
        <v>564.03599999999994</v>
      </c>
      <c r="AM75" s="5">
        <v>225.614</v>
      </c>
      <c r="AN75" s="8">
        <v>0</v>
      </c>
      <c r="AO75" s="8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</row>
    <row r="76" spans="1:46" x14ac:dyDescent="0.25">
      <c r="A76" s="4" t="s">
        <v>197</v>
      </c>
      <c r="B76" s="4" t="s">
        <v>207</v>
      </c>
      <c r="C76" s="4" t="s">
        <v>246</v>
      </c>
      <c r="D76" s="4" t="s">
        <v>259</v>
      </c>
      <c r="E76" s="4" t="s">
        <v>261</v>
      </c>
      <c r="F76" s="4" t="s">
        <v>195</v>
      </c>
      <c r="G76" s="4" t="s">
        <v>93</v>
      </c>
      <c r="H76" s="4" t="s">
        <v>268</v>
      </c>
      <c r="I76" s="5">
        <v>578.24699999999996</v>
      </c>
      <c r="J76" s="5">
        <v>439.73899999999998</v>
      </c>
      <c r="K76" s="5">
        <v>344.68099999999998</v>
      </c>
      <c r="L76" s="5">
        <v>654.31500000000005</v>
      </c>
      <c r="M76" s="5">
        <v>569.77700000000004</v>
      </c>
      <c r="N76" s="5">
        <v>223.55699999999999</v>
      </c>
      <c r="O76" s="5">
        <v>411.14</v>
      </c>
      <c r="P76" s="5">
        <v>309.96499999999997</v>
      </c>
      <c r="Q76" s="5">
        <v>290.483</v>
      </c>
      <c r="R76" s="5">
        <v>309.46899999999999</v>
      </c>
      <c r="S76" s="5">
        <v>311.60599999999999</v>
      </c>
      <c r="T76" s="5">
        <v>301.59199999999998</v>
      </c>
      <c r="U76" s="5">
        <v>301.59199999999998</v>
      </c>
      <c r="V76" s="5">
        <v>430.36700000000002</v>
      </c>
      <c r="W76" s="5">
        <v>321.923</v>
      </c>
      <c r="X76" s="5">
        <v>312.29000000000002</v>
      </c>
      <c r="Y76" s="5">
        <v>301.37</v>
      </c>
      <c r="Z76" s="5">
        <v>299.58699999999999</v>
      </c>
      <c r="AA76" s="5">
        <v>335.84100000000001</v>
      </c>
      <c r="AB76" s="5">
        <v>335.971</v>
      </c>
      <c r="AC76" s="5">
        <v>353.089</v>
      </c>
      <c r="AD76" s="5">
        <v>353.26900000000001</v>
      </c>
      <c r="AE76" s="5">
        <v>341.88900000000001</v>
      </c>
      <c r="AF76" s="5">
        <v>328.01600000000002</v>
      </c>
      <c r="AG76" s="5">
        <v>327.82299999999998</v>
      </c>
      <c r="AH76" s="5">
        <v>281.29399999999998</v>
      </c>
      <c r="AI76" s="5">
        <v>262.99</v>
      </c>
      <c r="AJ76" s="5">
        <v>279.995</v>
      </c>
      <c r="AK76" s="5">
        <v>253.571</v>
      </c>
      <c r="AL76" s="5">
        <v>264.73399999999998</v>
      </c>
      <c r="AM76" s="5">
        <v>264.73399999999998</v>
      </c>
      <c r="AN76" s="5">
        <v>264.73399999999998</v>
      </c>
      <c r="AO76" s="5">
        <v>243.04599999999999</v>
      </c>
      <c r="AP76" s="5">
        <v>243.04599999999999</v>
      </c>
      <c r="AQ76" s="5">
        <v>243.04599999999999</v>
      </c>
      <c r="AR76" s="8">
        <v>0</v>
      </c>
      <c r="AS76" s="5">
        <v>247.84100000000001</v>
      </c>
      <c r="AT76" s="5">
        <v>367.87200000000001</v>
      </c>
    </row>
    <row r="77" spans="1:46" x14ac:dyDescent="0.25">
      <c r="A77" s="4" t="s">
        <v>197</v>
      </c>
      <c r="B77" s="4" t="s">
        <v>207</v>
      </c>
      <c r="C77" s="4" t="s">
        <v>246</v>
      </c>
      <c r="D77" s="4" t="s">
        <v>263</v>
      </c>
      <c r="E77" s="4" t="s">
        <v>248</v>
      </c>
      <c r="F77" s="4" t="s">
        <v>201</v>
      </c>
      <c r="G77" s="4" t="s">
        <v>71</v>
      </c>
      <c r="H77" s="4" t="s">
        <v>268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5">
        <v>74.451999999999998</v>
      </c>
      <c r="S77" s="5">
        <v>74.566999999999993</v>
      </c>
      <c r="T77" s="5">
        <v>74.566999999999993</v>
      </c>
      <c r="U77" s="5">
        <v>74.566999999999993</v>
      </c>
      <c r="V77" s="5">
        <v>61.613</v>
      </c>
      <c r="W77" s="5">
        <v>64.048000000000002</v>
      </c>
      <c r="X77" s="5">
        <v>63.469000000000001</v>
      </c>
      <c r="Y77" s="8">
        <v>0</v>
      </c>
      <c r="Z77" s="8">
        <v>0</v>
      </c>
      <c r="AA77" s="8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5">
        <v>26.369</v>
      </c>
      <c r="AN77" s="8">
        <v>0</v>
      </c>
      <c r="AO77" s="8">
        <v>0</v>
      </c>
      <c r="AP77" s="8">
        <v>0</v>
      </c>
      <c r="AQ77" s="9">
        <v>0</v>
      </c>
      <c r="AR77" s="9">
        <v>0</v>
      </c>
      <c r="AS77" s="9">
        <v>0</v>
      </c>
      <c r="AT77" s="9">
        <v>0</v>
      </c>
    </row>
    <row r="78" spans="1:46" x14ac:dyDescent="0.25">
      <c r="A78" s="4" t="s">
        <v>197</v>
      </c>
      <c r="B78" s="4" t="s">
        <v>207</v>
      </c>
      <c r="C78" s="4" t="s">
        <v>246</v>
      </c>
      <c r="D78" s="4" t="s">
        <v>263</v>
      </c>
      <c r="E78" s="4" t="s">
        <v>248</v>
      </c>
      <c r="F78" s="4" t="s">
        <v>201</v>
      </c>
      <c r="G78" s="4" t="s">
        <v>76</v>
      </c>
      <c r="H78" s="4" t="s">
        <v>268</v>
      </c>
      <c r="I78" s="5">
        <v>15.454000000000001</v>
      </c>
      <c r="J78" s="5">
        <v>15.454000000000001</v>
      </c>
      <c r="K78" s="5">
        <v>15.454000000000001</v>
      </c>
      <c r="L78" s="5">
        <v>14.35</v>
      </c>
      <c r="M78" s="5">
        <v>14.35</v>
      </c>
      <c r="N78" s="5">
        <v>7.1749999999999998</v>
      </c>
      <c r="O78" s="5">
        <v>7.1749999999999998</v>
      </c>
      <c r="P78" s="5">
        <v>7.1749999999999998</v>
      </c>
      <c r="Q78" s="5">
        <v>7.1749999999999998</v>
      </c>
      <c r="R78" s="5">
        <v>7.1749999999999998</v>
      </c>
      <c r="S78" s="5">
        <v>7.1749999999999998</v>
      </c>
      <c r="T78" s="5">
        <v>7.1749999999999998</v>
      </c>
      <c r="U78" s="5">
        <v>7.1749999999999998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</row>
    <row r="79" spans="1:46" x14ac:dyDescent="0.25">
      <c r="A79" s="4" t="s">
        <v>197</v>
      </c>
      <c r="B79" s="4" t="s">
        <v>207</v>
      </c>
      <c r="C79" s="4" t="s">
        <v>246</v>
      </c>
      <c r="D79" s="4" t="s">
        <v>263</v>
      </c>
      <c r="E79" s="4" t="s">
        <v>248</v>
      </c>
      <c r="F79" s="4" t="s">
        <v>201</v>
      </c>
      <c r="G79" s="4" t="s">
        <v>85</v>
      </c>
      <c r="H79" s="4" t="s">
        <v>268</v>
      </c>
      <c r="I79" s="5">
        <v>1260.903</v>
      </c>
      <c r="J79" s="5">
        <v>1318.1379999999999</v>
      </c>
      <c r="K79" s="5">
        <v>2480.6689999999999</v>
      </c>
      <c r="L79" s="5">
        <v>2882.3249999999998</v>
      </c>
      <c r="M79" s="5">
        <v>2754.3319999999999</v>
      </c>
      <c r="N79" s="5">
        <v>2751.5450000000001</v>
      </c>
      <c r="O79" s="5">
        <v>2625.6509999999998</v>
      </c>
      <c r="P79" s="5">
        <v>2658.393</v>
      </c>
      <c r="Q79" s="5">
        <v>3346.116</v>
      </c>
      <c r="R79" s="5">
        <v>2452.5920000000001</v>
      </c>
      <c r="S79" s="5">
        <v>1991.338</v>
      </c>
      <c r="T79" s="5">
        <v>1781.018</v>
      </c>
      <c r="U79" s="5">
        <v>1656.0170000000001</v>
      </c>
      <c r="V79" s="5">
        <v>1769.8309999999999</v>
      </c>
      <c r="W79" s="5">
        <v>1752.4649999999999</v>
      </c>
      <c r="X79" s="5">
        <v>880.26700000000005</v>
      </c>
      <c r="Y79" s="5">
        <v>2017.0050000000001</v>
      </c>
      <c r="Z79" s="5">
        <v>1529.1969999999999</v>
      </c>
      <c r="AA79" s="5">
        <v>1600.992</v>
      </c>
      <c r="AB79" s="5">
        <v>1473.2139999999999</v>
      </c>
      <c r="AC79" s="5">
        <v>1550.9760000000001</v>
      </c>
      <c r="AD79" s="5">
        <v>1394.654</v>
      </c>
      <c r="AE79" s="5">
        <v>1275.944</v>
      </c>
      <c r="AF79" s="5">
        <v>1216.0319999999999</v>
      </c>
      <c r="AG79" s="5">
        <v>1271.3520000000001</v>
      </c>
      <c r="AH79" s="5">
        <v>1241.3240000000001</v>
      </c>
      <c r="AI79" s="5">
        <v>1012.6660000000001</v>
      </c>
      <c r="AJ79" s="5">
        <v>1890.4559999999999</v>
      </c>
      <c r="AK79" s="5">
        <v>1289.97</v>
      </c>
      <c r="AL79" s="5">
        <v>876.09</v>
      </c>
      <c r="AM79" s="5">
        <v>844.88199999999995</v>
      </c>
      <c r="AN79" s="5">
        <v>387.12299999999999</v>
      </c>
      <c r="AO79" s="5">
        <v>722.46900000000005</v>
      </c>
      <c r="AP79" s="5">
        <v>302.233</v>
      </c>
      <c r="AQ79" s="5">
        <v>467.50599999999997</v>
      </c>
      <c r="AR79" s="5">
        <v>1436.1890000000001</v>
      </c>
      <c r="AS79" s="5">
        <v>796.59</v>
      </c>
      <c r="AT79" s="5">
        <v>1019.611</v>
      </c>
    </row>
    <row r="80" spans="1:46" x14ac:dyDescent="0.25">
      <c r="A80" s="4" t="s">
        <v>197</v>
      </c>
      <c r="B80" s="4" t="s">
        <v>207</v>
      </c>
      <c r="C80" s="4" t="s">
        <v>246</v>
      </c>
      <c r="D80" s="4" t="s">
        <v>263</v>
      </c>
      <c r="E80" s="4" t="s">
        <v>248</v>
      </c>
      <c r="F80" s="4" t="s">
        <v>195</v>
      </c>
      <c r="G80" s="4" t="s">
        <v>264</v>
      </c>
      <c r="H80" s="4" t="s">
        <v>268</v>
      </c>
      <c r="I80" s="5">
        <v>68.372</v>
      </c>
      <c r="J80" s="5">
        <v>68.372</v>
      </c>
      <c r="K80" s="5">
        <v>36.686</v>
      </c>
      <c r="L80" s="5">
        <v>63.485999999999997</v>
      </c>
      <c r="M80" s="5">
        <v>57.860999999999997</v>
      </c>
      <c r="N80" s="5">
        <v>63.485999999999997</v>
      </c>
      <c r="O80" s="5">
        <v>61.610999999999997</v>
      </c>
      <c r="P80" s="5">
        <v>23.405999999999999</v>
      </c>
      <c r="Q80" s="5">
        <v>5.625</v>
      </c>
      <c r="R80" s="8">
        <v>0</v>
      </c>
      <c r="S80" s="8">
        <v>0</v>
      </c>
      <c r="T80" s="8">
        <v>0</v>
      </c>
      <c r="U80" s="8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5">
        <v>19.559999999999999</v>
      </c>
      <c r="AO80" s="8">
        <v>0</v>
      </c>
      <c r="AP80" s="8">
        <v>0</v>
      </c>
      <c r="AQ80" s="9">
        <v>0</v>
      </c>
      <c r="AR80" s="9">
        <v>0</v>
      </c>
      <c r="AS80" s="9">
        <v>0</v>
      </c>
      <c r="AT80" s="9">
        <v>0</v>
      </c>
    </row>
    <row r="81" spans="1:46" x14ac:dyDescent="0.25">
      <c r="A81" s="4" t="s">
        <v>197</v>
      </c>
      <c r="B81" s="4" t="s">
        <v>207</v>
      </c>
      <c r="C81" s="4" t="s">
        <v>246</v>
      </c>
      <c r="D81" s="4" t="s">
        <v>263</v>
      </c>
      <c r="E81" s="4" t="s">
        <v>248</v>
      </c>
      <c r="F81" s="4" t="s">
        <v>195</v>
      </c>
      <c r="G81" s="4" t="s">
        <v>71</v>
      </c>
      <c r="H81" s="4" t="s">
        <v>268</v>
      </c>
      <c r="I81" s="5">
        <v>1950.816</v>
      </c>
      <c r="J81" s="5">
        <v>1590.2080000000001</v>
      </c>
      <c r="K81" s="5">
        <v>2481.6480000000001</v>
      </c>
      <c r="L81" s="5">
        <v>2978.2910000000002</v>
      </c>
      <c r="M81" s="5">
        <v>2827.366</v>
      </c>
      <c r="N81" s="5">
        <v>2538.0990000000002</v>
      </c>
      <c r="O81" s="5">
        <v>2204.9209999999998</v>
      </c>
      <c r="P81" s="5">
        <v>1936.6469999999999</v>
      </c>
      <c r="Q81" s="5">
        <v>1738.6079999999999</v>
      </c>
      <c r="R81" s="5">
        <v>1600.5239999999999</v>
      </c>
      <c r="S81" s="5">
        <v>1790.8019999999999</v>
      </c>
      <c r="T81" s="5">
        <v>1610.9280000000001</v>
      </c>
      <c r="U81" s="5">
        <v>1277.5709999999999</v>
      </c>
      <c r="V81" s="5">
        <v>1193.8150000000001</v>
      </c>
      <c r="W81" s="5">
        <v>2138.8969999999999</v>
      </c>
      <c r="X81" s="5">
        <v>1446.251</v>
      </c>
      <c r="Y81" s="5">
        <v>1680.367</v>
      </c>
      <c r="Z81" s="5">
        <v>1847.9259999999999</v>
      </c>
      <c r="AA81" s="5">
        <v>2675.2249999999999</v>
      </c>
      <c r="AB81" s="5">
        <v>2437.7249999999999</v>
      </c>
      <c r="AC81" s="5">
        <v>2260.0100000000002</v>
      </c>
      <c r="AD81" s="5">
        <v>2151.3000000000002</v>
      </c>
      <c r="AE81" s="5">
        <v>2420.3240000000001</v>
      </c>
      <c r="AF81" s="5">
        <v>2377.085</v>
      </c>
      <c r="AG81" s="5">
        <v>2329.6590000000001</v>
      </c>
      <c r="AH81" s="5">
        <v>2442.462</v>
      </c>
      <c r="AI81" s="5">
        <v>1964.578</v>
      </c>
      <c r="AJ81" s="5">
        <v>1297.7929999999999</v>
      </c>
      <c r="AK81" s="5">
        <v>1485.723</v>
      </c>
      <c r="AL81" s="5">
        <v>1493.6949999999999</v>
      </c>
      <c r="AM81" s="5">
        <v>1257.434</v>
      </c>
      <c r="AN81" s="5">
        <v>1110.079</v>
      </c>
      <c r="AO81" s="5">
        <v>969.30799999999999</v>
      </c>
      <c r="AP81" s="5">
        <v>1167.5650000000001</v>
      </c>
      <c r="AQ81" s="5">
        <v>1153.538</v>
      </c>
      <c r="AR81" s="5">
        <v>1225.377</v>
      </c>
      <c r="AS81" s="5">
        <v>1350.143</v>
      </c>
      <c r="AT81" s="5">
        <v>1434.557</v>
      </c>
    </row>
    <row r="82" spans="1:46" x14ac:dyDescent="0.25">
      <c r="A82" s="4" t="s">
        <v>197</v>
      </c>
      <c r="B82" s="4" t="s">
        <v>207</v>
      </c>
      <c r="C82" s="4" t="s">
        <v>246</v>
      </c>
      <c r="D82" s="4" t="s">
        <v>263</v>
      </c>
      <c r="E82" s="4" t="s">
        <v>248</v>
      </c>
      <c r="F82" s="4" t="s">
        <v>195</v>
      </c>
      <c r="G82" s="4" t="s">
        <v>76</v>
      </c>
      <c r="H82" s="4" t="s">
        <v>268</v>
      </c>
      <c r="I82" s="5">
        <v>285.90800000000002</v>
      </c>
      <c r="J82" s="5">
        <v>263.74900000000002</v>
      </c>
      <c r="K82" s="5">
        <v>232.06299999999999</v>
      </c>
      <c r="L82" s="5">
        <v>312.50200000000001</v>
      </c>
      <c r="M82" s="5">
        <v>483.58199999999999</v>
      </c>
      <c r="N82" s="5">
        <v>451.03500000000003</v>
      </c>
      <c r="O82" s="5">
        <v>465.911</v>
      </c>
      <c r="P82" s="5">
        <v>192.535</v>
      </c>
      <c r="Q82" s="5">
        <v>180.161</v>
      </c>
      <c r="R82" s="5">
        <v>107.60299999999999</v>
      </c>
      <c r="S82" s="5">
        <v>185.10300000000001</v>
      </c>
      <c r="T82" s="5">
        <v>182.82400000000001</v>
      </c>
      <c r="U82" s="5">
        <v>182.82400000000001</v>
      </c>
      <c r="V82" s="5">
        <v>156.50899999999999</v>
      </c>
      <c r="W82" s="5">
        <v>224.767</v>
      </c>
      <c r="X82" s="5">
        <v>312.32</v>
      </c>
      <c r="Y82" s="5">
        <v>347.79899999999998</v>
      </c>
      <c r="Z82" s="5">
        <v>294.03899999999999</v>
      </c>
      <c r="AA82" s="5">
        <v>302.93599999999998</v>
      </c>
      <c r="AB82" s="5">
        <v>320.125</v>
      </c>
      <c r="AC82" s="5">
        <v>252.947</v>
      </c>
      <c r="AD82" s="5">
        <v>266.714</v>
      </c>
      <c r="AE82" s="5">
        <v>268.45800000000003</v>
      </c>
      <c r="AF82" s="5">
        <v>353.29</v>
      </c>
      <c r="AG82" s="5">
        <v>490.55500000000001</v>
      </c>
      <c r="AH82" s="5">
        <v>386.66</v>
      </c>
      <c r="AI82" s="5">
        <v>401.01499999999999</v>
      </c>
      <c r="AJ82" s="5">
        <v>371.29599999999999</v>
      </c>
      <c r="AK82" s="5">
        <v>181.08699999999999</v>
      </c>
      <c r="AL82" s="5">
        <v>257.17099999999999</v>
      </c>
      <c r="AM82" s="5">
        <v>243.852</v>
      </c>
      <c r="AN82" s="5">
        <v>320.96199999999999</v>
      </c>
      <c r="AO82" s="5">
        <v>468.01400000000001</v>
      </c>
      <c r="AP82" s="5">
        <v>253.61099999999999</v>
      </c>
      <c r="AQ82" s="5">
        <v>336.73200000000003</v>
      </c>
      <c r="AR82" s="5">
        <v>261.07499999999999</v>
      </c>
      <c r="AS82" s="5">
        <v>247.06700000000001</v>
      </c>
      <c r="AT82" s="5">
        <v>219.76</v>
      </c>
    </row>
    <row r="83" spans="1:46" x14ac:dyDescent="0.25">
      <c r="A83" s="4" t="s">
        <v>197</v>
      </c>
      <c r="B83" s="4" t="s">
        <v>207</v>
      </c>
      <c r="C83" s="4" t="s">
        <v>246</v>
      </c>
      <c r="D83" s="4" t="s">
        <v>263</v>
      </c>
      <c r="E83" s="4" t="s">
        <v>248</v>
      </c>
      <c r="F83" s="4" t="s">
        <v>195</v>
      </c>
      <c r="G83" s="4" t="s">
        <v>85</v>
      </c>
      <c r="H83" s="4" t="s">
        <v>268</v>
      </c>
      <c r="I83" s="5">
        <v>4876.6729999999998</v>
      </c>
      <c r="J83" s="5">
        <v>4310.1760000000004</v>
      </c>
      <c r="K83" s="5">
        <v>4143.723</v>
      </c>
      <c r="L83" s="5">
        <v>4842.5309999999999</v>
      </c>
      <c r="M83" s="5">
        <v>5075.07</v>
      </c>
      <c r="N83" s="5">
        <v>5109.058</v>
      </c>
      <c r="O83" s="5">
        <v>4575.6130000000003</v>
      </c>
      <c r="P83" s="5">
        <v>2422.9989999999998</v>
      </c>
      <c r="Q83" s="5">
        <v>3160.1559999999999</v>
      </c>
      <c r="R83" s="5">
        <v>2580.377</v>
      </c>
      <c r="S83" s="5">
        <v>2701.2660000000001</v>
      </c>
      <c r="T83" s="5">
        <v>2697.3139999999999</v>
      </c>
      <c r="U83" s="5">
        <v>2561.8449999999998</v>
      </c>
      <c r="V83" s="5">
        <v>2077.9989999999998</v>
      </c>
      <c r="W83" s="5">
        <v>2392.6819999999998</v>
      </c>
      <c r="X83" s="5">
        <v>2290.386</v>
      </c>
      <c r="Y83" s="5">
        <v>2362.337</v>
      </c>
      <c r="Z83" s="5">
        <v>2148.7669999999998</v>
      </c>
      <c r="AA83" s="5">
        <v>2382.4870000000001</v>
      </c>
      <c r="AB83" s="5">
        <v>2867.9279999999999</v>
      </c>
      <c r="AC83" s="5">
        <v>3318.2660000000001</v>
      </c>
      <c r="AD83" s="5">
        <v>3369.6979999999999</v>
      </c>
      <c r="AE83" s="5">
        <v>2906.0320000000002</v>
      </c>
      <c r="AF83" s="5">
        <v>3298.252</v>
      </c>
      <c r="AG83" s="5">
        <v>3261.4279999999999</v>
      </c>
      <c r="AH83" s="5">
        <v>2737.8890000000001</v>
      </c>
      <c r="AI83" s="5">
        <v>2880.6759999999999</v>
      </c>
      <c r="AJ83" s="5">
        <v>3682.578</v>
      </c>
      <c r="AK83" s="5">
        <v>3398.777</v>
      </c>
      <c r="AL83" s="5">
        <v>3261.694</v>
      </c>
      <c r="AM83" s="5">
        <v>3252.3310000000001</v>
      </c>
      <c r="AN83" s="5">
        <v>2763.6819999999998</v>
      </c>
      <c r="AO83" s="5">
        <v>1991.277</v>
      </c>
      <c r="AP83" s="5">
        <v>4024.7339999999999</v>
      </c>
      <c r="AQ83" s="5">
        <v>3694.9540000000002</v>
      </c>
      <c r="AR83" s="5">
        <v>3817.2539999999999</v>
      </c>
      <c r="AS83" s="5">
        <v>4755.6589999999997</v>
      </c>
      <c r="AT83" s="5">
        <v>4612.4309999999996</v>
      </c>
    </row>
    <row r="84" spans="1:46" x14ac:dyDescent="0.25">
      <c r="A84" s="4" t="s">
        <v>197</v>
      </c>
      <c r="B84" s="4" t="s">
        <v>207</v>
      </c>
      <c r="C84" s="4" t="s">
        <v>246</v>
      </c>
      <c r="D84" s="4" t="s">
        <v>265</v>
      </c>
      <c r="E84" s="4" t="s">
        <v>266</v>
      </c>
      <c r="F84" s="4" t="s">
        <v>195</v>
      </c>
      <c r="G84" s="4" t="s">
        <v>93</v>
      </c>
      <c r="H84" s="4" t="s">
        <v>268</v>
      </c>
      <c r="I84" s="5">
        <v>261.50599999999997</v>
      </c>
      <c r="J84" s="5">
        <v>229.82</v>
      </c>
      <c r="K84" s="5">
        <v>215.267</v>
      </c>
      <c r="L84" s="5">
        <v>435.202</v>
      </c>
      <c r="M84" s="5">
        <v>246.79300000000001</v>
      </c>
      <c r="N84" s="5">
        <v>422.57</v>
      </c>
      <c r="O84" s="5">
        <v>327.15800000000002</v>
      </c>
      <c r="P84" s="5">
        <v>153.09100000000001</v>
      </c>
      <c r="Q84" s="5">
        <v>180.71299999999999</v>
      </c>
      <c r="R84" s="5">
        <v>199.36699999999999</v>
      </c>
      <c r="S84" s="5">
        <v>177.767</v>
      </c>
      <c r="T84" s="5">
        <v>167.75299999999999</v>
      </c>
      <c r="U84" s="5">
        <v>81.231999999999999</v>
      </c>
      <c r="V84" s="5">
        <v>81.997</v>
      </c>
      <c r="W84" s="5">
        <v>427.32799999999997</v>
      </c>
      <c r="X84" s="5">
        <v>363.38</v>
      </c>
      <c r="Y84" s="5">
        <v>363.68200000000002</v>
      </c>
      <c r="Z84" s="5">
        <v>162.44</v>
      </c>
      <c r="AA84" s="8">
        <v>0</v>
      </c>
      <c r="AB84" s="5">
        <v>31.189</v>
      </c>
      <c r="AC84" s="5">
        <v>28.975999999999999</v>
      </c>
      <c r="AD84" s="5">
        <v>28.975999999999999</v>
      </c>
      <c r="AE84" s="5">
        <v>28.975999999999999</v>
      </c>
      <c r="AF84" s="5">
        <v>48.164000000000001</v>
      </c>
      <c r="AG84" s="5">
        <v>47.972000000000001</v>
      </c>
      <c r="AH84" s="5">
        <v>39.411999999999999</v>
      </c>
      <c r="AI84" s="5">
        <v>28.411999999999999</v>
      </c>
      <c r="AJ84" s="5">
        <v>70.608999999999995</v>
      </c>
      <c r="AK84" s="5">
        <v>70.608999999999995</v>
      </c>
      <c r="AL84" s="5">
        <v>40.634999999999998</v>
      </c>
      <c r="AM84" s="5">
        <v>55.2</v>
      </c>
      <c r="AN84" s="5">
        <v>45.24</v>
      </c>
      <c r="AO84" s="5">
        <v>45.24</v>
      </c>
      <c r="AP84" s="5">
        <v>45.24</v>
      </c>
      <c r="AQ84" s="5">
        <v>35.64</v>
      </c>
      <c r="AR84" s="5">
        <v>16.440000000000001</v>
      </c>
      <c r="AS84" s="5">
        <v>7.3360000000000003</v>
      </c>
      <c r="AT84" s="5">
        <v>7.3360000000000003</v>
      </c>
    </row>
    <row r="85" spans="1:46" x14ac:dyDescent="0.25">
      <c r="A85" s="4" t="s">
        <v>206</v>
      </c>
      <c r="B85" s="4" t="s">
        <v>207</v>
      </c>
      <c r="C85" s="4" t="s">
        <v>246</v>
      </c>
      <c r="D85" s="4" t="s">
        <v>247</v>
      </c>
      <c r="E85" s="4" t="s">
        <v>248</v>
      </c>
      <c r="F85" s="4" t="s">
        <v>201</v>
      </c>
      <c r="G85" s="4" t="s">
        <v>93</v>
      </c>
      <c r="H85" s="4" t="s">
        <v>268</v>
      </c>
      <c r="I85" s="5">
        <v>3097.3879999999999</v>
      </c>
      <c r="J85" s="5">
        <v>3130.3359999999998</v>
      </c>
      <c r="K85" s="5">
        <v>3428.9859999999999</v>
      </c>
      <c r="L85" s="5">
        <v>3217.79</v>
      </c>
      <c r="M85" s="5">
        <v>3433.2829999999999</v>
      </c>
      <c r="N85" s="5">
        <v>3084.6170000000002</v>
      </c>
      <c r="O85" s="5">
        <v>3410.39</v>
      </c>
      <c r="P85" s="5">
        <v>3258.9259999999999</v>
      </c>
      <c r="Q85" s="5">
        <v>2621.0970000000002</v>
      </c>
      <c r="R85" s="5">
        <v>2249.5059999999999</v>
      </c>
      <c r="S85" s="5">
        <v>2451.3850000000002</v>
      </c>
      <c r="T85" s="5">
        <v>2585.395</v>
      </c>
      <c r="U85" s="5">
        <v>2547.5880000000002</v>
      </c>
      <c r="V85" s="5">
        <v>2290.893</v>
      </c>
      <c r="W85" s="5">
        <v>3873.721</v>
      </c>
      <c r="X85" s="5">
        <v>3499.288</v>
      </c>
      <c r="Y85" s="5">
        <v>3284.4169999999999</v>
      </c>
      <c r="Z85" s="5">
        <v>3355.866</v>
      </c>
      <c r="AA85" s="5">
        <v>3214.8539999999998</v>
      </c>
      <c r="AB85" s="5">
        <v>3676.7510000000002</v>
      </c>
      <c r="AC85" s="5">
        <v>3459.3989999999999</v>
      </c>
      <c r="AD85" s="5">
        <v>3352.768</v>
      </c>
      <c r="AE85" s="5">
        <v>3336.5120000000002</v>
      </c>
      <c r="AF85" s="5">
        <v>2781.2260000000001</v>
      </c>
      <c r="AG85" s="5">
        <v>2921.7510000000002</v>
      </c>
      <c r="AH85" s="5">
        <v>2862.49</v>
      </c>
      <c r="AI85" s="5">
        <v>2706.4810000000002</v>
      </c>
      <c r="AJ85" s="5">
        <v>3319.0450000000001</v>
      </c>
      <c r="AK85" s="5">
        <v>3720.672</v>
      </c>
      <c r="AL85" s="5">
        <v>3517.3380000000002</v>
      </c>
      <c r="AM85" s="5">
        <v>4967.241</v>
      </c>
      <c r="AN85" s="5">
        <v>4684.4539999999997</v>
      </c>
      <c r="AO85" s="5">
        <v>4170.2700000000004</v>
      </c>
      <c r="AP85" s="5">
        <v>4592.3469999999998</v>
      </c>
      <c r="AQ85" s="5">
        <v>3730.663</v>
      </c>
      <c r="AR85" s="5">
        <v>3992.4479999999999</v>
      </c>
      <c r="AS85" s="5">
        <v>3757.7159999999999</v>
      </c>
      <c r="AT85" s="5">
        <v>4571.9380000000001</v>
      </c>
    </row>
    <row r="86" spans="1:46" x14ac:dyDescent="0.25">
      <c r="A86" s="4" t="s">
        <v>206</v>
      </c>
      <c r="B86" s="4" t="s">
        <v>207</v>
      </c>
      <c r="C86" s="4" t="s">
        <v>246</v>
      </c>
      <c r="D86" s="4" t="s">
        <v>247</v>
      </c>
      <c r="E86" s="4" t="s">
        <v>248</v>
      </c>
      <c r="F86" s="4" t="s">
        <v>201</v>
      </c>
      <c r="G86" s="4" t="s">
        <v>253</v>
      </c>
      <c r="H86" s="4" t="s">
        <v>268</v>
      </c>
      <c r="I86" s="5">
        <v>411.36799999999999</v>
      </c>
      <c r="J86" s="5">
        <v>342.78500000000003</v>
      </c>
      <c r="K86" s="5">
        <v>338.94799999999998</v>
      </c>
      <c r="L86" s="5">
        <v>458.18299999999999</v>
      </c>
      <c r="M86" s="5">
        <v>329.41800000000001</v>
      </c>
      <c r="N86" s="5">
        <v>205.08</v>
      </c>
      <c r="O86" s="5">
        <v>214.61699999999999</v>
      </c>
      <c r="P86" s="5">
        <v>359.541</v>
      </c>
      <c r="Q86" s="5">
        <v>391.37</v>
      </c>
      <c r="R86" s="5">
        <v>391.37</v>
      </c>
      <c r="S86" s="5">
        <v>381.50799999999998</v>
      </c>
      <c r="T86" s="5">
        <v>367.02800000000002</v>
      </c>
      <c r="U86" s="5">
        <v>354.31099999999998</v>
      </c>
      <c r="V86" s="5">
        <v>130.31299999999999</v>
      </c>
      <c r="W86" s="5">
        <v>62.411000000000001</v>
      </c>
      <c r="X86" s="5">
        <v>40.685000000000002</v>
      </c>
      <c r="Y86" s="5">
        <v>40.685000000000002</v>
      </c>
      <c r="Z86" s="5">
        <v>40.685000000000002</v>
      </c>
      <c r="AA86" s="8">
        <v>0</v>
      </c>
      <c r="AB86" s="8">
        <v>0</v>
      </c>
      <c r="AC86" s="8">
        <v>0</v>
      </c>
      <c r="AD86" s="9">
        <v>0</v>
      </c>
      <c r="AE86" s="9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</row>
    <row r="87" spans="1:46" x14ac:dyDescent="0.25">
      <c r="A87" s="4" t="s">
        <v>206</v>
      </c>
      <c r="B87" s="4" t="s">
        <v>207</v>
      </c>
      <c r="C87" s="4" t="s">
        <v>246</v>
      </c>
      <c r="D87" s="4" t="s">
        <v>247</v>
      </c>
      <c r="E87" s="4" t="s">
        <v>248</v>
      </c>
      <c r="F87" s="4" t="s">
        <v>202</v>
      </c>
      <c r="G87" s="4" t="s">
        <v>93</v>
      </c>
      <c r="H87" s="4" t="s">
        <v>268</v>
      </c>
      <c r="I87" s="5">
        <v>17963.984</v>
      </c>
      <c r="J87" s="5">
        <v>15882.588</v>
      </c>
      <c r="K87" s="5">
        <v>19614.507000000001</v>
      </c>
      <c r="L87" s="5">
        <v>21539.331999999999</v>
      </c>
      <c r="M87" s="5">
        <v>20915.217000000001</v>
      </c>
      <c r="N87" s="5">
        <v>22109.901999999998</v>
      </c>
      <c r="O87" s="5">
        <v>20900.242999999999</v>
      </c>
      <c r="P87" s="5">
        <v>18337.402999999998</v>
      </c>
      <c r="Q87" s="5">
        <v>18399.682000000001</v>
      </c>
      <c r="R87" s="5">
        <v>18902.025000000001</v>
      </c>
      <c r="S87" s="5">
        <v>18275.578000000001</v>
      </c>
      <c r="T87" s="5">
        <v>19333.843000000001</v>
      </c>
      <c r="U87" s="5">
        <v>19254.243999999999</v>
      </c>
      <c r="V87" s="5">
        <v>20997.558000000001</v>
      </c>
      <c r="W87" s="5">
        <v>25351.952000000001</v>
      </c>
      <c r="X87" s="5">
        <v>26784.018</v>
      </c>
      <c r="Y87" s="5">
        <v>24769.942999999999</v>
      </c>
      <c r="Z87" s="5">
        <v>24031.037</v>
      </c>
      <c r="AA87" s="5">
        <v>22207.891</v>
      </c>
      <c r="AB87" s="5">
        <v>21519.483</v>
      </c>
      <c r="AC87" s="5">
        <v>20699.462</v>
      </c>
      <c r="AD87" s="5">
        <v>19027.166000000001</v>
      </c>
      <c r="AE87" s="5">
        <v>19574.585999999999</v>
      </c>
      <c r="AF87" s="5">
        <v>19254.946</v>
      </c>
      <c r="AG87" s="5">
        <v>18954.999</v>
      </c>
      <c r="AH87" s="5">
        <v>20722.861000000001</v>
      </c>
      <c r="AI87" s="5">
        <v>23032.736000000001</v>
      </c>
      <c r="AJ87" s="5">
        <v>23805.464</v>
      </c>
      <c r="AK87" s="5">
        <v>25301.385999999999</v>
      </c>
      <c r="AL87" s="5">
        <v>24049.167000000001</v>
      </c>
      <c r="AM87" s="5">
        <v>22566.291000000001</v>
      </c>
      <c r="AN87" s="5">
        <v>18583.683000000001</v>
      </c>
      <c r="AO87" s="5">
        <v>17603.989000000001</v>
      </c>
      <c r="AP87" s="5">
        <v>16224.984</v>
      </c>
      <c r="AQ87" s="5">
        <v>15293.950999999999</v>
      </c>
      <c r="AR87" s="5">
        <v>16077.46</v>
      </c>
      <c r="AS87" s="5">
        <v>16286.861000000001</v>
      </c>
      <c r="AT87" s="5">
        <v>19052.558000000001</v>
      </c>
    </row>
    <row r="88" spans="1:46" x14ac:dyDescent="0.25">
      <c r="A88" s="4" t="s">
        <v>206</v>
      </c>
      <c r="B88" s="4" t="s">
        <v>207</v>
      </c>
      <c r="C88" s="4" t="s">
        <v>246</v>
      </c>
      <c r="D88" s="4" t="s">
        <v>247</v>
      </c>
      <c r="E88" s="4" t="s">
        <v>248</v>
      </c>
      <c r="F88" s="4" t="s">
        <v>202</v>
      </c>
      <c r="G88" s="4" t="s">
        <v>113</v>
      </c>
      <c r="H88" s="4" t="s">
        <v>268</v>
      </c>
      <c r="I88" s="5">
        <v>950.41399999999999</v>
      </c>
      <c r="J88" s="5">
        <v>920.29499999999996</v>
      </c>
      <c r="K88" s="5">
        <v>933.43</v>
      </c>
      <c r="L88" s="5">
        <v>1097.1410000000001</v>
      </c>
      <c r="M88" s="5">
        <v>1166.356</v>
      </c>
      <c r="N88" s="5">
        <v>1195.1300000000001</v>
      </c>
      <c r="O88" s="5">
        <v>1337.134</v>
      </c>
      <c r="P88" s="5">
        <v>1061.403</v>
      </c>
      <c r="Q88" s="5">
        <v>1040.701</v>
      </c>
      <c r="R88" s="5">
        <v>883.38800000000003</v>
      </c>
      <c r="S88" s="5">
        <v>913.88900000000001</v>
      </c>
      <c r="T88" s="5">
        <v>1014.119</v>
      </c>
      <c r="U88" s="5">
        <v>827.39300000000003</v>
      </c>
      <c r="V88" s="5">
        <v>767.21</v>
      </c>
      <c r="W88" s="5">
        <v>896.19100000000003</v>
      </c>
      <c r="X88" s="5">
        <v>1211.7729999999999</v>
      </c>
      <c r="Y88" s="5">
        <v>1372.527</v>
      </c>
      <c r="Z88" s="5">
        <v>1222.6759999999999</v>
      </c>
      <c r="AA88" s="5">
        <v>1051.672</v>
      </c>
      <c r="AB88" s="5">
        <v>898.42600000000004</v>
      </c>
      <c r="AC88" s="5">
        <v>935.12400000000002</v>
      </c>
      <c r="AD88" s="5">
        <v>952.06600000000003</v>
      </c>
      <c r="AE88" s="5">
        <v>857.16399999999999</v>
      </c>
      <c r="AF88" s="5">
        <v>826.56399999999996</v>
      </c>
      <c r="AG88" s="5">
        <v>959.19100000000003</v>
      </c>
      <c r="AH88" s="5">
        <v>1008.501</v>
      </c>
      <c r="AI88" s="5">
        <v>1015.552</v>
      </c>
      <c r="AJ88" s="5">
        <v>1169.607</v>
      </c>
      <c r="AK88" s="5">
        <v>1580.7239999999999</v>
      </c>
      <c r="AL88" s="5">
        <v>1626.73</v>
      </c>
      <c r="AM88" s="5">
        <v>1451.7940000000001</v>
      </c>
      <c r="AN88" s="5">
        <v>1404.846</v>
      </c>
      <c r="AO88" s="5">
        <v>1152.655</v>
      </c>
      <c r="AP88" s="5">
        <v>1090.423</v>
      </c>
      <c r="AQ88" s="5">
        <v>911.91</v>
      </c>
      <c r="AR88" s="5">
        <v>992.37800000000004</v>
      </c>
      <c r="AS88" s="5">
        <v>1035.905</v>
      </c>
      <c r="AT88" s="5">
        <v>860.07500000000005</v>
      </c>
    </row>
    <row r="89" spans="1:46" x14ac:dyDescent="0.25">
      <c r="A89" s="4" t="s">
        <v>206</v>
      </c>
      <c r="B89" s="4" t="s">
        <v>207</v>
      </c>
      <c r="C89" s="4" t="s">
        <v>246</v>
      </c>
      <c r="D89" s="4" t="s">
        <v>247</v>
      </c>
      <c r="E89" s="4" t="s">
        <v>248</v>
      </c>
      <c r="F89" s="4" t="s">
        <v>202</v>
      </c>
      <c r="G89" s="4" t="s">
        <v>116</v>
      </c>
      <c r="H89" s="4" t="s">
        <v>268</v>
      </c>
      <c r="I89" s="5">
        <v>2305.09</v>
      </c>
      <c r="J89" s="5">
        <v>2244.5540000000001</v>
      </c>
      <c r="K89" s="5">
        <v>2346.92</v>
      </c>
      <c r="L89" s="5">
        <v>2298.0160000000001</v>
      </c>
      <c r="M89" s="5">
        <v>2596.6030000000001</v>
      </c>
      <c r="N89" s="5">
        <v>2164.2779999999998</v>
      </c>
      <c r="O89" s="5">
        <v>2138.71</v>
      </c>
      <c r="P89" s="5">
        <v>1948.992</v>
      </c>
      <c r="Q89" s="5">
        <v>1895.02</v>
      </c>
      <c r="R89" s="5">
        <v>2099.2249999999999</v>
      </c>
      <c r="S89" s="5">
        <v>2138.152</v>
      </c>
      <c r="T89" s="5">
        <v>2178.1849999999999</v>
      </c>
      <c r="U89" s="5">
        <v>2217.5059999999999</v>
      </c>
      <c r="V89" s="5">
        <v>2646.9810000000002</v>
      </c>
      <c r="W89" s="5">
        <v>2680.8209999999999</v>
      </c>
      <c r="X89" s="5">
        <v>2644.61</v>
      </c>
      <c r="Y89" s="5">
        <v>3069.0569999999998</v>
      </c>
      <c r="Z89" s="5">
        <v>3121.8029999999999</v>
      </c>
      <c r="AA89" s="5">
        <v>2631.424</v>
      </c>
      <c r="AB89" s="5">
        <v>2354.2130000000002</v>
      </c>
      <c r="AC89" s="5">
        <v>2422.4630000000002</v>
      </c>
      <c r="AD89" s="5">
        <v>2174.335</v>
      </c>
      <c r="AE89" s="5">
        <v>2047.829</v>
      </c>
      <c r="AF89" s="5">
        <v>2090.692</v>
      </c>
      <c r="AG89" s="5">
        <v>2207.134</v>
      </c>
      <c r="AH89" s="5">
        <v>2211.1410000000001</v>
      </c>
      <c r="AI89" s="5">
        <v>2195.0479999999998</v>
      </c>
      <c r="AJ89" s="5">
        <v>2258.4209999999998</v>
      </c>
      <c r="AK89" s="5">
        <v>2273.7139999999999</v>
      </c>
      <c r="AL89" s="5">
        <v>1821.973</v>
      </c>
      <c r="AM89" s="5">
        <v>1765.934</v>
      </c>
      <c r="AN89" s="5">
        <v>1866.395</v>
      </c>
      <c r="AO89" s="5">
        <v>1447.4190000000001</v>
      </c>
      <c r="AP89" s="5">
        <v>1422.6690000000001</v>
      </c>
      <c r="AQ89" s="5">
        <v>1496.3420000000001</v>
      </c>
      <c r="AR89" s="5">
        <v>1335.0409999999999</v>
      </c>
      <c r="AS89" s="5">
        <v>1451.5229999999999</v>
      </c>
      <c r="AT89" s="5">
        <v>1403.5889999999999</v>
      </c>
    </row>
    <row r="90" spans="1:46" x14ac:dyDescent="0.25">
      <c r="A90" s="4" t="s">
        <v>206</v>
      </c>
      <c r="B90" s="4" t="s">
        <v>207</v>
      </c>
      <c r="C90" s="4" t="s">
        <v>246</v>
      </c>
      <c r="D90" s="4" t="s">
        <v>247</v>
      </c>
      <c r="E90" s="4" t="s">
        <v>248</v>
      </c>
      <c r="F90" s="4" t="s">
        <v>202</v>
      </c>
      <c r="G90" s="4" t="s">
        <v>103</v>
      </c>
      <c r="H90" s="4" t="s">
        <v>268</v>
      </c>
      <c r="I90" s="5">
        <v>34153.158000000003</v>
      </c>
      <c r="J90" s="5">
        <v>33139.964</v>
      </c>
      <c r="K90" s="5">
        <v>36455.067999999999</v>
      </c>
      <c r="L90" s="5">
        <v>37252.762000000002</v>
      </c>
      <c r="M90" s="5">
        <v>35754.027999999998</v>
      </c>
      <c r="N90" s="5">
        <v>36903.423000000003</v>
      </c>
      <c r="O90" s="5">
        <v>35228.688000000002</v>
      </c>
      <c r="P90" s="5">
        <v>34111.603999999999</v>
      </c>
      <c r="Q90" s="5">
        <v>33939.383999999998</v>
      </c>
      <c r="R90" s="5">
        <v>33950.15</v>
      </c>
      <c r="S90" s="5">
        <v>34617.529000000002</v>
      </c>
      <c r="T90" s="5">
        <v>36560.023999999998</v>
      </c>
      <c r="U90" s="5">
        <v>36287.601000000002</v>
      </c>
      <c r="V90" s="5">
        <v>35382.550999999999</v>
      </c>
      <c r="W90" s="5">
        <v>41188.254000000001</v>
      </c>
      <c r="X90" s="5">
        <v>45564.726000000002</v>
      </c>
      <c r="Y90" s="5">
        <v>43019.79</v>
      </c>
      <c r="Z90" s="5">
        <v>45473.322</v>
      </c>
      <c r="AA90" s="5">
        <v>44047.881999999998</v>
      </c>
      <c r="AB90" s="5">
        <v>40474.955999999998</v>
      </c>
      <c r="AC90" s="5">
        <v>37879.303999999996</v>
      </c>
      <c r="AD90" s="5">
        <v>36947.902999999998</v>
      </c>
      <c r="AE90" s="5">
        <v>37232.328999999998</v>
      </c>
      <c r="AF90" s="5">
        <v>36500.550999999999</v>
      </c>
      <c r="AG90" s="5">
        <v>37725.321000000004</v>
      </c>
      <c r="AH90" s="5">
        <v>40847.480000000003</v>
      </c>
      <c r="AI90" s="5">
        <v>41573.468000000001</v>
      </c>
      <c r="AJ90" s="5">
        <v>42035.372000000003</v>
      </c>
      <c r="AK90" s="5">
        <v>44835.557000000001</v>
      </c>
      <c r="AL90" s="5">
        <v>41522.400999999998</v>
      </c>
      <c r="AM90" s="5">
        <v>38522.67</v>
      </c>
      <c r="AN90" s="5">
        <v>33530.050000000003</v>
      </c>
      <c r="AO90" s="5">
        <v>30194.932000000001</v>
      </c>
      <c r="AP90" s="5">
        <v>28618.454000000002</v>
      </c>
      <c r="AQ90" s="5">
        <v>27534.937000000002</v>
      </c>
      <c r="AR90" s="5">
        <v>25015.335999999999</v>
      </c>
      <c r="AS90" s="5">
        <v>25565.957999999999</v>
      </c>
      <c r="AT90" s="5">
        <v>27731.352999999999</v>
      </c>
    </row>
    <row r="91" spans="1:46" x14ac:dyDescent="0.25">
      <c r="A91" s="4" t="s">
        <v>206</v>
      </c>
      <c r="B91" s="4" t="s">
        <v>207</v>
      </c>
      <c r="C91" s="4" t="s">
        <v>246</v>
      </c>
      <c r="D91" s="4" t="s">
        <v>254</v>
      </c>
      <c r="E91" s="4" t="s">
        <v>255</v>
      </c>
      <c r="F91" s="4" t="s">
        <v>203</v>
      </c>
      <c r="G91" s="4" t="s">
        <v>93</v>
      </c>
      <c r="H91" s="4" t="s">
        <v>268</v>
      </c>
      <c r="I91" s="5">
        <v>55.002000000000002</v>
      </c>
      <c r="J91" s="5">
        <v>879.88300000000004</v>
      </c>
      <c r="K91" s="5">
        <v>829.59900000000005</v>
      </c>
      <c r="L91" s="5">
        <v>712.91300000000001</v>
      </c>
      <c r="M91" s="5">
        <v>378.14100000000002</v>
      </c>
      <c r="N91" s="5">
        <v>166.3</v>
      </c>
      <c r="O91" s="5">
        <v>221.73400000000001</v>
      </c>
      <c r="P91" s="5">
        <v>332.601</v>
      </c>
      <c r="Q91" s="5">
        <v>285.96199999999999</v>
      </c>
      <c r="R91" s="8">
        <v>0</v>
      </c>
      <c r="S91" s="5">
        <v>126.01600000000001</v>
      </c>
      <c r="T91" s="5">
        <v>210.02600000000001</v>
      </c>
      <c r="U91" s="5">
        <v>296.65899999999999</v>
      </c>
      <c r="V91" s="5">
        <v>169.13399999999999</v>
      </c>
      <c r="W91" s="5">
        <v>282.68</v>
      </c>
      <c r="X91" s="8">
        <v>0</v>
      </c>
      <c r="Y91" s="8">
        <v>0</v>
      </c>
      <c r="Z91" s="8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5">
        <v>34.171999999999997</v>
      </c>
      <c r="AK91" s="5">
        <v>34.171999999999997</v>
      </c>
      <c r="AL91" s="8">
        <v>0</v>
      </c>
      <c r="AM91" s="5">
        <v>32.381999999999998</v>
      </c>
      <c r="AN91" s="5">
        <v>32.381999999999998</v>
      </c>
      <c r="AO91" s="8">
        <v>0</v>
      </c>
      <c r="AP91" s="8">
        <v>0</v>
      </c>
      <c r="AQ91" s="8">
        <v>0</v>
      </c>
      <c r="AR91" s="9">
        <v>0</v>
      </c>
      <c r="AS91" s="9">
        <v>0</v>
      </c>
      <c r="AT91" s="9">
        <v>0</v>
      </c>
    </row>
    <row r="92" spans="1:46" x14ac:dyDescent="0.25">
      <c r="A92" s="4" t="s">
        <v>206</v>
      </c>
      <c r="B92" s="4" t="s">
        <v>207</v>
      </c>
      <c r="C92" s="4" t="s">
        <v>246</v>
      </c>
      <c r="D92" s="4" t="s">
        <v>254</v>
      </c>
      <c r="E92" s="4" t="s">
        <v>255</v>
      </c>
      <c r="F92" s="4" t="s">
        <v>203</v>
      </c>
      <c r="G92" s="4" t="s">
        <v>138</v>
      </c>
      <c r="H92" s="4" t="s">
        <v>268</v>
      </c>
      <c r="I92" s="5">
        <v>179.18299999999999</v>
      </c>
      <c r="J92" s="5">
        <v>117.53700000000001</v>
      </c>
      <c r="K92" s="5">
        <v>170.369</v>
      </c>
      <c r="L92" s="5">
        <v>216.09700000000001</v>
      </c>
      <c r="M92" s="5">
        <v>176.244</v>
      </c>
      <c r="N92" s="5">
        <v>121.483</v>
      </c>
      <c r="O92" s="5">
        <v>121.483</v>
      </c>
      <c r="P92" s="5">
        <v>70.710999999999999</v>
      </c>
      <c r="Q92" s="5">
        <v>53.823</v>
      </c>
      <c r="R92" s="5">
        <v>34.606999999999999</v>
      </c>
      <c r="S92" s="5">
        <v>69.241</v>
      </c>
      <c r="T92" s="5">
        <v>69.241</v>
      </c>
      <c r="U92" s="5">
        <v>69.241</v>
      </c>
      <c r="V92" s="5">
        <v>69.241</v>
      </c>
      <c r="W92" s="5">
        <v>69.016000000000005</v>
      </c>
      <c r="X92" s="5">
        <v>63.905999999999999</v>
      </c>
      <c r="Y92" s="5">
        <v>62.438000000000002</v>
      </c>
      <c r="Z92" s="5">
        <v>97.716999999999999</v>
      </c>
      <c r="AA92" s="5">
        <v>66.013999999999996</v>
      </c>
      <c r="AB92" s="5">
        <v>63.485999999999997</v>
      </c>
      <c r="AC92" s="5">
        <v>63.485999999999997</v>
      </c>
      <c r="AD92" s="5">
        <v>64.207999999999998</v>
      </c>
      <c r="AE92" s="5">
        <v>50.093000000000004</v>
      </c>
      <c r="AF92" s="5">
        <v>44.655999999999999</v>
      </c>
      <c r="AG92" s="5">
        <v>48.500999999999998</v>
      </c>
      <c r="AH92" s="5">
        <v>45.341000000000001</v>
      </c>
      <c r="AI92" s="5">
        <v>41.436999999999998</v>
      </c>
      <c r="AJ92" s="5">
        <v>36.229999999999997</v>
      </c>
      <c r="AK92" s="5">
        <v>4.9669999999999996</v>
      </c>
      <c r="AL92" s="5">
        <v>5.54</v>
      </c>
      <c r="AM92" s="5">
        <v>5.54</v>
      </c>
      <c r="AN92" s="5">
        <v>4.4320000000000004</v>
      </c>
      <c r="AO92" s="5">
        <v>4.4320000000000004</v>
      </c>
      <c r="AP92" s="5">
        <v>36.863</v>
      </c>
      <c r="AQ92" s="5">
        <v>36.904000000000003</v>
      </c>
      <c r="AR92" s="5">
        <v>5.0430000000000001</v>
      </c>
      <c r="AS92" s="5">
        <v>33.389000000000003</v>
      </c>
      <c r="AT92" s="5">
        <v>33.874000000000002</v>
      </c>
    </row>
    <row r="93" spans="1:46" x14ac:dyDescent="0.25">
      <c r="A93" s="4" t="s">
        <v>206</v>
      </c>
      <c r="B93" s="4" t="s">
        <v>207</v>
      </c>
      <c r="C93" s="4" t="s">
        <v>246</v>
      </c>
      <c r="D93" s="4" t="s">
        <v>254</v>
      </c>
      <c r="E93" s="4" t="s">
        <v>255</v>
      </c>
      <c r="F93" s="4" t="s">
        <v>203</v>
      </c>
      <c r="G93" s="4" t="s">
        <v>140</v>
      </c>
      <c r="H93" s="4" t="s">
        <v>268</v>
      </c>
      <c r="I93" s="5">
        <v>19.347999999999999</v>
      </c>
      <c r="J93" s="5">
        <v>25.597999999999999</v>
      </c>
      <c r="K93" s="5">
        <v>25.597999999999999</v>
      </c>
      <c r="L93" s="5">
        <v>25.597999999999999</v>
      </c>
      <c r="M93" s="5">
        <v>23.984999999999999</v>
      </c>
      <c r="N93" s="5">
        <v>23.984999999999999</v>
      </c>
      <c r="O93" s="5">
        <v>23.984999999999999</v>
      </c>
      <c r="P93" s="5">
        <v>17.018999999999998</v>
      </c>
      <c r="Q93" s="5">
        <v>16.779</v>
      </c>
      <c r="R93" s="5">
        <v>16.779</v>
      </c>
      <c r="S93" s="5">
        <v>16.779</v>
      </c>
      <c r="T93" s="5">
        <v>16.779</v>
      </c>
      <c r="U93" s="5">
        <v>16.779</v>
      </c>
      <c r="V93" s="5">
        <v>16.779</v>
      </c>
      <c r="W93" s="5">
        <v>16.779</v>
      </c>
      <c r="X93" s="8">
        <v>0</v>
      </c>
      <c r="Y93" s="8">
        <v>0</v>
      </c>
      <c r="Z93" s="8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</row>
    <row r="94" spans="1:46" x14ac:dyDescent="0.25">
      <c r="A94" s="4" t="s">
        <v>206</v>
      </c>
      <c r="B94" s="4" t="s">
        <v>207</v>
      </c>
      <c r="C94" s="4" t="s">
        <v>246</v>
      </c>
      <c r="D94" s="4" t="s">
        <v>254</v>
      </c>
      <c r="E94" s="4" t="s">
        <v>255</v>
      </c>
      <c r="F94" s="4" t="s">
        <v>195</v>
      </c>
      <c r="G94" s="4" t="s">
        <v>93</v>
      </c>
      <c r="H94" s="4" t="s">
        <v>268</v>
      </c>
      <c r="I94" s="5">
        <v>13400.819</v>
      </c>
      <c r="J94" s="5">
        <v>13686.012000000001</v>
      </c>
      <c r="K94" s="5">
        <v>14636.39</v>
      </c>
      <c r="L94" s="5">
        <v>15329.708000000001</v>
      </c>
      <c r="M94" s="5">
        <v>12417.816999999999</v>
      </c>
      <c r="N94" s="5">
        <v>13987.464</v>
      </c>
      <c r="O94" s="5">
        <v>12598.739</v>
      </c>
      <c r="P94" s="5">
        <v>11603.433000000001</v>
      </c>
      <c r="Q94" s="5">
        <v>11434.373</v>
      </c>
      <c r="R94" s="5">
        <v>10866.564</v>
      </c>
      <c r="S94" s="5">
        <v>9730.0969999999998</v>
      </c>
      <c r="T94" s="5">
        <v>10578.048000000001</v>
      </c>
      <c r="U94" s="5">
        <v>12125.125</v>
      </c>
      <c r="V94" s="5">
        <v>12427.621999999999</v>
      </c>
      <c r="W94" s="5">
        <v>15635.668</v>
      </c>
      <c r="X94" s="5">
        <v>12705.323</v>
      </c>
      <c r="Y94" s="5">
        <v>10626.484</v>
      </c>
      <c r="Z94" s="5">
        <v>9685.4179999999997</v>
      </c>
      <c r="AA94" s="5">
        <v>11184.950999999999</v>
      </c>
      <c r="AB94" s="5">
        <v>9956.1020000000008</v>
      </c>
      <c r="AC94" s="5">
        <v>10192.794</v>
      </c>
      <c r="AD94" s="5">
        <v>10141.352999999999</v>
      </c>
      <c r="AE94" s="5">
        <v>10266.495000000001</v>
      </c>
      <c r="AF94" s="5">
        <v>9898.8649999999998</v>
      </c>
      <c r="AG94" s="5">
        <v>10948.700999999999</v>
      </c>
      <c r="AH94" s="5">
        <v>13349.78</v>
      </c>
      <c r="AI94" s="5">
        <v>15533.482</v>
      </c>
      <c r="AJ94" s="5">
        <v>13056.184999999999</v>
      </c>
      <c r="AK94" s="5">
        <v>15260.731</v>
      </c>
      <c r="AL94" s="5">
        <v>11448.968999999999</v>
      </c>
      <c r="AM94" s="5">
        <v>12123.54</v>
      </c>
      <c r="AN94" s="5">
        <v>12165.21</v>
      </c>
      <c r="AO94" s="5">
        <v>11330.539000000001</v>
      </c>
      <c r="AP94" s="5">
        <v>12910.263999999999</v>
      </c>
      <c r="AQ94" s="5">
        <v>11237.643</v>
      </c>
      <c r="AR94" s="5">
        <v>11152.754999999999</v>
      </c>
      <c r="AS94" s="5">
        <v>10769.771000000001</v>
      </c>
      <c r="AT94" s="5">
        <v>11943.286</v>
      </c>
    </row>
    <row r="95" spans="1:46" x14ac:dyDescent="0.25">
      <c r="A95" s="4" t="s">
        <v>206</v>
      </c>
      <c r="B95" s="4" t="s">
        <v>207</v>
      </c>
      <c r="C95" s="4" t="s">
        <v>246</v>
      </c>
      <c r="D95" s="4" t="s">
        <v>254</v>
      </c>
      <c r="E95" s="4" t="s">
        <v>255</v>
      </c>
      <c r="F95" s="4" t="s">
        <v>195</v>
      </c>
      <c r="G95" s="4" t="s">
        <v>138</v>
      </c>
      <c r="H95" s="4" t="s">
        <v>268</v>
      </c>
      <c r="I95" s="5">
        <v>452.64299999999997</v>
      </c>
      <c r="J95" s="5">
        <v>748.15499999999997</v>
      </c>
      <c r="K95" s="5">
        <v>547.00400000000002</v>
      </c>
      <c r="L95" s="5">
        <v>955.06500000000005</v>
      </c>
      <c r="M95" s="5">
        <v>1112.4770000000001</v>
      </c>
      <c r="N95" s="5">
        <v>1073.654</v>
      </c>
      <c r="O95" s="5">
        <v>1406.3</v>
      </c>
      <c r="P95" s="5">
        <v>1107.9749999999999</v>
      </c>
      <c r="Q95" s="5">
        <v>1000.29</v>
      </c>
      <c r="R95" s="5">
        <v>1047.2560000000001</v>
      </c>
      <c r="S95" s="5">
        <v>1190.807</v>
      </c>
      <c r="T95" s="5">
        <v>1217.5260000000001</v>
      </c>
      <c r="U95" s="5">
        <v>1322.69</v>
      </c>
      <c r="V95" s="5">
        <v>1072.3420000000001</v>
      </c>
      <c r="W95" s="5">
        <v>1347.4559999999999</v>
      </c>
      <c r="X95" s="5">
        <v>1169.883</v>
      </c>
      <c r="Y95" s="5">
        <v>899.96699999999998</v>
      </c>
      <c r="Z95" s="5">
        <v>838.71</v>
      </c>
      <c r="AA95" s="5">
        <v>807.447</v>
      </c>
      <c r="AB95" s="5">
        <v>1029.1020000000001</v>
      </c>
      <c r="AC95" s="5">
        <v>964.95299999999997</v>
      </c>
      <c r="AD95" s="5">
        <v>1128.9549999999999</v>
      </c>
      <c r="AE95" s="5">
        <v>1206.252</v>
      </c>
      <c r="AF95" s="5">
        <v>1209.162</v>
      </c>
      <c r="AG95" s="5">
        <v>944.33699999999999</v>
      </c>
      <c r="AH95" s="5">
        <v>1527.337</v>
      </c>
      <c r="AI95" s="5">
        <v>1332.663</v>
      </c>
      <c r="AJ95" s="5">
        <v>1234.1179999999999</v>
      </c>
      <c r="AK95" s="5">
        <v>1078.146</v>
      </c>
      <c r="AL95" s="5">
        <v>949.23400000000004</v>
      </c>
      <c r="AM95" s="5">
        <v>1418.875</v>
      </c>
      <c r="AN95" s="5">
        <v>1673.258</v>
      </c>
      <c r="AO95" s="5">
        <v>1630.1880000000001</v>
      </c>
      <c r="AP95" s="5">
        <v>1532.623</v>
      </c>
      <c r="AQ95" s="5">
        <v>1532.3589999999999</v>
      </c>
      <c r="AR95" s="5">
        <v>1417.5940000000001</v>
      </c>
      <c r="AS95" s="5">
        <v>1136.24</v>
      </c>
      <c r="AT95" s="5">
        <v>1193.941</v>
      </c>
    </row>
    <row r="96" spans="1:46" x14ac:dyDescent="0.25">
      <c r="A96" s="4" t="s">
        <v>206</v>
      </c>
      <c r="B96" s="4" t="s">
        <v>207</v>
      </c>
      <c r="C96" s="4" t="s">
        <v>246</v>
      </c>
      <c r="D96" s="4" t="s">
        <v>254</v>
      </c>
      <c r="E96" s="4" t="s">
        <v>255</v>
      </c>
      <c r="F96" s="4" t="s">
        <v>195</v>
      </c>
      <c r="G96" s="4" t="s">
        <v>140</v>
      </c>
      <c r="H96" s="4" t="s">
        <v>268</v>
      </c>
      <c r="I96" s="5">
        <v>1100.55</v>
      </c>
      <c r="J96" s="5">
        <v>1329.624</v>
      </c>
      <c r="K96" s="5">
        <v>1059.56</v>
      </c>
      <c r="L96" s="5">
        <v>2263.3240000000001</v>
      </c>
      <c r="M96" s="5">
        <v>1348.5730000000001</v>
      </c>
      <c r="N96" s="5">
        <v>1110.549</v>
      </c>
      <c r="O96" s="5">
        <v>1663.704</v>
      </c>
      <c r="P96" s="5">
        <v>1837.171</v>
      </c>
      <c r="Q96" s="5">
        <v>2143.31</v>
      </c>
      <c r="R96" s="5">
        <v>1627.1410000000001</v>
      </c>
      <c r="S96" s="5">
        <v>1499.4169999999999</v>
      </c>
      <c r="T96" s="5">
        <v>1545.098</v>
      </c>
      <c r="U96" s="5">
        <v>1728.098</v>
      </c>
      <c r="V96" s="5">
        <v>1471.567</v>
      </c>
      <c r="W96" s="5">
        <v>2046.6769999999999</v>
      </c>
      <c r="X96" s="5">
        <v>2113.9169999999999</v>
      </c>
      <c r="Y96" s="5">
        <v>1573.798</v>
      </c>
      <c r="Z96" s="5">
        <v>2187.7289999999998</v>
      </c>
      <c r="AA96" s="5">
        <v>1839.963</v>
      </c>
      <c r="AB96" s="5">
        <v>1789.5709999999999</v>
      </c>
      <c r="AC96" s="5">
        <v>2044.6769999999999</v>
      </c>
      <c r="AD96" s="5">
        <v>1947.278</v>
      </c>
      <c r="AE96" s="5">
        <v>2113.6019999999999</v>
      </c>
      <c r="AF96" s="5">
        <v>2081.1260000000002</v>
      </c>
      <c r="AG96" s="5">
        <v>2050.828</v>
      </c>
      <c r="AH96" s="5">
        <v>2992.223</v>
      </c>
      <c r="AI96" s="5">
        <v>3176.8679999999999</v>
      </c>
      <c r="AJ96" s="5">
        <v>2793.2640000000001</v>
      </c>
      <c r="AK96" s="5">
        <v>2436.1219999999998</v>
      </c>
      <c r="AL96" s="5">
        <v>2330.6759999999999</v>
      </c>
      <c r="AM96" s="5">
        <v>2479.9360000000001</v>
      </c>
      <c r="AN96" s="5">
        <v>2112.5990000000002</v>
      </c>
      <c r="AO96" s="5">
        <v>2667.47</v>
      </c>
      <c r="AP96" s="5">
        <v>2513.2719999999999</v>
      </c>
      <c r="AQ96" s="5">
        <v>2523.3589999999999</v>
      </c>
      <c r="AR96" s="5">
        <v>2346.2460000000001</v>
      </c>
      <c r="AS96" s="5">
        <v>2093.44</v>
      </c>
      <c r="AT96" s="5">
        <v>2310.3159999999998</v>
      </c>
    </row>
    <row r="97" spans="1:46" x14ac:dyDescent="0.25">
      <c r="A97" s="4" t="s">
        <v>206</v>
      </c>
      <c r="B97" s="4" t="s">
        <v>207</v>
      </c>
      <c r="C97" s="4" t="s">
        <v>246</v>
      </c>
      <c r="D97" s="4" t="s">
        <v>254</v>
      </c>
      <c r="E97" s="4" t="s">
        <v>256</v>
      </c>
      <c r="F97" s="4" t="s">
        <v>195</v>
      </c>
      <c r="G97" s="4" t="s">
        <v>93</v>
      </c>
      <c r="H97" s="4" t="s">
        <v>268</v>
      </c>
      <c r="I97" s="5">
        <v>3008.386</v>
      </c>
      <c r="J97" s="5">
        <v>2592.9569999999999</v>
      </c>
      <c r="K97" s="5">
        <v>3081.413</v>
      </c>
      <c r="L97" s="5">
        <v>3163.5360000000001</v>
      </c>
      <c r="M97" s="5">
        <v>2778.2440000000001</v>
      </c>
      <c r="N97" s="5">
        <v>2566.6439999999998</v>
      </c>
      <c r="O97" s="5">
        <v>2430.1880000000001</v>
      </c>
      <c r="P97" s="5">
        <v>2349.413</v>
      </c>
      <c r="Q97" s="5">
        <v>2478.578</v>
      </c>
      <c r="R97" s="5">
        <v>2537.567</v>
      </c>
      <c r="S97" s="5">
        <v>2373.386</v>
      </c>
      <c r="T97" s="5">
        <v>2460.4989999999998</v>
      </c>
      <c r="U97" s="5">
        <v>2508.6680000000001</v>
      </c>
      <c r="V97" s="5">
        <v>2629.6320000000001</v>
      </c>
      <c r="W97" s="5">
        <v>3068.3980000000001</v>
      </c>
      <c r="X97" s="5">
        <v>2824.6790000000001</v>
      </c>
      <c r="Y97" s="5">
        <v>2682.38</v>
      </c>
      <c r="Z97" s="5">
        <v>2568.2359999999999</v>
      </c>
      <c r="AA97" s="5">
        <v>2559.3310000000001</v>
      </c>
      <c r="AB97" s="5">
        <v>2403.3690000000001</v>
      </c>
      <c r="AC97" s="5">
        <v>2449.5189999999998</v>
      </c>
      <c r="AD97" s="5">
        <v>2383.8560000000002</v>
      </c>
      <c r="AE97" s="5">
        <v>2505.105</v>
      </c>
      <c r="AF97" s="5">
        <v>2705.538</v>
      </c>
      <c r="AG97" s="5">
        <v>2937.556</v>
      </c>
      <c r="AH97" s="5">
        <v>3389.5230000000001</v>
      </c>
      <c r="AI97" s="5">
        <v>2913.123</v>
      </c>
      <c r="AJ97" s="5">
        <v>2687.6190000000001</v>
      </c>
      <c r="AK97" s="5">
        <v>2401.6959999999999</v>
      </c>
      <c r="AL97" s="5">
        <v>2421.5210000000002</v>
      </c>
      <c r="AM97" s="5">
        <v>2243.6790000000001</v>
      </c>
      <c r="AN97" s="5">
        <v>1798.796</v>
      </c>
      <c r="AO97" s="5">
        <v>2200.8119999999999</v>
      </c>
      <c r="AP97" s="5">
        <v>2111.89</v>
      </c>
      <c r="AQ97" s="5">
        <v>2001.693</v>
      </c>
      <c r="AR97" s="5">
        <v>1655.627</v>
      </c>
      <c r="AS97" s="5">
        <v>1744.491</v>
      </c>
      <c r="AT97" s="5">
        <v>1706.202</v>
      </c>
    </row>
    <row r="98" spans="1:46" x14ac:dyDescent="0.25">
      <c r="A98" s="4" t="s">
        <v>206</v>
      </c>
      <c r="B98" s="4" t="s">
        <v>207</v>
      </c>
      <c r="C98" s="4" t="s">
        <v>246</v>
      </c>
      <c r="D98" s="4" t="s">
        <v>254</v>
      </c>
      <c r="E98" s="4" t="s">
        <v>257</v>
      </c>
      <c r="F98" s="4" t="s">
        <v>203</v>
      </c>
      <c r="G98" s="4" t="s">
        <v>93</v>
      </c>
      <c r="H98" s="4" t="s">
        <v>268</v>
      </c>
      <c r="I98" s="5">
        <v>1563.9780000000001</v>
      </c>
      <c r="J98" s="5">
        <v>1395.43</v>
      </c>
      <c r="K98" s="5">
        <v>3171.8670000000002</v>
      </c>
      <c r="L98" s="5">
        <v>2917.3009999999999</v>
      </c>
      <c r="M98" s="5">
        <v>2242.364</v>
      </c>
      <c r="N98" s="5">
        <v>2708.28</v>
      </c>
      <c r="O98" s="5">
        <v>2452.0169999999998</v>
      </c>
      <c r="P98" s="5">
        <v>2513.9850000000001</v>
      </c>
      <c r="Q98" s="5">
        <v>2623.3679999999999</v>
      </c>
      <c r="R98" s="5">
        <v>2901.7950000000001</v>
      </c>
      <c r="S98" s="5">
        <v>2391.3780000000002</v>
      </c>
      <c r="T98" s="5">
        <v>2697.0549999999998</v>
      </c>
      <c r="U98" s="5">
        <v>3381.7829999999999</v>
      </c>
      <c r="V98" s="5">
        <v>4518.1959999999999</v>
      </c>
      <c r="W98" s="5">
        <v>4094.692</v>
      </c>
      <c r="X98" s="5">
        <v>4111.7690000000002</v>
      </c>
      <c r="Y98" s="5">
        <v>4272.5709999999999</v>
      </c>
      <c r="Z98" s="5">
        <v>3281.9490000000001</v>
      </c>
      <c r="AA98" s="5">
        <v>2683.6309999999999</v>
      </c>
      <c r="AB98" s="5">
        <v>2475.3290000000002</v>
      </c>
      <c r="AC98" s="5">
        <v>2438.8780000000002</v>
      </c>
      <c r="AD98" s="5">
        <v>3022.174</v>
      </c>
      <c r="AE98" s="5">
        <v>3023.1559999999999</v>
      </c>
      <c r="AF98" s="5">
        <v>3135.5639999999999</v>
      </c>
      <c r="AG98" s="5">
        <v>2998.6590000000001</v>
      </c>
      <c r="AH98" s="5">
        <v>3093.9140000000002</v>
      </c>
      <c r="AI98" s="5">
        <v>3336.221</v>
      </c>
      <c r="AJ98" s="5">
        <v>2856.587</v>
      </c>
      <c r="AK98" s="5">
        <v>2524.7170000000001</v>
      </c>
      <c r="AL98" s="5">
        <v>1877.6369999999999</v>
      </c>
      <c r="AM98" s="5">
        <v>1946.865</v>
      </c>
      <c r="AN98" s="5">
        <v>1467.8630000000001</v>
      </c>
      <c r="AO98" s="5">
        <v>1359.703</v>
      </c>
      <c r="AP98" s="5">
        <v>1081.6949999999999</v>
      </c>
      <c r="AQ98" s="5">
        <v>782.71600000000001</v>
      </c>
      <c r="AR98" s="5">
        <v>785.22299999999996</v>
      </c>
      <c r="AS98" s="5">
        <v>991.34699999999998</v>
      </c>
      <c r="AT98" s="5">
        <v>668.27</v>
      </c>
    </row>
    <row r="99" spans="1:46" x14ac:dyDescent="0.25">
      <c r="A99" s="4" t="s">
        <v>206</v>
      </c>
      <c r="B99" s="4" t="s">
        <v>207</v>
      </c>
      <c r="C99" s="4" t="s">
        <v>246</v>
      </c>
      <c r="D99" s="4" t="s">
        <v>254</v>
      </c>
      <c r="E99" s="4" t="s">
        <v>258</v>
      </c>
      <c r="F99" s="4" t="s">
        <v>203</v>
      </c>
      <c r="G99" s="4" t="s">
        <v>93</v>
      </c>
      <c r="H99" s="4" t="s">
        <v>268</v>
      </c>
      <c r="I99" s="5">
        <v>2218.6759999999999</v>
      </c>
      <c r="J99" s="5">
        <v>1666.3710000000001</v>
      </c>
      <c r="K99" s="5">
        <v>2079.799</v>
      </c>
      <c r="L99" s="5">
        <v>1203.384</v>
      </c>
      <c r="M99" s="5">
        <v>1087.9639999999999</v>
      </c>
      <c r="N99" s="5">
        <v>1359.0239999999999</v>
      </c>
      <c r="O99" s="5">
        <v>1585.739</v>
      </c>
      <c r="P99" s="5">
        <v>1351.644</v>
      </c>
      <c r="Q99" s="5">
        <v>1268.2650000000001</v>
      </c>
      <c r="R99" s="5">
        <v>991.45399999999995</v>
      </c>
      <c r="S99" s="5">
        <v>977.40099999999995</v>
      </c>
      <c r="T99" s="5">
        <v>765.44500000000005</v>
      </c>
      <c r="U99" s="5">
        <v>754.64400000000001</v>
      </c>
      <c r="V99" s="5">
        <v>571.42999999999995</v>
      </c>
      <c r="W99" s="5">
        <v>736.48500000000001</v>
      </c>
      <c r="X99" s="5">
        <v>768.21299999999997</v>
      </c>
      <c r="Y99" s="5">
        <v>818.94100000000003</v>
      </c>
      <c r="Z99" s="5">
        <v>543.69100000000003</v>
      </c>
      <c r="AA99" s="5">
        <v>600.59799999999996</v>
      </c>
      <c r="AB99" s="5">
        <v>785.053</v>
      </c>
      <c r="AC99" s="5">
        <v>1361.463</v>
      </c>
      <c r="AD99" s="5">
        <v>1770.673</v>
      </c>
      <c r="AE99" s="5">
        <v>1611.2929999999999</v>
      </c>
      <c r="AF99" s="5">
        <v>1042.223</v>
      </c>
      <c r="AG99" s="5">
        <v>1500.9269999999999</v>
      </c>
      <c r="AH99" s="5">
        <v>1292.3699999999999</v>
      </c>
      <c r="AI99" s="5">
        <v>2263.3609999999999</v>
      </c>
      <c r="AJ99" s="5">
        <v>2209.8850000000002</v>
      </c>
      <c r="AK99" s="5">
        <v>2347.279</v>
      </c>
      <c r="AL99" s="5">
        <v>3582.529</v>
      </c>
      <c r="AM99" s="5">
        <v>1898.9369999999999</v>
      </c>
      <c r="AN99" s="5">
        <v>2570.1</v>
      </c>
      <c r="AO99" s="5">
        <v>2408.7689999999998</v>
      </c>
      <c r="AP99" s="5">
        <v>3210.8879999999999</v>
      </c>
      <c r="AQ99" s="5">
        <v>2911.8939999999998</v>
      </c>
      <c r="AR99" s="5">
        <v>2684.5619999999999</v>
      </c>
      <c r="AS99" s="5">
        <v>2796.8389999999999</v>
      </c>
      <c r="AT99" s="5">
        <v>3581.8820000000001</v>
      </c>
    </row>
    <row r="100" spans="1:46" x14ac:dyDescent="0.25">
      <c r="A100" s="4" t="s">
        <v>206</v>
      </c>
      <c r="B100" s="4" t="s">
        <v>207</v>
      </c>
      <c r="C100" s="4" t="s">
        <v>246</v>
      </c>
      <c r="D100" s="4" t="s">
        <v>254</v>
      </c>
      <c r="E100" s="4" t="s">
        <v>258</v>
      </c>
      <c r="F100" s="4" t="s">
        <v>195</v>
      </c>
      <c r="G100" s="4" t="s">
        <v>93</v>
      </c>
      <c r="H100" s="4" t="s">
        <v>268</v>
      </c>
      <c r="I100" s="5">
        <v>619.87400000000002</v>
      </c>
      <c r="J100" s="5">
        <v>533.17200000000003</v>
      </c>
      <c r="K100" s="5">
        <v>469.21300000000002</v>
      </c>
      <c r="L100" s="5">
        <v>530.53200000000004</v>
      </c>
      <c r="M100" s="5">
        <v>650.65599999999995</v>
      </c>
      <c r="N100" s="5">
        <v>418.76299999999998</v>
      </c>
      <c r="O100" s="5">
        <v>431.4</v>
      </c>
      <c r="P100" s="5">
        <v>422.17</v>
      </c>
      <c r="Q100" s="5">
        <v>597.69200000000001</v>
      </c>
      <c r="R100" s="5">
        <v>841.178</v>
      </c>
      <c r="S100" s="5">
        <v>794.03599999999994</v>
      </c>
      <c r="T100" s="5">
        <v>924.60599999999999</v>
      </c>
      <c r="U100" s="5">
        <v>872.44600000000003</v>
      </c>
      <c r="V100" s="5">
        <v>1541.2380000000001</v>
      </c>
      <c r="W100" s="5">
        <v>2583.0189999999998</v>
      </c>
      <c r="X100" s="5">
        <v>2449.645</v>
      </c>
      <c r="Y100" s="5">
        <v>2996.607</v>
      </c>
      <c r="Z100" s="5">
        <v>2916.14</v>
      </c>
      <c r="AA100" s="5">
        <v>2806.777</v>
      </c>
      <c r="AB100" s="5">
        <v>2476.5010000000002</v>
      </c>
      <c r="AC100" s="5">
        <v>2243.5790000000002</v>
      </c>
      <c r="AD100" s="5">
        <v>2342.2399999999998</v>
      </c>
      <c r="AE100" s="5">
        <v>2484.817</v>
      </c>
      <c r="AF100" s="5">
        <v>2673.8009999999999</v>
      </c>
      <c r="AG100" s="5">
        <v>3068.6759999999999</v>
      </c>
      <c r="AH100" s="5">
        <v>3559.5709999999999</v>
      </c>
      <c r="AI100" s="5">
        <v>3889.203</v>
      </c>
      <c r="AJ100" s="5">
        <v>2950.8539999999998</v>
      </c>
      <c r="AK100" s="5">
        <v>3891.79</v>
      </c>
      <c r="AL100" s="5">
        <v>3317.3330000000001</v>
      </c>
      <c r="AM100" s="5">
        <v>4413.0469999999996</v>
      </c>
      <c r="AN100" s="5">
        <v>4098.4189999999999</v>
      </c>
      <c r="AO100" s="5">
        <v>3620.7820000000002</v>
      </c>
      <c r="AP100" s="5">
        <v>3685.183</v>
      </c>
      <c r="AQ100" s="5">
        <v>3736.6889999999999</v>
      </c>
      <c r="AR100" s="5">
        <v>4252.6189999999997</v>
      </c>
      <c r="AS100" s="5">
        <v>3927.3470000000002</v>
      </c>
      <c r="AT100" s="5">
        <v>4379.9539999999997</v>
      </c>
    </row>
    <row r="101" spans="1:46" x14ac:dyDescent="0.25">
      <c r="A101" s="4" t="s">
        <v>206</v>
      </c>
      <c r="B101" s="4" t="s">
        <v>207</v>
      </c>
      <c r="C101" s="4" t="s">
        <v>246</v>
      </c>
      <c r="D101" s="4" t="s">
        <v>259</v>
      </c>
      <c r="E101" s="4" t="s">
        <v>248</v>
      </c>
      <c r="F101" s="4" t="s">
        <v>203</v>
      </c>
      <c r="G101" s="4" t="s">
        <v>93</v>
      </c>
      <c r="H101" s="4" t="s">
        <v>268</v>
      </c>
      <c r="I101" s="5">
        <v>17004.223999999998</v>
      </c>
      <c r="J101" s="5">
        <v>18226.412</v>
      </c>
      <c r="K101" s="5">
        <v>25952.678</v>
      </c>
      <c r="L101" s="5">
        <v>28780.473999999998</v>
      </c>
      <c r="M101" s="5">
        <v>24247.852999999999</v>
      </c>
      <c r="N101" s="5">
        <v>25370.12</v>
      </c>
      <c r="O101" s="5">
        <v>20203.289000000001</v>
      </c>
      <c r="P101" s="5">
        <v>18979.557000000001</v>
      </c>
      <c r="Q101" s="5">
        <v>18351.506000000001</v>
      </c>
      <c r="R101" s="5">
        <v>18892.16</v>
      </c>
      <c r="S101" s="5">
        <v>17925.214</v>
      </c>
      <c r="T101" s="5">
        <v>16989.810000000001</v>
      </c>
      <c r="U101" s="5">
        <v>16602.812999999998</v>
      </c>
      <c r="V101" s="5">
        <v>17084.995999999999</v>
      </c>
      <c r="W101" s="5">
        <v>24118.911</v>
      </c>
      <c r="X101" s="5">
        <v>28362.106</v>
      </c>
      <c r="Y101" s="5">
        <v>29192.966</v>
      </c>
      <c r="Z101" s="5">
        <v>20972.641</v>
      </c>
      <c r="AA101" s="5">
        <v>18033.88</v>
      </c>
      <c r="AB101" s="5">
        <v>17724.707999999999</v>
      </c>
      <c r="AC101" s="5">
        <v>17079.202000000001</v>
      </c>
      <c r="AD101" s="5">
        <v>16502.272000000001</v>
      </c>
      <c r="AE101" s="5">
        <v>15454.751</v>
      </c>
      <c r="AF101" s="5">
        <v>14697.647000000001</v>
      </c>
      <c r="AG101" s="5">
        <v>14245.914000000001</v>
      </c>
      <c r="AH101" s="5">
        <v>15067.584999999999</v>
      </c>
      <c r="AI101" s="5">
        <v>19718.077000000001</v>
      </c>
      <c r="AJ101" s="5">
        <v>21228.231</v>
      </c>
      <c r="AK101" s="5">
        <v>23669.558000000001</v>
      </c>
      <c r="AL101" s="5">
        <v>23268.63</v>
      </c>
      <c r="AM101" s="5">
        <v>23255.482</v>
      </c>
      <c r="AN101" s="5">
        <v>22467.704000000002</v>
      </c>
      <c r="AO101" s="5">
        <v>16569.205999999998</v>
      </c>
      <c r="AP101" s="5">
        <v>17610.597000000002</v>
      </c>
      <c r="AQ101" s="5">
        <v>19753.598999999998</v>
      </c>
      <c r="AR101" s="5">
        <v>17723.498</v>
      </c>
      <c r="AS101" s="5">
        <v>16675.935000000001</v>
      </c>
      <c r="AT101" s="5">
        <v>18644.132000000001</v>
      </c>
    </row>
    <row r="102" spans="1:46" x14ac:dyDescent="0.25">
      <c r="A102" s="4" t="s">
        <v>206</v>
      </c>
      <c r="B102" s="4" t="s">
        <v>207</v>
      </c>
      <c r="C102" s="4" t="s">
        <v>246</v>
      </c>
      <c r="D102" s="4" t="s">
        <v>259</v>
      </c>
      <c r="E102" s="4" t="s">
        <v>248</v>
      </c>
      <c r="F102" s="4" t="s">
        <v>201</v>
      </c>
      <c r="G102" s="4" t="s">
        <v>93</v>
      </c>
      <c r="H102" s="4" t="s">
        <v>268</v>
      </c>
      <c r="I102" s="5">
        <v>15267.311</v>
      </c>
      <c r="J102" s="5">
        <v>18751.991999999998</v>
      </c>
      <c r="K102" s="5">
        <v>22808.319</v>
      </c>
      <c r="L102" s="5">
        <v>29077.595000000001</v>
      </c>
      <c r="M102" s="5">
        <v>25300.277999999998</v>
      </c>
      <c r="N102" s="5">
        <v>23334.81</v>
      </c>
      <c r="O102" s="5">
        <v>21237.06</v>
      </c>
      <c r="P102" s="5">
        <v>19006.842000000001</v>
      </c>
      <c r="Q102" s="5">
        <v>17905.016</v>
      </c>
      <c r="R102" s="5">
        <v>18054.434000000001</v>
      </c>
      <c r="S102" s="5">
        <v>17147.502</v>
      </c>
      <c r="T102" s="5">
        <v>18525.222000000002</v>
      </c>
      <c r="U102" s="5">
        <v>18255.636999999999</v>
      </c>
      <c r="V102" s="5">
        <v>17473.758000000002</v>
      </c>
      <c r="W102" s="5">
        <v>23963.395</v>
      </c>
      <c r="X102" s="5">
        <v>26019.237000000001</v>
      </c>
      <c r="Y102" s="5">
        <v>26744.355</v>
      </c>
      <c r="Z102" s="5">
        <v>23799.129000000001</v>
      </c>
      <c r="AA102" s="5">
        <v>23484.152999999998</v>
      </c>
      <c r="AB102" s="5">
        <v>21807.563999999998</v>
      </c>
      <c r="AC102" s="5">
        <v>20763.817999999999</v>
      </c>
      <c r="AD102" s="5">
        <v>20439</v>
      </c>
      <c r="AE102" s="5">
        <v>20623.510999999999</v>
      </c>
      <c r="AF102" s="5">
        <v>21088.154999999999</v>
      </c>
      <c r="AG102" s="5">
        <v>19665.864000000001</v>
      </c>
      <c r="AH102" s="5">
        <v>22179.603999999999</v>
      </c>
      <c r="AI102" s="5">
        <v>24630.967000000001</v>
      </c>
      <c r="AJ102" s="5">
        <v>23034.253000000001</v>
      </c>
      <c r="AK102" s="5">
        <v>22870.456999999999</v>
      </c>
      <c r="AL102" s="5">
        <v>23019.582999999999</v>
      </c>
      <c r="AM102" s="5">
        <v>22634.149000000001</v>
      </c>
      <c r="AN102" s="5">
        <v>19683.704000000002</v>
      </c>
      <c r="AO102" s="5">
        <v>18033.719000000001</v>
      </c>
      <c r="AP102" s="5">
        <v>18089.411</v>
      </c>
      <c r="AQ102" s="5">
        <v>18195.592000000001</v>
      </c>
      <c r="AR102" s="5">
        <v>17776.349999999999</v>
      </c>
      <c r="AS102" s="5">
        <v>17590.083999999999</v>
      </c>
      <c r="AT102" s="5">
        <v>19156.612000000001</v>
      </c>
    </row>
    <row r="103" spans="1:46" x14ac:dyDescent="0.25">
      <c r="A103" s="4" t="s">
        <v>206</v>
      </c>
      <c r="B103" s="4" t="s">
        <v>207</v>
      </c>
      <c r="C103" s="4" t="s">
        <v>246</v>
      </c>
      <c r="D103" s="4" t="s">
        <v>259</v>
      </c>
      <c r="E103" s="4" t="s">
        <v>248</v>
      </c>
      <c r="F103" s="4" t="s">
        <v>195</v>
      </c>
      <c r="G103" s="4" t="s">
        <v>93</v>
      </c>
      <c r="H103" s="4" t="s">
        <v>268</v>
      </c>
      <c r="I103" s="5">
        <v>35210.76</v>
      </c>
      <c r="J103" s="5">
        <v>41130.828999999998</v>
      </c>
      <c r="K103" s="5">
        <v>44135.131000000001</v>
      </c>
      <c r="L103" s="5">
        <v>50374.046000000002</v>
      </c>
      <c r="M103" s="5">
        <v>45851.285000000003</v>
      </c>
      <c r="N103" s="5">
        <v>43750.586000000003</v>
      </c>
      <c r="O103" s="5">
        <v>45641.699000000001</v>
      </c>
      <c r="P103" s="5">
        <v>39127.387999999999</v>
      </c>
      <c r="Q103" s="5">
        <v>37521.762000000002</v>
      </c>
      <c r="R103" s="5">
        <v>38600.249000000003</v>
      </c>
      <c r="S103" s="5">
        <v>37513.356</v>
      </c>
      <c r="T103" s="5">
        <v>36976.85</v>
      </c>
      <c r="U103" s="5">
        <v>41602.857000000004</v>
      </c>
      <c r="V103" s="5">
        <v>45132.328000000001</v>
      </c>
      <c r="W103" s="5">
        <v>51269.37</v>
      </c>
      <c r="X103" s="5">
        <v>55097.718999999997</v>
      </c>
      <c r="Y103" s="5">
        <v>49816.612000000001</v>
      </c>
      <c r="Z103" s="5">
        <v>45086.46</v>
      </c>
      <c r="AA103" s="5">
        <v>41831.733</v>
      </c>
      <c r="AB103" s="5">
        <v>40111.413</v>
      </c>
      <c r="AC103" s="5">
        <v>36471.012999999999</v>
      </c>
      <c r="AD103" s="5">
        <v>35076.135000000002</v>
      </c>
      <c r="AE103" s="5">
        <v>36610.417999999998</v>
      </c>
      <c r="AF103" s="5">
        <v>35344.133000000002</v>
      </c>
      <c r="AG103" s="5">
        <v>36096.680999999997</v>
      </c>
      <c r="AH103" s="5">
        <v>44988.631999999998</v>
      </c>
      <c r="AI103" s="5">
        <v>53926.945</v>
      </c>
      <c r="AJ103" s="5">
        <v>50040.542000000001</v>
      </c>
      <c r="AK103" s="5">
        <v>54952.398000000001</v>
      </c>
      <c r="AL103" s="5">
        <v>47556.381999999998</v>
      </c>
      <c r="AM103" s="5">
        <v>47297.862999999998</v>
      </c>
      <c r="AN103" s="5">
        <v>41825.464999999997</v>
      </c>
      <c r="AO103" s="5">
        <v>40052.036999999997</v>
      </c>
      <c r="AP103" s="5">
        <v>39659.368999999999</v>
      </c>
      <c r="AQ103" s="5">
        <v>37118.196000000004</v>
      </c>
      <c r="AR103" s="5">
        <v>38903.173999999999</v>
      </c>
      <c r="AS103" s="5">
        <v>37259.069000000003</v>
      </c>
      <c r="AT103" s="5">
        <v>39980.841</v>
      </c>
    </row>
    <row r="104" spans="1:46" x14ac:dyDescent="0.25">
      <c r="A104" s="4" t="s">
        <v>206</v>
      </c>
      <c r="B104" s="4" t="s">
        <v>207</v>
      </c>
      <c r="C104" s="4" t="s">
        <v>246</v>
      </c>
      <c r="D104" s="4" t="s">
        <v>259</v>
      </c>
      <c r="E104" s="4" t="s">
        <v>248</v>
      </c>
      <c r="F104" s="4" t="s">
        <v>195</v>
      </c>
      <c r="G104" s="4" t="s">
        <v>260</v>
      </c>
      <c r="H104" s="4" t="s">
        <v>268</v>
      </c>
      <c r="I104" s="5">
        <v>433.637</v>
      </c>
      <c r="J104" s="5">
        <v>380.23399999999998</v>
      </c>
      <c r="K104" s="5">
        <v>281.36399999999998</v>
      </c>
      <c r="L104" s="5">
        <v>703.625</v>
      </c>
      <c r="M104" s="5">
        <v>978.75900000000001</v>
      </c>
      <c r="N104" s="5">
        <v>1300.932</v>
      </c>
      <c r="O104" s="5">
        <v>1048.7950000000001</v>
      </c>
      <c r="P104" s="5">
        <v>1520.4010000000001</v>
      </c>
      <c r="Q104" s="5">
        <v>1375.585</v>
      </c>
      <c r="R104" s="5">
        <v>1363.7570000000001</v>
      </c>
      <c r="S104" s="5">
        <v>1273.865</v>
      </c>
      <c r="T104" s="5">
        <v>1270.0239999999999</v>
      </c>
      <c r="U104" s="5">
        <v>813.4</v>
      </c>
      <c r="V104" s="5">
        <v>333.61</v>
      </c>
      <c r="W104" s="5">
        <v>675.68700000000001</v>
      </c>
      <c r="X104" s="5">
        <v>454.60399999999998</v>
      </c>
      <c r="Y104" s="5">
        <v>320.83699999999999</v>
      </c>
      <c r="Z104" s="5">
        <v>167.61199999999999</v>
      </c>
      <c r="AA104" s="5">
        <v>1330.4870000000001</v>
      </c>
      <c r="AB104" s="5">
        <v>1089.462</v>
      </c>
      <c r="AC104" s="5">
        <v>1093.508</v>
      </c>
      <c r="AD104" s="5">
        <v>1078.018</v>
      </c>
      <c r="AE104" s="5">
        <v>1123.2829999999999</v>
      </c>
      <c r="AF104" s="5">
        <v>1141.4960000000001</v>
      </c>
      <c r="AG104" s="5">
        <v>1107.8989999999999</v>
      </c>
      <c r="AH104" s="5">
        <v>1411.2270000000001</v>
      </c>
      <c r="AI104" s="5">
        <v>1390.066</v>
      </c>
      <c r="AJ104" s="5">
        <v>1183.5329999999999</v>
      </c>
      <c r="AK104" s="5">
        <v>1116.0809999999999</v>
      </c>
      <c r="AL104" s="5">
        <v>1080.0509999999999</v>
      </c>
      <c r="AM104" s="5">
        <v>894.43200000000002</v>
      </c>
      <c r="AN104" s="5">
        <v>529.33600000000001</v>
      </c>
      <c r="AO104" s="5">
        <v>464.64400000000001</v>
      </c>
      <c r="AP104" s="5">
        <v>281.82499999999999</v>
      </c>
      <c r="AQ104" s="5">
        <v>555.90800000000002</v>
      </c>
      <c r="AR104" s="5">
        <v>520.42899999999997</v>
      </c>
      <c r="AS104" s="5">
        <v>636.01300000000003</v>
      </c>
      <c r="AT104" s="5">
        <v>444.34100000000001</v>
      </c>
    </row>
    <row r="105" spans="1:46" x14ac:dyDescent="0.25">
      <c r="A105" s="4" t="s">
        <v>206</v>
      </c>
      <c r="B105" s="4" t="s">
        <v>207</v>
      </c>
      <c r="C105" s="4" t="s">
        <v>246</v>
      </c>
      <c r="D105" s="4" t="s">
        <v>259</v>
      </c>
      <c r="E105" s="4" t="s">
        <v>261</v>
      </c>
      <c r="F105" s="4" t="s">
        <v>201</v>
      </c>
      <c r="G105" s="4" t="s">
        <v>93</v>
      </c>
      <c r="H105" s="4" t="s">
        <v>268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5">
        <v>104.95399999999999</v>
      </c>
      <c r="AI105" s="8">
        <v>0</v>
      </c>
      <c r="AJ105" s="8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</row>
    <row r="106" spans="1:46" x14ac:dyDescent="0.25">
      <c r="A106" s="4" t="s">
        <v>206</v>
      </c>
      <c r="B106" s="4" t="s">
        <v>207</v>
      </c>
      <c r="C106" s="4" t="s">
        <v>246</v>
      </c>
      <c r="D106" s="4" t="s">
        <v>259</v>
      </c>
      <c r="E106" s="4" t="s">
        <v>261</v>
      </c>
      <c r="F106" s="4" t="s">
        <v>195</v>
      </c>
      <c r="G106" s="4" t="s">
        <v>93</v>
      </c>
      <c r="H106" s="4" t="s">
        <v>268</v>
      </c>
      <c r="I106" s="5">
        <v>4995.3990000000003</v>
      </c>
      <c r="J106" s="5">
        <v>4089.28</v>
      </c>
      <c r="K106" s="5">
        <v>4133.5450000000001</v>
      </c>
      <c r="L106" s="5">
        <v>4462.7259999999997</v>
      </c>
      <c r="M106" s="5">
        <v>4294.5590000000002</v>
      </c>
      <c r="N106" s="5">
        <v>3875.3429999999998</v>
      </c>
      <c r="O106" s="5">
        <v>3848.4250000000002</v>
      </c>
      <c r="P106" s="5">
        <v>4062.652</v>
      </c>
      <c r="Q106" s="5">
        <v>4038.9650000000001</v>
      </c>
      <c r="R106" s="5">
        <v>4358.6459999999997</v>
      </c>
      <c r="S106" s="5">
        <v>4121.7969999999996</v>
      </c>
      <c r="T106" s="5">
        <v>3614.6</v>
      </c>
      <c r="U106" s="5">
        <v>3520.8850000000002</v>
      </c>
      <c r="V106" s="5">
        <v>4155.7749999999996</v>
      </c>
      <c r="W106" s="5">
        <v>4810.3410000000003</v>
      </c>
      <c r="X106" s="5">
        <v>4709.1809999999996</v>
      </c>
      <c r="Y106" s="5">
        <v>4813.8680000000004</v>
      </c>
      <c r="Z106" s="5">
        <v>4105.8270000000002</v>
      </c>
      <c r="AA106" s="5">
        <v>4181.0810000000001</v>
      </c>
      <c r="AB106" s="5">
        <v>4062.11</v>
      </c>
      <c r="AC106" s="5">
        <v>4185.924</v>
      </c>
      <c r="AD106" s="5">
        <v>3996.3760000000002</v>
      </c>
      <c r="AE106" s="5">
        <v>3522.0889999999999</v>
      </c>
      <c r="AF106" s="5">
        <v>3595.8209999999999</v>
      </c>
      <c r="AG106" s="5">
        <v>3732.9079999999999</v>
      </c>
      <c r="AH106" s="5">
        <v>4067.9969999999998</v>
      </c>
      <c r="AI106" s="5">
        <v>4483.6310000000003</v>
      </c>
      <c r="AJ106" s="5">
        <v>4303.9369999999999</v>
      </c>
      <c r="AK106" s="5">
        <v>4825.5069999999996</v>
      </c>
      <c r="AL106" s="5">
        <v>4369.2889999999998</v>
      </c>
      <c r="AM106" s="5">
        <v>4768.7049999999999</v>
      </c>
      <c r="AN106" s="5">
        <v>4816.3990000000003</v>
      </c>
      <c r="AO106" s="5">
        <v>5061.442</v>
      </c>
      <c r="AP106" s="5">
        <v>5371.16</v>
      </c>
      <c r="AQ106" s="5">
        <v>5301.0050000000001</v>
      </c>
      <c r="AR106" s="5">
        <v>4981.6120000000001</v>
      </c>
      <c r="AS106" s="5">
        <v>4475.0330000000004</v>
      </c>
      <c r="AT106" s="5">
        <v>4918.3019999999997</v>
      </c>
    </row>
    <row r="107" spans="1:46" x14ac:dyDescent="0.25">
      <c r="A107" s="4" t="s">
        <v>206</v>
      </c>
      <c r="B107" s="4" t="s">
        <v>207</v>
      </c>
      <c r="C107" s="4" t="s">
        <v>246</v>
      </c>
      <c r="D107" s="4" t="s">
        <v>259</v>
      </c>
      <c r="E107" s="4" t="s">
        <v>261</v>
      </c>
      <c r="F107" s="4" t="s">
        <v>195</v>
      </c>
      <c r="G107" s="4" t="s">
        <v>262</v>
      </c>
      <c r="H107" s="4" t="s">
        <v>268</v>
      </c>
      <c r="I107" s="5">
        <v>406.76900000000001</v>
      </c>
      <c r="J107" s="5">
        <v>234.50299999999999</v>
      </c>
      <c r="K107" s="5">
        <v>345.34</v>
      </c>
      <c r="L107" s="5">
        <v>403.09899999999999</v>
      </c>
      <c r="M107" s="5">
        <v>391.19200000000001</v>
      </c>
      <c r="N107" s="5">
        <v>270.947</v>
      </c>
      <c r="O107" s="5">
        <v>300.83699999999999</v>
      </c>
      <c r="P107" s="5">
        <v>220.81800000000001</v>
      </c>
      <c r="Q107" s="5">
        <v>249.12</v>
      </c>
      <c r="R107" s="5">
        <v>235.535</v>
      </c>
      <c r="S107" s="5">
        <v>353.12400000000002</v>
      </c>
      <c r="T107" s="5">
        <v>367.62</v>
      </c>
      <c r="U107" s="5">
        <v>387.85399999999998</v>
      </c>
      <c r="V107" s="5">
        <v>386.45</v>
      </c>
      <c r="W107" s="5">
        <v>362.32400000000001</v>
      </c>
      <c r="X107" s="5">
        <v>408.589</v>
      </c>
      <c r="Y107" s="5">
        <v>304.28500000000003</v>
      </c>
      <c r="Z107" s="5">
        <v>276.34399999999999</v>
      </c>
      <c r="AA107" s="5">
        <v>192.101</v>
      </c>
      <c r="AB107" s="5">
        <v>254.197</v>
      </c>
      <c r="AC107" s="5">
        <v>248.50899999999999</v>
      </c>
      <c r="AD107" s="5">
        <v>221.53</v>
      </c>
      <c r="AE107" s="5">
        <v>155.529</v>
      </c>
      <c r="AF107" s="5">
        <v>197.73</v>
      </c>
      <c r="AG107" s="5">
        <v>224.80099999999999</v>
      </c>
      <c r="AH107" s="5">
        <v>163.80500000000001</v>
      </c>
      <c r="AI107" s="5">
        <v>136.65199999999999</v>
      </c>
      <c r="AJ107" s="5">
        <v>109.13200000000001</v>
      </c>
      <c r="AK107" s="5">
        <v>122.13500000000001</v>
      </c>
      <c r="AL107" s="5">
        <v>178.71899999999999</v>
      </c>
      <c r="AM107" s="5">
        <v>153.74100000000001</v>
      </c>
      <c r="AN107" s="5">
        <v>180.161</v>
      </c>
      <c r="AO107" s="5">
        <v>215.125</v>
      </c>
      <c r="AP107" s="5">
        <v>197.62799999999999</v>
      </c>
      <c r="AQ107" s="5">
        <v>129.65899999999999</v>
      </c>
      <c r="AR107" s="5">
        <v>76.265000000000001</v>
      </c>
      <c r="AS107" s="5">
        <v>76.265000000000001</v>
      </c>
      <c r="AT107" s="5">
        <v>76.265000000000001</v>
      </c>
    </row>
    <row r="108" spans="1:46" x14ac:dyDescent="0.25">
      <c r="A108" s="4" t="s">
        <v>206</v>
      </c>
      <c r="B108" s="4" t="s">
        <v>207</v>
      </c>
      <c r="C108" s="4" t="s">
        <v>246</v>
      </c>
      <c r="D108" s="4" t="s">
        <v>263</v>
      </c>
      <c r="E108" s="4" t="s">
        <v>248</v>
      </c>
      <c r="F108" s="4" t="s">
        <v>201</v>
      </c>
      <c r="G108" s="4" t="s">
        <v>71</v>
      </c>
      <c r="H108" s="4" t="s">
        <v>268</v>
      </c>
      <c r="I108" s="5">
        <v>500.95699999999999</v>
      </c>
      <c r="J108" s="5">
        <v>817.79300000000001</v>
      </c>
      <c r="K108" s="5">
        <v>475.80799999999999</v>
      </c>
      <c r="L108" s="5">
        <v>93.114000000000004</v>
      </c>
      <c r="M108" s="5">
        <v>307.96499999999997</v>
      </c>
      <c r="N108" s="5">
        <v>87.518000000000001</v>
      </c>
      <c r="O108" s="8">
        <v>0</v>
      </c>
      <c r="P108" s="8">
        <v>0</v>
      </c>
      <c r="Q108" s="8">
        <v>0</v>
      </c>
      <c r="R108" s="5">
        <v>74.451999999999998</v>
      </c>
      <c r="S108" s="5">
        <v>74.566999999999993</v>
      </c>
      <c r="T108" s="5">
        <v>74.566999999999993</v>
      </c>
      <c r="U108" s="5">
        <v>74.566999999999993</v>
      </c>
      <c r="V108" s="5">
        <v>61.613</v>
      </c>
      <c r="W108" s="5">
        <v>64.048000000000002</v>
      </c>
      <c r="X108" s="5">
        <v>63.469000000000001</v>
      </c>
      <c r="Y108" s="8">
        <v>0</v>
      </c>
      <c r="Z108" s="8">
        <v>0</v>
      </c>
      <c r="AA108" s="8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5">
        <v>26.369</v>
      </c>
      <c r="AN108" s="8">
        <v>0</v>
      </c>
      <c r="AO108" s="8">
        <v>0</v>
      </c>
      <c r="AP108" s="8">
        <v>0</v>
      </c>
      <c r="AQ108" s="9">
        <v>0</v>
      </c>
      <c r="AR108" s="9">
        <v>0</v>
      </c>
      <c r="AS108" s="9">
        <v>0</v>
      </c>
      <c r="AT108" s="9">
        <v>0</v>
      </c>
    </row>
    <row r="109" spans="1:46" x14ac:dyDescent="0.25">
      <c r="A109" s="4" t="s">
        <v>206</v>
      </c>
      <c r="B109" s="4" t="s">
        <v>207</v>
      </c>
      <c r="C109" s="4" t="s">
        <v>246</v>
      </c>
      <c r="D109" s="4" t="s">
        <v>263</v>
      </c>
      <c r="E109" s="4" t="s">
        <v>248</v>
      </c>
      <c r="F109" s="4" t="s">
        <v>201</v>
      </c>
      <c r="G109" s="4" t="s">
        <v>76</v>
      </c>
      <c r="H109" s="4" t="s">
        <v>268</v>
      </c>
      <c r="I109" s="5">
        <v>726.54499999999996</v>
      </c>
      <c r="J109" s="5">
        <v>821.54399999999998</v>
      </c>
      <c r="K109" s="5">
        <v>1013.77</v>
      </c>
      <c r="L109" s="5">
        <v>771.91499999999996</v>
      </c>
      <c r="M109" s="5">
        <v>776.86800000000005</v>
      </c>
      <c r="N109" s="5">
        <v>662.92200000000003</v>
      </c>
      <c r="O109" s="5">
        <v>622.774</v>
      </c>
      <c r="P109" s="5">
        <v>813.67499999999995</v>
      </c>
      <c r="Q109" s="5">
        <v>687.99</v>
      </c>
      <c r="R109" s="5">
        <v>383.81700000000001</v>
      </c>
      <c r="S109" s="5">
        <v>568.57500000000005</v>
      </c>
      <c r="T109" s="5">
        <v>600.14499999999998</v>
      </c>
      <c r="U109" s="5">
        <v>527.68200000000002</v>
      </c>
      <c r="V109" s="5">
        <v>626.64099999999996</v>
      </c>
      <c r="W109" s="5">
        <v>633.89800000000002</v>
      </c>
      <c r="X109" s="5">
        <v>710.38099999999997</v>
      </c>
      <c r="Y109" s="5">
        <v>896.38199999999995</v>
      </c>
      <c r="Z109" s="5">
        <v>831.42399999999998</v>
      </c>
      <c r="AA109" s="5">
        <v>941.01099999999997</v>
      </c>
      <c r="AB109" s="5">
        <v>838.50199999999995</v>
      </c>
      <c r="AC109" s="5">
        <v>838.50199999999995</v>
      </c>
      <c r="AD109" s="5">
        <v>689.66499999999996</v>
      </c>
      <c r="AE109" s="5">
        <v>700.322</v>
      </c>
      <c r="AF109" s="5">
        <v>828.57299999999998</v>
      </c>
      <c r="AG109" s="5">
        <v>1010.396</v>
      </c>
      <c r="AH109" s="5">
        <v>1060.357</v>
      </c>
      <c r="AI109" s="5">
        <v>1037.587</v>
      </c>
      <c r="AJ109" s="5">
        <v>1051.579</v>
      </c>
      <c r="AK109" s="5">
        <v>1190.585</v>
      </c>
      <c r="AL109" s="5">
        <v>1052.482</v>
      </c>
      <c r="AM109" s="5">
        <v>1172.81</v>
      </c>
      <c r="AN109" s="5">
        <v>1258.6679999999999</v>
      </c>
      <c r="AO109" s="5">
        <v>1041.2059999999999</v>
      </c>
      <c r="AP109" s="5">
        <v>1195.998</v>
      </c>
      <c r="AQ109" s="5">
        <v>1355.9780000000001</v>
      </c>
      <c r="AR109" s="5">
        <v>1262.2860000000001</v>
      </c>
      <c r="AS109" s="5">
        <v>1212.6210000000001</v>
      </c>
      <c r="AT109" s="5">
        <v>1330.6369999999999</v>
      </c>
    </row>
    <row r="110" spans="1:46" x14ac:dyDescent="0.25">
      <c r="A110" s="4" t="s">
        <v>206</v>
      </c>
      <c r="B110" s="4" t="s">
        <v>207</v>
      </c>
      <c r="C110" s="4" t="s">
        <v>246</v>
      </c>
      <c r="D110" s="4" t="s">
        <v>263</v>
      </c>
      <c r="E110" s="4" t="s">
        <v>248</v>
      </c>
      <c r="F110" s="4" t="s">
        <v>201</v>
      </c>
      <c r="G110" s="4" t="s">
        <v>85</v>
      </c>
      <c r="H110" s="4" t="s">
        <v>268</v>
      </c>
      <c r="I110" s="5">
        <v>7978.6239999999998</v>
      </c>
      <c r="J110" s="5">
        <v>9763.2350000000006</v>
      </c>
      <c r="K110" s="5">
        <v>13307.612999999999</v>
      </c>
      <c r="L110" s="5">
        <v>15392.223</v>
      </c>
      <c r="M110" s="5">
        <v>17145.013999999999</v>
      </c>
      <c r="N110" s="5">
        <v>14675.523999999999</v>
      </c>
      <c r="O110" s="5">
        <v>16792.203000000001</v>
      </c>
      <c r="P110" s="5">
        <v>14039.262000000001</v>
      </c>
      <c r="Q110" s="5">
        <v>14636.012000000001</v>
      </c>
      <c r="R110" s="5">
        <v>13654.790999999999</v>
      </c>
      <c r="S110" s="5">
        <v>12961.54</v>
      </c>
      <c r="T110" s="5">
        <v>13534.271000000001</v>
      </c>
      <c r="U110" s="5">
        <v>12934.821</v>
      </c>
      <c r="V110" s="5">
        <v>14184.618</v>
      </c>
      <c r="W110" s="5">
        <v>13479.455</v>
      </c>
      <c r="X110" s="5">
        <v>11927.811</v>
      </c>
      <c r="Y110" s="5">
        <v>12866.925999999999</v>
      </c>
      <c r="Z110" s="5">
        <v>10209.438</v>
      </c>
      <c r="AA110" s="5">
        <v>9993.4459999999999</v>
      </c>
      <c r="AB110" s="5">
        <v>10270.534</v>
      </c>
      <c r="AC110" s="5">
        <v>11515.924000000001</v>
      </c>
      <c r="AD110" s="5">
        <v>10948.057000000001</v>
      </c>
      <c r="AE110" s="5">
        <v>9429.0319999999992</v>
      </c>
      <c r="AF110" s="5">
        <v>9542.6749999999993</v>
      </c>
      <c r="AG110" s="5">
        <v>9760.2289999999994</v>
      </c>
      <c r="AH110" s="5">
        <v>10276.973</v>
      </c>
      <c r="AI110" s="5">
        <v>10007.14</v>
      </c>
      <c r="AJ110" s="5">
        <v>11265.596</v>
      </c>
      <c r="AK110" s="5">
        <v>13715.413</v>
      </c>
      <c r="AL110" s="5">
        <v>14283.217000000001</v>
      </c>
      <c r="AM110" s="5">
        <v>12780.964</v>
      </c>
      <c r="AN110" s="5">
        <v>11822.630999999999</v>
      </c>
      <c r="AO110" s="5">
        <v>12250.942999999999</v>
      </c>
      <c r="AP110" s="5">
        <v>11625.78</v>
      </c>
      <c r="AQ110" s="5">
        <v>11341.432000000001</v>
      </c>
      <c r="AR110" s="5">
        <v>12099.550999999999</v>
      </c>
      <c r="AS110" s="5">
        <v>10366.455</v>
      </c>
      <c r="AT110" s="5">
        <v>12719.588</v>
      </c>
    </row>
    <row r="111" spans="1:46" x14ac:dyDescent="0.25">
      <c r="A111" s="4" t="s">
        <v>206</v>
      </c>
      <c r="B111" s="4" t="s">
        <v>207</v>
      </c>
      <c r="C111" s="4" t="s">
        <v>246</v>
      </c>
      <c r="D111" s="4" t="s">
        <v>263</v>
      </c>
      <c r="E111" s="4" t="s">
        <v>248</v>
      </c>
      <c r="F111" s="4" t="s">
        <v>195</v>
      </c>
      <c r="G111" s="4" t="s">
        <v>264</v>
      </c>
      <c r="H111" s="4" t="s">
        <v>268</v>
      </c>
      <c r="I111" s="5">
        <v>807.71400000000006</v>
      </c>
      <c r="J111" s="5">
        <v>850.06100000000004</v>
      </c>
      <c r="K111" s="5">
        <v>930.01099999999997</v>
      </c>
      <c r="L111" s="5">
        <v>821.44299999999998</v>
      </c>
      <c r="M111" s="5">
        <v>738.99699999999996</v>
      </c>
      <c r="N111" s="5">
        <v>661.64700000000005</v>
      </c>
      <c r="O111" s="5">
        <v>628.55399999999997</v>
      </c>
      <c r="P111" s="5">
        <v>588.04700000000003</v>
      </c>
      <c r="Q111" s="5">
        <v>513.49800000000005</v>
      </c>
      <c r="R111" s="5">
        <v>507.608</v>
      </c>
      <c r="S111" s="5">
        <v>479.37400000000002</v>
      </c>
      <c r="T111" s="5">
        <v>481.358</v>
      </c>
      <c r="U111" s="5">
        <v>483.10300000000001</v>
      </c>
      <c r="V111" s="5">
        <v>463.86200000000002</v>
      </c>
      <c r="W111" s="5">
        <v>451.36700000000002</v>
      </c>
      <c r="X111" s="5">
        <v>445.37299999999999</v>
      </c>
      <c r="Y111" s="5">
        <v>446.149</v>
      </c>
      <c r="Z111" s="5">
        <v>546.33699999999999</v>
      </c>
      <c r="AA111" s="5">
        <v>382.04399999999998</v>
      </c>
      <c r="AB111" s="5">
        <v>495.82</v>
      </c>
      <c r="AC111" s="5">
        <v>468.78100000000001</v>
      </c>
      <c r="AD111" s="5">
        <v>420.75900000000001</v>
      </c>
      <c r="AE111" s="5">
        <v>429.20400000000001</v>
      </c>
      <c r="AF111" s="5">
        <v>404.73099999999999</v>
      </c>
      <c r="AG111" s="5">
        <v>444.62299999999999</v>
      </c>
      <c r="AH111" s="5">
        <v>522.52200000000005</v>
      </c>
      <c r="AI111" s="5">
        <v>426.77600000000001</v>
      </c>
      <c r="AJ111" s="5">
        <v>459.74900000000002</v>
      </c>
      <c r="AK111" s="5">
        <v>425.16699999999997</v>
      </c>
      <c r="AL111" s="5">
        <v>451.72500000000002</v>
      </c>
      <c r="AM111" s="5">
        <v>452.19799999999998</v>
      </c>
      <c r="AN111" s="5">
        <v>447.26</v>
      </c>
      <c r="AO111" s="5">
        <v>457.95299999999997</v>
      </c>
      <c r="AP111" s="5">
        <v>464.91399999999999</v>
      </c>
      <c r="AQ111" s="5">
        <v>425.96699999999998</v>
      </c>
      <c r="AR111" s="5">
        <v>372.45100000000002</v>
      </c>
      <c r="AS111" s="5">
        <v>323.29300000000001</v>
      </c>
      <c r="AT111" s="5">
        <v>354.05599999999998</v>
      </c>
    </row>
    <row r="112" spans="1:46" x14ac:dyDescent="0.25">
      <c r="A112" s="4" t="s">
        <v>206</v>
      </c>
      <c r="B112" s="4" t="s">
        <v>207</v>
      </c>
      <c r="C112" s="4" t="s">
        <v>246</v>
      </c>
      <c r="D112" s="4" t="s">
        <v>263</v>
      </c>
      <c r="E112" s="4" t="s">
        <v>248</v>
      </c>
      <c r="F112" s="4" t="s">
        <v>195</v>
      </c>
      <c r="G112" s="4" t="s">
        <v>71</v>
      </c>
      <c r="H112" s="4" t="s">
        <v>268</v>
      </c>
      <c r="I112" s="5">
        <v>11518.549000000001</v>
      </c>
      <c r="J112" s="5">
        <v>9496.4040000000005</v>
      </c>
      <c r="K112" s="5">
        <v>11186.322</v>
      </c>
      <c r="L112" s="5">
        <v>14236.786</v>
      </c>
      <c r="M112" s="5">
        <v>13447.804</v>
      </c>
      <c r="N112" s="5">
        <v>11449.637000000001</v>
      </c>
      <c r="O112" s="5">
        <v>10929.007</v>
      </c>
      <c r="P112" s="5">
        <v>12277.116</v>
      </c>
      <c r="Q112" s="5">
        <v>9957.0679999999993</v>
      </c>
      <c r="R112" s="5">
        <v>10553.527</v>
      </c>
      <c r="S112" s="5">
        <v>10259.784</v>
      </c>
      <c r="T112" s="5">
        <v>10016.333000000001</v>
      </c>
      <c r="U112" s="5">
        <v>10291.628000000001</v>
      </c>
      <c r="V112" s="5">
        <v>9446.1020000000008</v>
      </c>
      <c r="W112" s="5">
        <v>12100.901</v>
      </c>
      <c r="X112" s="5">
        <v>12678.078</v>
      </c>
      <c r="Y112" s="5">
        <v>14553.672</v>
      </c>
      <c r="Z112" s="5">
        <v>13140.353999999999</v>
      </c>
      <c r="AA112" s="5">
        <v>14904.114</v>
      </c>
      <c r="AB112" s="5">
        <v>12996.476000000001</v>
      </c>
      <c r="AC112" s="5">
        <v>12609.146000000001</v>
      </c>
      <c r="AD112" s="5">
        <v>12490.348</v>
      </c>
      <c r="AE112" s="5">
        <v>12127.046</v>
      </c>
      <c r="AF112" s="5">
        <v>12757.183999999999</v>
      </c>
      <c r="AG112" s="5">
        <v>12939.65</v>
      </c>
      <c r="AH112" s="5">
        <v>15847.52</v>
      </c>
      <c r="AI112" s="5">
        <v>17186.313999999998</v>
      </c>
      <c r="AJ112" s="5">
        <v>14025.245000000001</v>
      </c>
      <c r="AK112" s="5">
        <v>15490.915000000001</v>
      </c>
      <c r="AL112" s="5">
        <v>16109.379000000001</v>
      </c>
      <c r="AM112" s="5">
        <v>15382.365</v>
      </c>
      <c r="AN112" s="5">
        <v>12184.795</v>
      </c>
      <c r="AO112" s="5">
        <v>10787.007</v>
      </c>
      <c r="AP112" s="5">
        <v>10561.075000000001</v>
      </c>
      <c r="AQ112" s="5">
        <v>9917.8719999999994</v>
      </c>
      <c r="AR112" s="5">
        <v>9349.1880000000001</v>
      </c>
      <c r="AS112" s="5">
        <v>10851.514999999999</v>
      </c>
      <c r="AT112" s="5">
        <v>13465.529</v>
      </c>
    </row>
    <row r="113" spans="1:46" x14ac:dyDescent="0.25">
      <c r="A113" s="4" t="s">
        <v>206</v>
      </c>
      <c r="B113" s="4" t="s">
        <v>207</v>
      </c>
      <c r="C113" s="4" t="s">
        <v>246</v>
      </c>
      <c r="D113" s="4" t="s">
        <v>263</v>
      </c>
      <c r="E113" s="4" t="s">
        <v>248</v>
      </c>
      <c r="F113" s="4" t="s">
        <v>195</v>
      </c>
      <c r="G113" s="4" t="s">
        <v>76</v>
      </c>
      <c r="H113" s="4" t="s">
        <v>268</v>
      </c>
      <c r="I113" s="5">
        <v>5288.643</v>
      </c>
      <c r="J113" s="5">
        <v>4595.1289999999999</v>
      </c>
      <c r="K113" s="5">
        <v>4303.3019999999997</v>
      </c>
      <c r="L113" s="5">
        <v>4386.1899999999996</v>
      </c>
      <c r="M113" s="5">
        <v>4881.4049999999997</v>
      </c>
      <c r="N113" s="5">
        <v>5067.0730000000003</v>
      </c>
      <c r="O113" s="5">
        <v>4870.7439999999997</v>
      </c>
      <c r="P113" s="5">
        <v>4453.7939999999999</v>
      </c>
      <c r="Q113" s="5">
        <v>4375.2449999999999</v>
      </c>
      <c r="R113" s="5">
        <v>4304.1409999999996</v>
      </c>
      <c r="S113" s="5">
        <v>4313.9880000000003</v>
      </c>
      <c r="T113" s="5">
        <v>4329.3980000000001</v>
      </c>
      <c r="U113" s="5">
        <v>4794.7120000000004</v>
      </c>
      <c r="V113" s="5">
        <v>5423.9650000000001</v>
      </c>
      <c r="W113" s="5">
        <v>6698.7169999999996</v>
      </c>
      <c r="X113" s="5">
        <v>6409.5050000000001</v>
      </c>
      <c r="Y113" s="5">
        <v>6656.7879999999996</v>
      </c>
      <c r="Z113" s="5">
        <v>6697.5479999999998</v>
      </c>
      <c r="AA113" s="5">
        <v>6017.4769999999999</v>
      </c>
      <c r="AB113" s="5">
        <v>5893.759</v>
      </c>
      <c r="AC113" s="5">
        <v>5751.5889999999999</v>
      </c>
      <c r="AD113" s="5">
        <v>5614.991</v>
      </c>
      <c r="AE113" s="5">
        <v>5563.5550000000003</v>
      </c>
      <c r="AF113" s="5">
        <v>5444.491</v>
      </c>
      <c r="AG113" s="5">
        <v>6089.6890000000003</v>
      </c>
      <c r="AH113" s="5">
        <v>6474.6559999999999</v>
      </c>
      <c r="AI113" s="5">
        <v>7217.07</v>
      </c>
      <c r="AJ113" s="5">
        <v>6761.1980000000003</v>
      </c>
      <c r="AK113" s="5">
        <v>7847.4620000000004</v>
      </c>
      <c r="AL113" s="5">
        <v>6916.2219999999998</v>
      </c>
      <c r="AM113" s="5">
        <v>6823.7089999999998</v>
      </c>
      <c r="AN113" s="5">
        <v>7928.6149999999998</v>
      </c>
      <c r="AO113" s="5">
        <v>7118.9210000000003</v>
      </c>
      <c r="AP113" s="5">
        <v>7026.0910000000003</v>
      </c>
      <c r="AQ113" s="5">
        <v>7158.509</v>
      </c>
      <c r="AR113" s="5">
        <v>6822.5</v>
      </c>
      <c r="AS113" s="5">
        <v>6465.4989999999998</v>
      </c>
      <c r="AT113" s="5">
        <v>6513.6610000000001</v>
      </c>
    </row>
    <row r="114" spans="1:46" x14ac:dyDescent="0.25">
      <c r="A114" s="4" t="s">
        <v>206</v>
      </c>
      <c r="B114" s="4" t="s">
        <v>207</v>
      </c>
      <c r="C114" s="4" t="s">
        <v>246</v>
      </c>
      <c r="D114" s="4" t="s">
        <v>263</v>
      </c>
      <c r="E114" s="4" t="s">
        <v>248</v>
      </c>
      <c r="F114" s="4" t="s">
        <v>195</v>
      </c>
      <c r="G114" s="4" t="s">
        <v>85</v>
      </c>
      <c r="H114" s="4" t="s">
        <v>268</v>
      </c>
      <c r="I114" s="5">
        <v>24620.107</v>
      </c>
      <c r="J114" s="5">
        <v>24321.559000000001</v>
      </c>
      <c r="K114" s="5">
        <v>26808.365000000002</v>
      </c>
      <c r="L114" s="5">
        <v>26374.065999999999</v>
      </c>
      <c r="M114" s="5">
        <v>28956.531999999999</v>
      </c>
      <c r="N114" s="5">
        <v>26503.449000000001</v>
      </c>
      <c r="O114" s="5">
        <v>28667.179</v>
      </c>
      <c r="P114" s="5">
        <v>24332.044000000002</v>
      </c>
      <c r="Q114" s="5">
        <v>22741.971000000001</v>
      </c>
      <c r="R114" s="5">
        <v>25081.488000000001</v>
      </c>
      <c r="S114" s="5">
        <v>24015.257000000001</v>
      </c>
      <c r="T114" s="5">
        <v>24533.236000000001</v>
      </c>
      <c r="U114" s="5">
        <v>24110.921999999999</v>
      </c>
      <c r="V114" s="5">
        <v>25025.721000000001</v>
      </c>
      <c r="W114" s="5">
        <v>27985.202000000001</v>
      </c>
      <c r="X114" s="5">
        <v>31877.346000000001</v>
      </c>
      <c r="Y114" s="5">
        <v>32450.828000000001</v>
      </c>
      <c r="Z114" s="5">
        <v>28889.514999999999</v>
      </c>
      <c r="AA114" s="5">
        <v>28357.241000000002</v>
      </c>
      <c r="AB114" s="5">
        <v>27470.569</v>
      </c>
      <c r="AC114" s="5">
        <v>28631.679</v>
      </c>
      <c r="AD114" s="5">
        <v>25919.965</v>
      </c>
      <c r="AE114" s="5">
        <v>26638.028999999999</v>
      </c>
      <c r="AF114" s="5">
        <v>25071.921999999999</v>
      </c>
      <c r="AG114" s="5">
        <v>26770.288</v>
      </c>
      <c r="AH114" s="5">
        <v>24053.907999999999</v>
      </c>
      <c r="AI114" s="5">
        <v>27093.887999999999</v>
      </c>
      <c r="AJ114" s="5">
        <v>30026.652999999998</v>
      </c>
      <c r="AK114" s="5">
        <v>32577.868999999999</v>
      </c>
      <c r="AL114" s="5">
        <v>30847.83</v>
      </c>
      <c r="AM114" s="5">
        <v>32183.625</v>
      </c>
      <c r="AN114" s="5">
        <v>31581.769</v>
      </c>
      <c r="AO114" s="5">
        <v>29409.960999999999</v>
      </c>
      <c r="AP114" s="5">
        <v>29875.732</v>
      </c>
      <c r="AQ114" s="5">
        <v>28934.325000000001</v>
      </c>
      <c r="AR114" s="5">
        <v>28871.572</v>
      </c>
      <c r="AS114" s="5">
        <v>29493.644</v>
      </c>
      <c r="AT114" s="5">
        <v>31071.918000000001</v>
      </c>
    </row>
    <row r="115" spans="1:46" x14ac:dyDescent="0.25">
      <c r="A115" s="4" t="s">
        <v>206</v>
      </c>
      <c r="B115" s="4" t="s">
        <v>207</v>
      </c>
      <c r="C115" s="4" t="s">
        <v>246</v>
      </c>
      <c r="D115" s="4" t="s">
        <v>265</v>
      </c>
      <c r="E115" s="4" t="s">
        <v>266</v>
      </c>
      <c r="F115" s="4" t="s">
        <v>195</v>
      </c>
      <c r="G115" s="4" t="s">
        <v>93</v>
      </c>
      <c r="H115" s="4" t="s">
        <v>268</v>
      </c>
      <c r="I115" s="5">
        <v>4609.3540000000003</v>
      </c>
      <c r="J115" s="5">
        <v>3940.0419999999999</v>
      </c>
      <c r="K115" s="5">
        <v>5316.0739999999996</v>
      </c>
      <c r="L115" s="5">
        <v>5795.3429999999998</v>
      </c>
      <c r="M115" s="5">
        <v>4913.1899999999996</v>
      </c>
      <c r="N115" s="5">
        <v>6104.692</v>
      </c>
      <c r="O115" s="5">
        <v>5176.2259999999997</v>
      </c>
      <c r="P115" s="5">
        <v>4689.4129999999996</v>
      </c>
      <c r="Q115" s="5">
        <v>4370.9530000000004</v>
      </c>
      <c r="R115" s="5">
        <v>3991.8339999999998</v>
      </c>
      <c r="S115" s="5">
        <v>3813.692</v>
      </c>
      <c r="T115" s="5">
        <v>3440.8339999999998</v>
      </c>
      <c r="U115" s="5">
        <v>4403.9260000000004</v>
      </c>
      <c r="V115" s="5">
        <v>4708.585</v>
      </c>
      <c r="W115" s="5">
        <v>5445.6310000000003</v>
      </c>
      <c r="X115" s="5">
        <v>4669.53</v>
      </c>
      <c r="Y115" s="5">
        <v>5418.4769999999999</v>
      </c>
      <c r="Z115" s="5">
        <v>4096.1559999999999</v>
      </c>
      <c r="AA115" s="5">
        <v>3139.2739999999999</v>
      </c>
      <c r="AB115" s="5">
        <v>2933.6219999999998</v>
      </c>
      <c r="AC115" s="5">
        <v>2746.982</v>
      </c>
      <c r="AD115" s="5">
        <v>2529.3879999999999</v>
      </c>
      <c r="AE115" s="5">
        <v>2267.7930000000001</v>
      </c>
      <c r="AF115" s="5">
        <v>2363.721</v>
      </c>
      <c r="AG115" s="5">
        <v>2201.4409999999998</v>
      </c>
      <c r="AH115" s="5">
        <v>2586.0569999999998</v>
      </c>
      <c r="AI115" s="5">
        <v>2790.06</v>
      </c>
      <c r="AJ115" s="5">
        <v>2625.7139999999999</v>
      </c>
      <c r="AK115" s="5">
        <v>3756.8739999999998</v>
      </c>
      <c r="AL115" s="5">
        <v>3022.8969999999999</v>
      </c>
      <c r="AM115" s="5">
        <v>3199.4160000000002</v>
      </c>
      <c r="AN115" s="5">
        <v>2990.703</v>
      </c>
      <c r="AO115" s="5">
        <v>3091.8180000000002</v>
      </c>
      <c r="AP115" s="5">
        <v>3427.973</v>
      </c>
      <c r="AQ115" s="5">
        <v>3388.49</v>
      </c>
      <c r="AR115" s="5">
        <v>3598.7829999999999</v>
      </c>
      <c r="AS115" s="5">
        <v>3586.123</v>
      </c>
      <c r="AT115" s="5">
        <v>3353.1219999999998</v>
      </c>
    </row>
    <row r="116" spans="1:46" x14ac:dyDescent="0.25">
      <c r="A116" s="4" t="s">
        <v>196</v>
      </c>
      <c r="B116" s="4" t="s">
        <v>207</v>
      </c>
      <c r="C116" s="4" t="s">
        <v>246</v>
      </c>
      <c r="D116" s="4" t="s">
        <v>247</v>
      </c>
      <c r="E116" s="4" t="s">
        <v>248</v>
      </c>
      <c r="F116" s="4" t="s">
        <v>201</v>
      </c>
      <c r="G116" s="4" t="s">
        <v>93</v>
      </c>
      <c r="H116" s="4" t="s">
        <v>268</v>
      </c>
      <c r="I116" s="5">
        <v>802.279</v>
      </c>
      <c r="J116" s="5">
        <v>649.154</v>
      </c>
      <c r="K116" s="5">
        <v>627.245</v>
      </c>
      <c r="L116" s="5">
        <v>557.53700000000003</v>
      </c>
      <c r="M116" s="5">
        <v>481.57600000000002</v>
      </c>
      <c r="N116" s="5">
        <v>574.05499999999995</v>
      </c>
      <c r="O116" s="5">
        <v>629.846</v>
      </c>
      <c r="P116" s="5">
        <v>637.49800000000005</v>
      </c>
      <c r="Q116" s="5">
        <v>562.42899999999997</v>
      </c>
      <c r="R116" s="5">
        <v>542.51700000000005</v>
      </c>
      <c r="S116" s="5">
        <v>489.49900000000002</v>
      </c>
      <c r="T116" s="5">
        <v>489.49900000000002</v>
      </c>
      <c r="U116" s="5">
        <v>479.08699999999999</v>
      </c>
      <c r="V116" s="5">
        <v>545.01400000000001</v>
      </c>
      <c r="W116" s="5">
        <v>524.17899999999997</v>
      </c>
      <c r="X116" s="5">
        <v>559.29499999999996</v>
      </c>
      <c r="Y116" s="5">
        <v>545.20299999999997</v>
      </c>
      <c r="Z116" s="5">
        <v>587.88300000000004</v>
      </c>
      <c r="AA116" s="5">
        <v>682.37800000000004</v>
      </c>
      <c r="AB116" s="5">
        <v>774.38400000000001</v>
      </c>
      <c r="AC116" s="5">
        <v>759.68499999999995</v>
      </c>
      <c r="AD116" s="5">
        <v>756.80200000000002</v>
      </c>
      <c r="AE116" s="5">
        <v>593.12099999999998</v>
      </c>
      <c r="AF116" s="5">
        <v>552.22199999999998</v>
      </c>
      <c r="AG116" s="5">
        <v>608.23900000000003</v>
      </c>
      <c r="AH116" s="5">
        <v>609.67200000000003</v>
      </c>
      <c r="AI116" s="5">
        <v>524.28700000000003</v>
      </c>
      <c r="AJ116" s="5">
        <v>584.25900000000001</v>
      </c>
      <c r="AK116" s="5">
        <v>757.67200000000003</v>
      </c>
      <c r="AL116" s="5">
        <v>987.625</v>
      </c>
      <c r="AM116" s="5">
        <v>1165.806</v>
      </c>
      <c r="AN116" s="5">
        <v>1070.9870000000001</v>
      </c>
      <c r="AO116" s="5">
        <v>1040.3030000000001</v>
      </c>
      <c r="AP116" s="5">
        <v>1371.356</v>
      </c>
      <c r="AQ116" s="5">
        <v>1150.915</v>
      </c>
      <c r="AR116" s="5">
        <v>1002.138</v>
      </c>
      <c r="AS116" s="5">
        <v>962.34299999999996</v>
      </c>
      <c r="AT116" s="5">
        <v>942.04600000000005</v>
      </c>
    </row>
    <row r="117" spans="1:46" x14ac:dyDescent="0.25">
      <c r="A117" s="4" t="s">
        <v>196</v>
      </c>
      <c r="B117" s="4" t="s">
        <v>207</v>
      </c>
      <c r="C117" s="4" t="s">
        <v>246</v>
      </c>
      <c r="D117" s="4" t="s">
        <v>247</v>
      </c>
      <c r="E117" s="4" t="s">
        <v>248</v>
      </c>
      <c r="F117" s="4" t="s">
        <v>201</v>
      </c>
      <c r="G117" s="4" t="s">
        <v>253</v>
      </c>
      <c r="H117" s="4" t="s">
        <v>268</v>
      </c>
      <c r="I117" s="5">
        <v>74.673000000000002</v>
      </c>
      <c r="J117" s="5">
        <v>62.926000000000002</v>
      </c>
      <c r="K117" s="5">
        <v>50.314999999999998</v>
      </c>
      <c r="L117" s="5">
        <v>30.8</v>
      </c>
      <c r="M117" s="5">
        <v>27.504999999999999</v>
      </c>
      <c r="N117" s="5">
        <v>15.8</v>
      </c>
      <c r="O117" s="5">
        <v>15.8</v>
      </c>
      <c r="P117" s="5">
        <v>15.8</v>
      </c>
      <c r="Q117" s="5">
        <v>10.412000000000001</v>
      </c>
      <c r="R117" s="5">
        <v>10.412000000000001</v>
      </c>
      <c r="S117" s="5">
        <v>10.412000000000001</v>
      </c>
      <c r="T117" s="5">
        <v>10.412000000000001</v>
      </c>
      <c r="U117" s="5">
        <v>10.412000000000001</v>
      </c>
      <c r="V117" s="5">
        <v>10.412000000000001</v>
      </c>
      <c r="W117" s="5">
        <v>10.412000000000001</v>
      </c>
      <c r="X117" s="5">
        <v>10.145</v>
      </c>
      <c r="Y117" s="5">
        <v>10.145</v>
      </c>
      <c r="Z117" s="5">
        <v>10.145</v>
      </c>
      <c r="AA117" s="8">
        <v>0</v>
      </c>
      <c r="AB117" s="8">
        <v>0</v>
      </c>
      <c r="AC117" s="8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</row>
    <row r="118" spans="1:46" x14ac:dyDescent="0.25">
      <c r="A118" s="4" t="s">
        <v>196</v>
      </c>
      <c r="B118" s="4" t="s">
        <v>207</v>
      </c>
      <c r="C118" s="4" t="s">
        <v>246</v>
      </c>
      <c r="D118" s="4" t="s">
        <v>247</v>
      </c>
      <c r="E118" s="4" t="s">
        <v>248</v>
      </c>
      <c r="F118" s="4" t="s">
        <v>202</v>
      </c>
      <c r="G118" s="4" t="s">
        <v>93</v>
      </c>
      <c r="H118" s="4" t="s">
        <v>268</v>
      </c>
      <c r="I118" s="5">
        <v>4855.2569999999996</v>
      </c>
      <c r="J118" s="5">
        <v>4963.8689999999997</v>
      </c>
      <c r="K118" s="5">
        <v>5807.3770000000004</v>
      </c>
      <c r="L118" s="5">
        <v>6466.1310000000003</v>
      </c>
      <c r="M118" s="5">
        <v>7447.4470000000001</v>
      </c>
      <c r="N118" s="5">
        <v>8048.2520000000004</v>
      </c>
      <c r="O118" s="5">
        <v>7714.0690000000004</v>
      </c>
      <c r="P118" s="5">
        <v>6573.1890000000003</v>
      </c>
      <c r="Q118" s="5">
        <v>6572.2269999999999</v>
      </c>
      <c r="R118" s="5">
        <v>6149.8810000000003</v>
      </c>
      <c r="S118" s="5">
        <v>6081.8689999999997</v>
      </c>
      <c r="T118" s="5">
        <v>6427.8860000000004</v>
      </c>
      <c r="U118" s="5">
        <v>5929.3190000000004</v>
      </c>
      <c r="V118" s="5">
        <v>6469.0330000000004</v>
      </c>
      <c r="W118" s="5">
        <v>7441.0159999999996</v>
      </c>
      <c r="X118" s="5">
        <v>7825.5680000000002</v>
      </c>
      <c r="Y118" s="5">
        <v>7866.0259999999998</v>
      </c>
      <c r="Z118" s="5">
        <v>7551.7780000000002</v>
      </c>
      <c r="AA118" s="5">
        <v>6608.84</v>
      </c>
      <c r="AB118" s="5">
        <v>6605.9350000000004</v>
      </c>
      <c r="AC118" s="5">
        <v>6174.326</v>
      </c>
      <c r="AD118" s="5">
        <v>5970.5079999999998</v>
      </c>
      <c r="AE118" s="5">
        <v>5768.8159999999998</v>
      </c>
      <c r="AF118" s="5">
        <v>5270.2520000000004</v>
      </c>
      <c r="AG118" s="5">
        <v>5736.4930000000004</v>
      </c>
      <c r="AH118" s="5">
        <v>6489.4989999999998</v>
      </c>
      <c r="AI118" s="5">
        <v>6697.7330000000002</v>
      </c>
      <c r="AJ118" s="5">
        <v>6323.3360000000002</v>
      </c>
      <c r="AK118" s="5">
        <v>6747.2479999999996</v>
      </c>
      <c r="AL118" s="5">
        <v>7544.5810000000001</v>
      </c>
      <c r="AM118" s="5">
        <v>6741.1909999999998</v>
      </c>
      <c r="AN118" s="5">
        <v>6778.5609999999997</v>
      </c>
      <c r="AO118" s="5">
        <v>7038.1959999999999</v>
      </c>
      <c r="AP118" s="5">
        <v>6969.1559999999999</v>
      </c>
      <c r="AQ118" s="5">
        <v>6281.1239999999998</v>
      </c>
      <c r="AR118" s="5">
        <v>6557.0929999999998</v>
      </c>
      <c r="AS118" s="5">
        <v>7187.1909999999998</v>
      </c>
      <c r="AT118" s="5">
        <v>6687.1760000000004</v>
      </c>
    </row>
    <row r="119" spans="1:46" x14ac:dyDescent="0.25">
      <c r="A119" s="4" t="s">
        <v>196</v>
      </c>
      <c r="B119" s="4" t="s">
        <v>207</v>
      </c>
      <c r="C119" s="4" t="s">
        <v>246</v>
      </c>
      <c r="D119" s="4" t="s">
        <v>247</v>
      </c>
      <c r="E119" s="4" t="s">
        <v>248</v>
      </c>
      <c r="F119" s="4" t="s">
        <v>202</v>
      </c>
      <c r="G119" s="4" t="s">
        <v>113</v>
      </c>
      <c r="H119" s="4" t="s">
        <v>268</v>
      </c>
      <c r="I119" s="5">
        <v>724.774</v>
      </c>
      <c r="J119" s="5">
        <v>694.654</v>
      </c>
      <c r="K119" s="5">
        <v>707.79</v>
      </c>
      <c r="L119" s="5">
        <v>777.75099999999998</v>
      </c>
      <c r="M119" s="5">
        <v>807.53099999999995</v>
      </c>
      <c r="N119" s="5">
        <v>815.25800000000004</v>
      </c>
      <c r="O119" s="5">
        <v>1079.3989999999999</v>
      </c>
      <c r="P119" s="5">
        <v>995.80200000000002</v>
      </c>
      <c r="Q119" s="5">
        <v>1014.412</v>
      </c>
      <c r="R119" s="5">
        <v>857.09799999999996</v>
      </c>
      <c r="S119" s="5">
        <v>887.6</v>
      </c>
      <c r="T119" s="5">
        <v>987.83</v>
      </c>
      <c r="U119" s="5">
        <v>801.10299999999995</v>
      </c>
      <c r="V119" s="5">
        <v>740.92</v>
      </c>
      <c r="W119" s="5">
        <v>889.61900000000003</v>
      </c>
      <c r="X119" s="5">
        <v>1185.077</v>
      </c>
      <c r="Y119" s="5">
        <v>1345.8309999999999</v>
      </c>
      <c r="Z119" s="5">
        <v>1195.98</v>
      </c>
      <c r="AA119" s="5">
        <v>1051.672</v>
      </c>
      <c r="AB119" s="5">
        <v>898.42600000000004</v>
      </c>
      <c r="AC119" s="5">
        <v>935.12400000000002</v>
      </c>
      <c r="AD119" s="5">
        <v>952.06600000000003</v>
      </c>
      <c r="AE119" s="5">
        <v>857.16399999999999</v>
      </c>
      <c r="AF119" s="5">
        <v>826.56399999999996</v>
      </c>
      <c r="AG119" s="5">
        <v>959.19100000000003</v>
      </c>
      <c r="AH119" s="5">
        <v>1008.501</v>
      </c>
      <c r="AI119" s="5">
        <v>1015.552</v>
      </c>
      <c r="AJ119" s="5">
        <v>1158.607</v>
      </c>
      <c r="AK119" s="5">
        <v>1569.7239999999999</v>
      </c>
      <c r="AL119" s="5">
        <v>1617.13</v>
      </c>
      <c r="AM119" s="5">
        <v>1442.194</v>
      </c>
      <c r="AN119" s="5">
        <v>1395.2460000000001</v>
      </c>
      <c r="AO119" s="5">
        <v>1143.0550000000001</v>
      </c>
      <c r="AP119" s="5">
        <v>1080.8230000000001</v>
      </c>
      <c r="AQ119" s="5">
        <v>902.31</v>
      </c>
      <c r="AR119" s="5">
        <v>992.37800000000004</v>
      </c>
      <c r="AS119" s="5">
        <v>1035.905</v>
      </c>
      <c r="AT119" s="5">
        <v>860.07500000000005</v>
      </c>
    </row>
    <row r="120" spans="1:46" x14ac:dyDescent="0.25">
      <c r="A120" s="4" t="s">
        <v>196</v>
      </c>
      <c r="B120" s="4" t="s">
        <v>207</v>
      </c>
      <c r="C120" s="4" t="s">
        <v>246</v>
      </c>
      <c r="D120" s="4" t="s">
        <v>247</v>
      </c>
      <c r="E120" s="4" t="s">
        <v>248</v>
      </c>
      <c r="F120" s="4" t="s">
        <v>202</v>
      </c>
      <c r="G120" s="4" t="s">
        <v>116</v>
      </c>
      <c r="H120" s="4" t="s">
        <v>268</v>
      </c>
      <c r="I120" s="5">
        <v>2212.9699999999998</v>
      </c>
      <c r="J120" s="5">
        <v>2165.5790000000002</v>
      </c>
      <c r="K120" s="5">
        <v>2139.0920000000001</v>
      </c>
      <c r="L120" s="5">
        <v>2076.2730000000001</v>
      </c>
      <c r="M120" s="5">
        <v>2164.549</v>
      </c>
      <c r="N120" s="5">
        <v>1817.117</v>
      </c>
      <c r="O120" s="5">
        <v>1800.1289999999999</v>
      </c>
      <c r="P120" s="5">
        <v>1623.8</v>
      </c>
      <c r="Q120" s="5">
        <v>1483.335</v>
      </c>
      <c r="R120" s="5">
        <v>1503.789</v>
      </c>
      <c r="S120" s="5">
        <v>1580.1679999999999</v>
      </c>
      <c r="T120" s="5">
        <v>1536.633</v>
      </c>
      <c r="U120" s="5">
        <v>1575.1869999999999</v>
      </c>
      <c r="V120" s="5">
        <v>1676.2360000000001</v>
      </c>
      <c r="W120" s="5">
        <v>1658.2760000000001</v>
      </c>
      <c r="X120" s="5">
        <v>1729.626</v>
      </c>
      <c r="Y120" s="5">
        <v>1919.28</v>
      </c>
      <c r="Z120" s="5">
        <v>2066.2750000000001</v>
      </c>
      <c r="AA120" s="5">
        <v>1922.1849999999999</v>
      </c>
      <c r="AB120" s="5">
        <v>1769.2470000000001</v>
      </c>
      <c r="AC120" s="5">
        <v>1803.7260000000001</v>
      </c>
      <c r="AD120" s="5">
        <v>1757.827</v>
      </c>
      <c r="AE120" s="5">
        <v>1636.3689999999999</v>
      </c>
      <c r="AF120" s="5">
        <v>1691.62</v>
      </c>
      <c r="AG120" s="5">
        <v>1838.422</v>
      </c>
      <c r="AH120" s="5">
        <v>1963.8589999999999</v>
      </c>
      <c r="AI120" s="5">
        <v>1787.4839999999999</v>
      </c>
      <c r="AJ120" s="5">
        <v>1719.0419999999999</v>
      </c>
      <c r="AK120" s="5">
        <v>1603.742</v>
      </c>
      <c r="AL120" s="5">
        <v>1494.921</v>
      </c>
      <c r="AM120" s="5">
        <v>1504.7049999999999</v>
      </c>
      <c r="AN120" s="5">
        <v>1461.2339999999999</v>
      </c>
      <c r="AO120" s="5">
        <v>1098.683</v>
      </c>
      <c r="AP120" s="5">
        <v>1100.038</v>
      </c>
      <c r="AQ120" s="5">
        <v>1137.615</v>
      </c>
      <c r="AR120" s="5">
        <v>987.55100000000004</v>
      </c>
      <c r="AS120" s="5">
        <v>1116.5229999999999</v>
      </c>
      <c r="AT120" s="5">
        <v>1116.7380000000001</v>
      </c>
    </row>
    <row r="121" spans="1:46" x14ac:dyDescent="0.25">
      <c r="A121" s="4" t="s">
        <v>196</v>
      </c>
      <c r="B121" s="4" t="s">
        <v>207</v>
      </c>
      <c r="C121" s="4" t="s">
        <v>246</v>
      </c>
      <c r="D121" s="4" t="s">
        <v>247</v>
      </c>
      <c r="E121" s="4" t="s">
        <v>248</v>
      </c>
      <c r="F121" s="4" t="s">
        <v>202</v>
      </c>
      <c r="G121" s="4" t="s">
        <v>103</v>
      </c>
      <c r="H121" s="4" t="s">
        <v>268</v>
      </c>
      <c r="I121" s="5">
        <v>9063.33</v>
      </c>
      <c r="J121" s="5">
        <v>8987.8060000000005</v>
      </c>
      <c r="K121" s="5">
        <v>10301.526</v>
      </c>
      <c r="L121" s="5">
        <v>9972.5020000000004</v>
      </c>
      <c r="M121" s="5">
        <v>9761.6779999999999</v>
      </c>
      <c r="N121" s="5">
        <v>10616.623</v>
      </c>
      <c r="O121" s="5">
        <v>9755.4549999999999</v>
      </c>
      <c r="P121" s="5">
        <v>9783.8729999999996</v>
      </c>
      <c r="Q121" s="5">
        <v>9482.9660000000003</v>
      </c>
      <c r="R121" s="5">
        <v>8351.9940000000006</v>
      </c>
      <c r="S121" s="5">
        <v>8854.3050000000003</v>
      </c>
      <c r="T121" s="5">
        <v>9584.9169999999995</v>
      </c>
      <c r="U121" s="5">
        <v>9006.2379999999994</v>
      </c>
      <c r="V121" s="5">
        <v>9269.9609999999993</v>
      </c>
      <c r="W121" s="5">
        <v>9937.3649999999998</v>
      </c>
      <c r="X121" s="5">
        <v>10343.116</v>
      </c>
      <c r="Y121" s="5">
        <v>10281.146000000001</v>
      </c>
      <c r="Z121" s="5">
        <v>11266.749</v>
      </c>
      <c r="AA121" s="5">
        <v>10425.897000000001</v>
      </c>
      <c r="AB121" s="5">
        <v>9204.4989999999998</v>
      </c>
      <c r="AC121" s="5">
        <v>9281.2530000000006</v>
      </c>
      <c r="AD121" s="5">
        <v>9312.7849999999999</v>
      </c>
      <c r="AE121" s="5">
        <v>9285.3220000000001</v>
      </c>
      <c r="AF121" s="5">
        <v>8991.27</v>
      </c>
      <c r="AG121" s="5">
        <v>9502.35</v>
      </c>
      <c r="AH121" s="5">
        <v>9822.8490000000002</v>
      </c>
      <c r="AI121" s="5">
        <v>9060.93</v>
      </c>
      <c r="AJ121" s="5">
        <v>9780.1029999999992</v>
      </c>
      <c r="AK121" s="5">
        <v>10034.929</v>
      </c>
      <c r="AL121" s="5">
        <v>9295.4339999999993</v>
      </c>
      <c r="AM121" s="5">
        <v>8146.6970000000001</v>
      </c>
      <c r="AN121" s="5">
        <v>9171.6190000000006</v>
      </c>
      <c r="AO121" s="5">
        <v>8554.2620000000006</v>
      </c>
      <c r="AP121" s="5">
        <v>7789.4080000000004</v>
      </c>
      <c r="AQ121" s="5">
        <v>7035.1940000000004</v>
      </c>
      <c r="AR121" s="5">
        <v>6240.4520000000002</v>
      </c>
      <c r="AS121" s="5">
        <v>6553.3620000000001</v>
      </c>
      <c r="AT121" s="5">
        <v>6455.41</v>
      </c>
    </row>
    <row r="122" spans="1:46" x14ac:dyDescent="0.25">
      <c r="A122" s="4" t="s">
        <v>196</v>
      </c>
      <c r="B122" s="4" t="s">
        <v>207</v>
      </c>
      <c r="C122" s="4" t="s">
        <v>246</v>
      </c>
      <c r="D122" s="4" t="s">
        <v>254</v>
      </c>
      <c r="E122" s="4" t="s">
        <v>255</v>
      </c>
      <c r="F122" s="4" t="s">
        <v>203</v>
      </c>
      <c r="G122" s="4" t="s">
        <v>138</v>
      </c>
      <c r="H122" s="4" t="s">
        <v>268</v>
      </c>
      <c r="I122" s="5">
        <v>67.73</v>
      </c>
      <c r="J122" s="5">
        <v>65.483999999999995</v>
      </c>
      <c r="K122" s="5">
        <v>90.536000000000001</v>
      </c>
      <c r="L122" s="5">
        <v>83.308000000000007</v>
      </c>
      <c r="M122" s="5">
        <v>63.621000000000002</v>
      </c>
      <c r="N122" s="5">
        <v>63.621000000000002</v>
      </c>
      <c r="O122" s="5">
        <v>63.621000000000002</v>
      </c>
      <c r="P122" s="5">
        <v>51.055</v>
      </c>
      <c r="Q122" s="5">
        <v>53.823</v>
      </c>
      <c r="R122" s="5">
        <v>34.606999999999999</v>
      </c>
      <c r="S122" s="5">
        <v>69.241</v>
      </c>
      <c r="T122" s="5">
        <v>69.241</v>
      </c>
      <c r="U122" s="5">
        <v>69.241</v>
      </c>
      <c r="V122" s="5">
        <v>69.241</v>
      </c>
      <c r="W122" s="5">
        <v>69.016000000000005</v>
      </c>
      <c r="X122" s="5">
        <v>63.905999999999999</v>
      </c>
      <c r="Y122" s="5">
        <v>62.438000000000002</v>
      </c>
      <c r="Z122" s="5">
        <v>97.716999999999999</v>
      </c>
      <c r="AA122" s="5">
        <v>66.013999999999996</v>
      </c>
      <c r="AB122" s="5">
        <v>63.485999999999997</v>
      </c>
      <c r="AC122" s="5">
        <v>63.485999999999997</v>
      </c>
      <c r="AD122" s="5">
        <v>64.207999999999998</v>
      </c>
      <c r="AE122" s="5">
        <v>50.093000000000004</v>
      </c>
      <c r="AF122" s="5">
        <v>44.655999999999999</v>
      </c>
      <c r="AG122" s="5">
        <v>48.500999999999998</v>
      </c>
      <c r="AH122" s="5">
        <v>45.341000000000001</v>
      </c>
      <c r="AI122" s="5">
        <v>41.436999999999998</v>
      </c>
      <c r="AJ122" s="5">
        <v>36.229999999999997</v>
      </c>
      <c r="AK122" s="5">
        <v>4.9669999999999996</v>
      </c>
      <c r="AL122" s="5">
        <v>5.54</v>
      </c>
      <c r="AM122" s="5">
        <v>5.54</v>
      </c>
      <c r="AN122" s="5">
        <v>4.4320000000000004</v>
      </c>
      <c r="AO122" s="5">
        <v>4.4320000000000004</v>
      </c>
      <c r="AP122" s="5">
        <v>4.4320000000000004</v>
      </c>
      <c r="AQ122" s="5">
        <v>4.4320000000000004</v>
      </c>
      <c r="AR122" s="5">
        <v>5.0430000000000001</v>
      </c>
      <c r="AS122" s="5">
        <v>5.0430000000000001</v>
      </c>
      <c r="AT122" s="5">
        <v>5.0430000000000001</v>
      </c>
    </row>
    <row r="123" spans="1:46" x14ac:dyDescent="0.25">
      <c r="A123" s="4" t="s">
        <v>196</v>
      </c>
      <c r="B123" s="4" t="s">
        <v>207</v>
      </c>
      <c r="C123" s="4" t="s">
        <v>246</v>
      </c>
      <c r="D123" s="4" t="s">
        <v>254</v>
      </c>
      <c r="E123" s="4" t="s">
        <v>255</v>
      </c>
      <c r="F123" s="4" t="s">
        <v>203</v>
      </c>
      <c r="G123" s="4" t="s">
        <v>140</v>
      </c>
      <c r="H123" s="4" t="s">
        <v>268</v>
      </c>
      <c r="I123" s="5">
        <v>19.347999999999999</v>
      </c>
      <c r="J123" s="5">
        <v>25.597999999999999</v>
      </c>
      <c r="K123" s="5">
        <v>25.597999999999999</v>
      </c>
      <c r="L123" s="5">
        <v>25.597999999999999</v>
      </c>
      <c r="M123" s="5">
        <v>23.984999999999999</v>
      </c>
      <c r="N123" s="5">
        <v>23.984999999999999</v>
      </c>
      <c r="O123" s="5">
        <v>23.984999999999999</v>
      </c>
      <c r="P123" s="5">
        <v>17.018999999999998</v>
      </c>
      <c r="Q123" s="5">
        <v>16.779</v>
      </c>
      <c r="R123" s="5">
        <v>16.779</v>
      </c>
      <c r="S123" s="5">
        <v>16.779</v>
      </c>
      <c r="T123" s="5">
        <v>16.779</v>
      </c>
      <c r="U123" s="5">
        <v>16.779</v>
      </c>
      <c r="V123" s="5">
        <v>16.779</v>
      </c>
      <c r="W123" s="5">
        <v>16.779</v>
      </c>
      <c r="X123" s="8">
        <v>0</v>
      </c>
      <c r="Y123" s="8">
        <v>0</v>
      </c>
      <c r="Z123" s="8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</row>
    <row r="124" spans="1:46" x14ac:dyDescent="0.25">
      <c r="A124" s="4" t="s">
        <v>196</v>
      </c>
      <c r="B124" s="4" t="s">
        <v>207</v>
      </c>
      <c r="C124" s="4" t="s">
        <v>246</v>
      </c>
      <c r="D124" s="4" t="s">
        <v>254</v>
      </c>
      <c r="E124" s="4" t="s">
        <v>255</v>
      </c>
      <c r="F124" s="4" t="s">
        <v>195</v>
      </c>
      <c r="G124" s="4" t="s">
        <v>93</v>
      </c>
      <c r="H124" s="4" t="s">
        <v>268</v>
      </c>
      <c r="I124" s="5">
        <v>1054.5329999999999</v>
      </c>
      <c r="J124" s="5">
        <v>900.36800000000005</v>
      </c>
      <c r="K124" s="5">
        <v>1155.0920000000001</v>
      </c>
      <c r="L124" s="5">
        <v>948.77</v>
      </c>
      <c r="M124" s="5">
        <v>808.99699999999996</v>
      </c>
      <c r="N124" s="5">
        <v>984.68600000000004</v>
      </c>
      <c r="O124" s="5">
        <v>962.20299999999997</v>
      </c>
      <c r="P124" s="5">
        <v>953.06899999999996</v>
      </c>
      <c r="Q124" s="5">
        <v>862.95699999999999</v>
      </c>
      <c r="R124" s="5">
        <v>826.03700000000003</v>
      </c>
      <c r="S124" s="5">
        <v>882.721</v>
      </c>
      <c r="T124" s="5">
        <v>832.23</v>
      </c>
      <c r="U124" s="5">
        <v>827.07600000000002</v>
      </c>
      <c r="V124" s="5">
        <v>852.65599999999995</v>
      </c>
      <c r="W124" s="5">
        <v>895.77599999999995</v>
      </c>
      <c r="X124" s="5">
        <v>807.73699999999997</v>
      </c>
      <c r="Y124" s="5">
        <v>994.33299999999997</v>
      </c>
      <c r="Z124" s="5">
        <v>897.45799999999997</v>
      </c>
      <c r="AA124" s="5">
        <v>916.53499999999997</v>
      </c>
      <c r="AB124" s="5">
        <v>842.92899999999997</v>
      </c>
      <c r="AC124" s="5">
        <v>914.75599999999997</v>
      </c>
      <c r="AD124" s="5">
        <v>861.76099999999997</v>
      </c>
      <c r="AE124" s="5">
        <v>981.83799999999997</v>
      </c>
      <c r="AF124" s="5">
        <v>756.68499999999995</v>
      </c>
      <c r="AG124" s="5">
        <v>1005.705</v>
      </c>
      <c r="AH124" s="5">
        <v>1005.915</v>
      </c>
      <c r="AI124" s="5">
        <v>835.13099999999997</v>
      </c>
      <c r="AJ124" s="5">
        <v>738.34199999999998</v>
      </c>
      <c r="AK124" s="5">
        <v>806.15300000000002</v>
      </c>
      <c r="AL124" s="5">
        <v>800.09400000000005</v>
      </c>
      <c r="AM124" s="5">
        <v>948.78200000000004</v>
      </c>
      <c r="AN124" s="5">
        <v>841.90099999999995</v>
      </c>
      <c r="AO124" s="5">
        <v>833.03300000000002</v>
      </c>
      <c r="AP124" s="5">
        <v>839.62599999999998</v>
      </c>
      <c r="AQ124" s="5">
        <v>920.73299999999995</v>
      </c>
      <c r="AR124" s="5">
        <v>821.125</v>
      </c>
      <c r="AS124" s="5">
        <v>734.86300000000006</v>
      </c>
      <c r="AT124" s="5">
        <v>688.88499999999999</v>
      </c>
    </row>
    <row r="125" spans="1:46" x14ac:dyDescent="0.25">
      <c r="A125" s="4" t="s">
        <v>196</v>
      </c>
      <c r="B125" s="4" t="s">
        <v>207</v>
      </c>
      <c r="C125" s="4" t="s">
        <v>246</v>
      </c>
      <c r="D125" s="4" t="s">
        <v>254</v>
      </c>
      <c r="E125" s="4" t="s">
        <v>255</v>
      </c>
      <c r="F125" s="4" t="s">
        <v>195</v>
      </c>
      <c r="G125" s="4" t="s">
        <v>138</v>
      </c>
      <c r="H125" s="4" t="s">
        <v>268</v>
      </c>
      <c r="I125" s="5">
        <v>35.398000000000003</v>
      </c>
      <c r="J125" s="5">
        <v>69.037000000000006</v>
      </c>
      <c r="K125" s="5">
        <v>120.02800000000001</v>
      </c>
      <c r="L125" s="5">
        <v>120.221</v>
      </c>
      <c r="M125" s="5">
        <v>161.53299999999999</v>
      </c>
      <c r="N125" s="5">
        <v>125.983</v>
      </c>
      <c r="O125" s="5">
        <v>119.879</v>
      </c>
      <c r="P125" s="5">
        <v>118.73099999999999</v>
      </c>
      <c r="Q125" s="5">
        <v>122.578</v>
      </c>
      <c r="R125" s="5">
        <v>122.578</v>
      </c>
      <c r="S125" s="5">
        <v>134.541</v>
      </c>
      <c r="T125" s="5">
        <v>108.73099999999999</v>
      </c>
      <c r="U125" s="5">
        <v>121.459</v>
      </c>
      <c r="V125" s="5">
        <v>106.73099999999999</v>
      </c>
      <c r="W125" s="5">
        <v>87.632000000000005</v>
      </c>
      <c r="X125" s="5">
        <v>89.602999999999994</v>
      </c>
      <c r="Y125" s="5">
        <v>85.602999999999994</v>
      </c>
      <c r="Z125" s="5">
        <v>91.852000000000004</v>
      </c>
      <c r="AA125" s="5">
        <v>81.944000000000003</v>
      </c>
      <c r="AB125" s="5">
        <v>121.20699999999999</v>
      </c>
      <c r="AC125" s="5">
        <v>129.20699999999999</v>
      </c>
      <c r="AD125" s="5">
        <v>174.04499999999999</v>
      </c>
      <c r="AE125" s="5">
        <v>172.286</v>
      </c>
      <c r="AF125" s="5">
        <v>185.245</v>
      </c>
      <c r="AG125" s="5">
        <v>146.309</v>
      </c>
      <c r="AH125" s="5">
        <v>127.39700000000001</v>
      </c>
      <c r="AI125" s="5">
        <v>171.93299999999999</v>
      </c>
      <c r="AJ125" s="5">
        <v>185.40700000000001</v>
      </c>
      <c r="AK125" s="5">
        <v>224.101</v>
      </c>
      <c r="AL125" s="5">
        <v>271.66000000000003</v>
      </c>
      <c r="AM125" s="5">
        <v>224.29300000000001</v>
      </c>
      <c r="AN125" s="5">
        <v>229.05699999999999</v>
      </c>
      <c r="AO125" s="5">
        <v>247.70500000000001</v>
      </c>
      <c r="AP125" s="5">
        <v>238.952</v>
      </c>
      <c r="AQ125" s="5">
        <v>226.863</v>
      </c>
      <c r="AR125" s="5">
        <v>134.98099999999999</v>
      </c>
      <c r="AS125" s="5">
        <v>82.572000000000003</v>
      </c>
      <c r="AT125" s="5">
        <v>80.572000000000003</v>
      </c>
    </row>
    <row r="126" spans="1:46" x14ac:dyDescent="0.25">
      <c r="A126" s="4" t="s">
        <v>196</v>
      </c>
      <c r="B126" s="4" t="s">
        <v>207</v>
      </c>
      <c r="C126" s="4" t="s">
        <v>246</v>
      </c>
      <c r="D126" s="4" t="s">
        <v>254</v>
      </c>
      <c r="E126" s="4" t="s">
        <v>255</v>
      </c>
      <c r="F126" s="4" t="s">
        <v>195</v>
      </c>
      <c r="G126" s="4" t="s">
        <v>140</v>
      </c>
      <c r="H126" s="4" t="s">
        <v>268</v>
      </c>
      <c r="I126" s="5">
        <v>32.4</v>
      </c>
      <c r="J126" s="5">
        <v>29.4</v>
      </c>
      <c r="K126" s="5">
        <v>74.596000000000004</v>
      </c>
      <c r="L126" s="5">
        <v>77.796000000000006</v>
      </c>
      <c r="M126" s="5">
        <v>96.838999999999999</v>
      </c>
      <c r="N126" s="5">
        <v>26.6</v>
      </c>
      <c r="O126" s="5">
        <v>26.6</v>
      </c>
      <c r="P126" s="5">
        <v>43.234999999999999</v>
      </c>
      <c r="Q126" s="5">
        <v>64.676000000000002</v>
      </c>
      <c r="R126" s="5">
        <v>46.847999999999999</v>
      </c>
      <c r="S126" s="5">
        <v>109.88500000000001</v>
      </c>
      <c r="T126" s="5">
        <v>105.88500000000001</v>
      </c>
      <c r="U126" s="5">
        <v>103.88500000000001</v>
      </c>
      <c r="V126" s="5">
        <v>112.24</v>
      </c>
      <c r="W126" s="5">
        <v>133.18199999999999</v>
      </c>
      <c r="X126" s="5">
        <v>95.918999999999997</v>
      </c>
      <c r="Y126" s="5">
        <v>110.816</v>
      </c>
      <c r="Z126" s="5">
        <v>114.97199999999999</v>
      </c>
      <c r="AA126" s="5">
        <v>152.66499999999999</v>
      </c>
      <c r="AB126" s="5">
        <v>190.79400000000001</v>
      </c>
      <c r="AC126" s="5">
        <v>172.73599999999999</v>
      </c>
      <c r="AD126" s="5">
        <v>158.25299999999999</v>
      </c>
      <c r="AE126" s="5">
        <v>147.30500000000001</v>
      </c>
      <c r="AF126" s="5">
        <v>108.16500000000001</v>
      </c>
      <c r="AG126" s="5">
        <v>112.961</v>
      </c>
      <c r="AH126" s="5">
        <v>96.248000000000005</v>
      </c>
      <c r="AI126" s="5">
        <v>104.754</v>
      </c>
      <c r="AJ126" s="5">
        <v>46.04</v>
      </c>
      <c r="AK126" s="5">
        <v>124.307</v>
      </c>
      <c r="AL126" s="5">
        <v>242.47300000000001</v>
      </c>
      <c r="AM126" s="5">
        <v>194.83500000000001</v>
      </c>
      <c r="AN126" s="5">
        <v>205.31700000000001</v>
      </c>
      <c r="AO126" s="5">
        <v>289.21100000000001</v>
      </c>
      <c r="AP126" s="5">
        <v>280.45800000000003</v>
      </c>
      <c r="AQ126" s="5">
        <v>284.06200000000001</v>
      </c>
      <c r="AR126" s="5">
        <v>135.61799999999999</v>
      </c>
      <c r="AS126" s="5">
        <v>131.86000000000001</v>
      </c>
      <c r="AT126" s="5">
        <v>86.924000000000007</v>
      </c>
    </row>
    <row r="127" spans="1:46" x14ac:dyDescent="0.25">
      <c r="A127" s="4" t="s">
        <v>196</v>
      </c>
      <c r="B127" s="4" t="s">
        <v>207</v>
      </c>
      <c r="C127" s="4" t="s">
        <v>246</v>
      </c>
      <c r="D127" s="4" t="s">
        <v>254</v>
      </c>
      <c r="E127" s="4" t="s">
        <v>256</v>
      </c>
      <c r="F127" s="4" t="s">
        <v>195</v>
      </c>
      <c r="G127" s="4" t="s">
        <v>93</v>
      </c>
      <c r="H127" s="4" t="s">
        <v>268</v>
      </c>
      <c r="I127" s="5">
        <v>292.89699999999999</v>
      </c>
      <c r="J127" s="5">
        <v>266.25799999999998</v>
      </c>
      <c r="K127" s="5">
        <v>294.48200000000003</v>
      </c>
      <c r="L127" s="5">
        <v>270.50200000000001</v>
      </c>
      <c r="M127" s="5">
        <v>240.089</v>
      </c>
      <c r="N127" s="5">
        <v>171.279</v>
      </c>
      <c r="O127" s="5">
        <v>146.61500000000001</v>
      </c>
      <c r="P127" s="5">
        <v>147.09200000000001</v>
      </c>
      <c r="Q127" s="5">
        <v>143.37700000000001</v>
      </c>
      <c r="R127" s="5">
        <v>143.37700000000001</v>
      </c>
      <c r="S127" s="5">
        <v>156.79499999999999</v>
      </c>
      <c r="T127" s="5">
        <v>143.63300000000001</v>
      </c>
      <c r="U127" s="5">
        <v>145.63300000000001</v>
      </c>
      <c r="V127" s="5">
        <v>147.69800000000001</v>
      </c>
      <c r="W127" s="5">
        <v>133.25700000000001</v>
      </c>
      <c r="X127" s="5">
        <v>278.81200000000001</v>
      </c>
      <c r="Y127" s="5">
        <v>290.01299999999998</v>
      </c>
      <c r="Z127" s="5">
        <v>253.98599999999999</v>
      </c>
      <c r="AA127" s="5">
        <v>283.72800000000001</v>
      </c>
      <c r="AB127" s="5">
        <v>231.64500000000001</v>
      </c>
      <c r="AC127" s="5">
        <v>253.096</v>
      </c>
      <c r="AD127" s="5">
        <v>216.71199999999999</v>
      </c>
      <c r="AE127" s="5">
        <v>298.79599999999999</v>
      </c>
      <c r="AF127" s="5">
        <v>253.65299999999999</v>
      </c>
      <c r="AG127" s="5">
        <v>268.38799999999998</v>
      </c>
      <c r="AH127" s="5">
        <v>238.381</v>
      </c>
      <c r="AI127" s="5">
        <v>226.393</v>
      </c>
      <c r="AJ127" s="5">
        <v>132.75</v>
      </c>
      <c r="AK127" s="5">
        <v>291.69299999999998</v>
      </c>
      <c r="AL127" s="5">
        <v>223.244</v>
      </c>
      <c r="AM127" s="5">
        <v>181.05099999999999</v>
      </c>
      <c r="AN127" s="5">
        <v>186.25</v>
      </c>
      <c r="AO127" s="5">
        <v>174.988</v>
      </c>
      <c r="AP127" s="5">
        <v>153.71299999999999</v>
      </c>
      <c r="AQ127" s="5">
        <v>120.72199999999999</v>
      </c>
      <c r="AR127" s="5">
        <v>81.760000000000005</v>
      </c>
      <c r="AS127" s="5">
        <v>115.922</v>
      </c>
      <c r="AT127" s="5">
        <v>101.148</v>
      </c>
    </row>
    <row r="128" spans="1:46" x14ac:dyDescent="0.25">
      <c r="A128" s="4" t="s">
        <v>196</v>
      </c>
      <c r="B128" s="4" t="s">
        <v>207</v>
      </c>
      <c r="C128" s="4" t="s">
        <v>246</v>
      </c>
      <c r="D128" s="4" t="s">
        <v>254</v>
      </c>
      <c r="E128" s="4" t="s">
        <v>257</v>
      </c>
      <c r="F128" s="4" t="s">
        <v>203</v>
      </c>
      <c r="G128" s="4" t="s">
        <v>93</v>
      </c>
      <c r="H128" s="4" t="s">
        <v>268</v>
      </c>
      <c r="I128" s="5">
        <v>0</v>
      </c>
      <c r="J128" s="5">
        <v>6</v>
      </c>
      <c r="K128" s="5">
        <v>196.15</v>
      </c>
      <c r="L128" s="5">
        <v>195.73400000000001</v>
      </c>
      <c r="M128" s="5">
        <v>192.05500000000001</v>
      </c>
      <c r="N128" s="5">
        <v>117.44199999999999</v>
      </c>
      <c r="O128" s="5">
        <v>117.44199999999999</v>
      </c>
      <c r="P128" s="5">
        <v>105.36799999999999</v>
      </c>
      <c r="Q128" s="5">
        <v>77.311999999999998</v>
      </c>
      <c r="R128" s="5">
        <v>73.311999999999998</v>
      </c>
      <c r="S128" s="5">
        <v>4</v>
      </c>
      <c r="T128" s="5">
        <v>8</v>
      </c>
      <c r="U128" s="5">
        <v>6</v>
      </c>
      <c r="V128" s="5">
        <v>4</v>
      </c>
      <c r="W128" s="5">
        <v>8.5269999999999992</v>
      </c>
      <c r="X128" s="5">
        <v>12.936999999999999</v>
      </c>
      <c r="Y128" s="5">
        <v>6.9370000000000003</v>
      </c>
      <c r="Z128" s="5">
        <v>10.936999999999999</v>
      </c>
      <c r="AA128" s="5">
        <v>12.936999999999999</v>
      </c>
      <c r="AB128" s="5">
        <v>8.9369999999999994</v>
      </c>
      <c r="AC128" s="5">
        <v>10.936999999999999</v>
      </c>
      <c r="AD128" s="5">
        <v>10.936999999999999</v>
      </c>
      <c r="AE128" s="5">
        <v>10.936999999999999</v>
      </c>
      <c r="AF128" s="5">
        <v>10.936999999999999</v>
      </c>
      <c r="AG128" s="5">
        <v>10.936999999999999</v>
      </c>
      <c r="AH128" s="5">
        <v>12.936999999999999</v>
      </c>
      <c r="AI128" s="5">
        <v>74.247</v>
      </c>
      <c r="AJ128" s="5">
        <v>72.247</v>
      </c>
      <c r="AK128" s="5">
        <v>54.584000000000003</v>
      </c>
      <c r="AL128" s="5">
        <v>64.347999999999999</v>
      </c>
      <c r="AM128" s="5">
        <v>62.347999999999999</v>
      </c>
      <c r="AN128" s="5">
        <v>10.237</v>
      </c>
      <c r="AO128" s="5">
        <v>10.237</v>
      </c>
      <c r="AP128" s="5">
        <v>6.8239999999999998</v>
      </c>
      <c r="AQ128" s="5">
        <v>6.8239999999999998</v>
      </c>
      <c r="AR128" s="5">
        <v>7.4180000000000001</v>
      </c>
      <c r="AS128" s="5">
        <v>7.4180000000000001</v>
      </c>
      <c r="AT128" s="5">
        <v>7.4180000000000001</v>
      </c>
    </row>
    <row r="129" spans="1:46" x14ac:dyDescent="0.25">
      <c r="A129" s="4" t="s">
        <v>196</v>
      </c>
      <c r="B129" s="4" t="s">
        <v>207</v>
      </c>
      <c r="C129" s="4" t="s">
        <v>246</v>
      </c>
      <c r="D129" s="4" t="s">
        <v>254</v>
      </c>
      <c r="E129" s="4" t="s">
        <v>258</v>
      </c>
      <c r="F129" s="4" t="s">
        <v>203</v>
      </c>
      <c r="G129" s="4" t="s">
        <v>93</v>
      </c>
      <c r="H129" s="4" t="s">
        <v>268</v>
      </c>
      <c r="I129" s="5">
        <v>59.956000000000003</v>
      </c>
      <c r="J129" s="5">
        <v>59.956000000000003</v>
      </c>
      <c r="K129" s="5">
        <v>39.563000000000002</v>
      </c>
      <c r="L129" s="5">
        <v>54.220999999999997</v>
      </c>
      <c r="M129" s="5">
        <v>72.293999999999997</v>
      </c>
      <c r="N129" s="5">
        <v>54.220999999999997</v>
      </c>
      <c r="O129" s="5">
        <v>198.39699999999999</v>
      </c>
      <c r="P129" s="5">
        <v>201.721</v>
      </c>
      <c r="Q129" s="5">
        <v>238.90899999999999</v>
      </c>
      <c r="R129" s="5">
        <v>71.311999999999998</v>
      </c>
      <c r="S129" s="5">
        <v>71.427999999999997</v>
      </c>
      <c r="T129" s="5">
        <v>119.047</v>
      </c>
      <c r="U129" s="5">
        <v>71.427999999999997</v>
      </c>
      <c r="V129" s="5">
        <v>71.427999999999997</v>
      </c>
      <c r="W129" s="5">
        <v>93.954999999999998</v>
      </c>
      <c r="X129" s="5">
        <v>65.152000000000001</v>
      </c>
      <c r="Y129" s="5">
        <v>65.152000000000001</v>
      </c>
      <c r="Z129" s="5">
        <v>43.814999999999998</v>
      </c>
      <c r="AA129" s="5">
        <v>66.174999999999997</v>
      </c>
      <c r="AB129" s="5">
        <v>66.174999999999997</v>
      </c>
      <c r="AC129" s="5">
        <v>66.174999999999997</v>
      </c>
      <c r="AD129" s="5">
        <v>44.116</v>
      </c>
      <c r="AE129" s="5">
        <v>72.8</v>
      </c>
      <c r="AF129" s="5">
        <v>81.430999999999997</v>
      </c>
      <c r="AG129" s="5">
        <v>95.82</v>
      </c>
      <c r="AH129" s="5">
        <v>37.698</v>
      </c>
      <c r="AI129" s="5">
        <v>31.074000000000002</v>
      </c>
      <c r="AJ129" s="5">
        <v>31.074000000000002</v>
      </c>
      <c r="AK129" s="5">
        <v>118.21899999999999</v>
      </c>
      <c r="AL129" s="5">
        <v>103.79600000000001</v>
      </c>
      <c r="AM129" s="5">
        <v>190.34</v>
      </c>
      <c r="AN129" s="5">
        <v>151.143</v>
      </c>
      <c r="AO129" s="5">
        <v>201.51499999999999</v>
      </c>
      <c r="AP129" s="5">
        <v>194.423</v>
      </c>
      <c r="AQ129" s="5">
        <v>167.148</v>
      </c>
      <c r="AR129" s="5">
        <v>114.127</v>
      </c>
      <c r="AS129" s="5">
        <v>130.90100000000001</v>
      </c>
      <c r="AT129" s="5">
        <v>116.127</v>
      </c>
    </row>
    <row r="130" spans="1:46" x14ac:dyDescent="0.25">
      <c r="A130" s="4" t="s">
        <v>196</v>
      </c>
      <c r="B130" s="4" t="s">
        <v>207</v>
      </c>
      <c r="C130" s="4" t="s">
        <v>246</v>
      </c>
      <c r="D130" s="4" t="s">
        <v>254</v>
      </c>
      <c r="E130" s="4" t="s">
        <v>258</v>
      </c>
      <c r="F130" s="4" t="s">
        <v>195</v>
      </c>
      <c r="G130" s="4" t="s">
        <v>93</v>
      </c>
      <c r="H130" s="4" t="s">
        <v>268</v>
      </c>
      <c r="I130" s="5">
        <v>41.247</v>
      </c>
      <c r="J130" s="5">
        <v>41.247</v>
      </c>
      <c r="K130" s="5">
        <v>41.247</v>
      </c>
      <c r="L130" s="5">
        <v>40.045000000000002</v>
      </c>
      <c r="M130" s="5">
        <v>40.045000000000002</v>
      </c>
      <c r="N130" s="5">
        <v>82.227000000000004</v>
      </c>
      <c r="O130" s="5">
        <v>67.477000000000004</v>
      </c>
      <c r="P130" s="5">
        <v>61.136000000000003</v>
      </c>
      <c r="Q130" s="5">
        <v>20.824000000000002</v>
      </c>
      <c r="R130" s="5">
        <v>10.412000000000001</v>
      </c>
      <c r="S130" s="5">
        <v>10.412000000000001</v>
      </c>
      <c r="T130" s="5">
        <v>10.412000000000001</v>
      </c>
      <c r="U130" s="8">
        <v>0</v>
      </c>
      <c r="V130" s="5">
        <v>230.595</v>
      </c>
      <c r="W130" s="5">
        <v>595.91099999999994</v>
      </c>
      <c r="X130" s="5">
        <v>425.25599999999997</v>
      </c>
      <c r="Y130" s="5">
        <v>459.08800000000002</v>
      </c>
      <c r="Z130" s="5">
        <v>355.02100000000002</v>
      </c>
      <c r="AA130" s="5">
        <v>387.21499999999997</v>
      </c>
      <c r="AB130" s="5">
        <v>370.971</v>
      </c>
      <c r="AC130" s="5">
        <v>331.98</v>
      </c>
      <c r="AD130" s="5">
        <v>267.89699999999999</v>
      </c>
      <c r="AE130" s="5">
        <v>356.16</v>
      </c>
      <c r="AF130" s="5">
        <v>336.50200000000001</v>
      </c>
      <c r="AG130" s="5">
        <v>489.714</v>
      </c>
      <c r="AH130" s="5">
        <v>291.11599999999999</v>
      </c>
      <c r="AI130" s="5">
        <v>334.05700000000002</v>
      </c>
      <c r="AJ130" s="5">
        <v>295.40800000000002</v>
      </c>
      <c r="AK130" s="5">
        <v>405.03399999999999</v>
      </c>
      <c r="AL130" s="5">
        <v>358.08199999999999</v>
      </c>
      <c r="AM130" s="5">
        <v>344.62599999999998</v>
      </c>
      <c r="AN130" s="5">
        <v>430.32900000000001</v>
      </c>
      <c r="AO130" s="5">
        <v>299.94200000000001</v>
      </c>
      <c r="AP130" s="5">
        <v>286.09899999999999</v>
      </c>
      <c r="AQ130" s="5">
        <v>210.542</v>
      </c>
      <c r="AR130" s="5">
        <v>296.029</v>
      </c>
      <c r="AS130" s="5">
        <v>266.67399999999998</v>
      </c>
      <c r="AT130" s="5">
        <v>179.18299999999999</v>
      </c>
    </row>
    <row r="131" spans="1:46" x14ac:dyDescent="0.25">
      <c r="A131" s="4" t="s">
        <v>196</v>
      </c>
      <c r="B131" s="4" t="s">
        <v>207</v>
      </c>
      <c r="C131" s="4" t="s">
        <v>246</v>
      </c>
      <c r="D131" s="4" t="s">
        <v>259</v>
      </c>
      <c r="E131" s="4" t="s">
        <v>248</v>
      </c>
      <c r="F131" s="4" t="s">
        <v>203</v>
      </c>
      <c r="G131" s="4" t="s">
        <v>93</v>
      </c>
      <c r="H131" s="4" t="s">
        <v>268</v>
      </c>
      <c r="I131" s="5">
        <v>996.17499999999995</v>
      </c>
      <c r="J131" s="5">
        <v>1162.9090000000001</v>
      </c>
      <c r="K131" s="5">
        <v>1269.2909999999999</v>
      </c>
      <c r="L131" s="5">
        <v>1143.547</v>
      </c>
      <c r="M131" s="5">
        <v>750.51599999999996</v>
      </c>
      <c r="N131" s="5">
        <v>726.50699999999995</v>
      </c>
      <c r="O131" s="5">
        <v>953.30399999999997</v>
      </c>
      <c r="P131" s="5">
        <v>907.91499999999996</v>
      </c>
      <c r="Q131" s="5">
        <v>854.22500000000002</v>
      </c>
      <c r="R131" s="5">
        <v>567.79399999999998</v>
      </c>
      <c r="S131" s="5">
        <v>512.19299999999998</v>
      </c>
      <c r="T131" s="5">
        <v>473.363</v>
      </c>
      <c r="U131" s="5">
        <v>406.52800000000002</v>
      </c>
      <c r="V131" s="5">
        <v>650.90200000000004</v>
      </c>
      <c r="W131" s="5">
        <v>827.63</v>
      </c>
      <c r="X131" s="5">
        <v>876.42499999999995</v>
      </c>
      <c r="Y131" s="5">
        <v>1159.777</v>
      </c>
      <c r="Z131" s="5">
        <v>1029.4359999999999</v>
      </c>
      <c r="AA131" s="5">
        <v>876.03499999999997</v>
      </c>
      <c r="AB131" s="5">
        <v>977.54700000000003</v>
      </c>
      <c r="AC131" s="5">
        <v>872.404</v>
      </c>
      <c r="AD131" s="5">
        <v>486.113</v>
      </c>
      <c r="AE131" s="5">
        <v>484.36</v>
      </c>
      <c r="AF131" s="5">
        <v>406.16399999999999</v>
      </c>
      <c r="AG131" s="5">
        <v>631.29600000000005</v>
      </c>
      <c r="AH131" s="5">
        <v>758.596</v>
      </c>
      <c r="AI131" s="5">
        <v>758.6</v>
      </c>
      <c r="AJ131" s="5">
        <v>561.90700000000004</v>
      </c>
      <c r="AK131" s="5">
        <v>814.18299999999999</v>
      </c>
      <c r="AL131" s="5">
        <v>855.55100000000004</v>
      </c>
      <c r="AM131" s="5">
        <v>665.16700000000003</v>
      </c>
      <c r="AN131" s="5">
        <v>783.93399999999997</v>
      </c>
      <c r="AO131" s="5">
        <v>504.67899999999997</v>
      </c>
      <c r="AP131" s="5">
        <v>472.50799999999998</v>
      </c>
      <c r="AQ131" s="5">
        <v>557.66300000000001</v>
      </c>
      <c r="AR131" s="5">
        <v>350.49599999999998</v>
      </c>
      <c r="AS131" s="5">
        <v>558.69600000000003</v>
      </c>
      <c r="AT131" s="5">
        <v>628.02499999999998</v>
      </c>
    </row>
    <row r="132" spans="1:46" x14ac:dyDescent="0.25">
      <c r="A132" s="4" t="s">
        <v>196</v>
      </c>
      <c r="B132" s="4" t="s">
        <v>207</v>
      </c>
      <c r="C132" s="4" t="s">
        <v>246</v>
      </c>
      <c r="D132" s="4" t="s">
        <v>259</v>
      </c>
      <c r="E132" s="4" t="s">
        <v>248</v>
      </c>
      <c r="F132" s="4" t="s">
        <v>201</v>
      </c>
      <c r="G132" s="4" t="s">
        <v>93</v>
      </c>
      <c r="H132" s="4" t="s">
        <v>268</v>
      </c>
      <c r="I132" s="5">
        <v>845.67100000000005</v>
      </c>
      <c r="J132" s="5">
        <v>1049.2339999999999</v>
      </c>
      <c r="K132" s="5">
        <v>1394.75</v>
      </c>
      <c r="L132" s="5">
        <v>1262.0840000000001</v>
      </c>
      <c r="M132" s="5">
        <v>1593.2929999999999</v>
      </c>
      <c r="N132" s="5">
        <v>1788.213</v>
      </c>
      <c r="O132" s="5">
        <v>1443.5930000000001</v>
      </c>
      <c r="P132" s="5">
        <v>1921.557</v>
      </c>
      <c r="Q132" s="5">
        <v>1597.296</v>
      </c>
      <c r="R132" s="5">
        <v>1363.778</v>
      </c>
      <c r="S132" s="5">
        <v>1144.1990000000001</v>
      </c>
      <c r="T132" s="5">
        <v>1336.0619999999999</v>
      </c>
      <c r="U132" s="5">
        <v>1273.779</v>
      </c>
      <c r="V132" s="5">
        <v>1129.3910000000001</v>
      </c>
      <c r="W132" s="5">
        <v>1656.1220000000001</v>
      </c>
      <c r="X132" s="5">
        <v>1611.19</v>
      </c>
      <c r="Y132" s="5">
        <v>1623.4280000000001</v>
      </c>
      <c r="Z132" s="5">
        <v>1708.7249999999999</v>
      </c>
      <c r="AA132" s="5">
        <v>1621.06</v>
      </c>
      <c r="AB132" s="5">
        <v>1901.105</v>
      </c>
      <c r="AC132" s="5">
        <v>1852.1959999999999</v>
      </c>
      <c r="AD132" s="5">
        <v>1681.587</v>
      </c>
      <c r="AE132" s="5">
        <v>1509.5229999999999</v>
      </c>
      <c r="AF132" s="5">
        <v>1261.165</v>
      </c>
      <c r="AG132" s="5">
        <v>1380.347</v>
      </c>
      <c r="AH132" s="5">
        <v>1417.9269999999999</v>
      </c>
      <c r="AI132" s="5">
        <v>1322.9110000000001</v>
      </c>
      <c r="AJ132" s="5">
        <v>1194.3889999999999</v>
      </c>
      <c r="AK132" s="5">
        <v>1540.377</v>
      </c>
      <c r="AL132" s="5">
        <v>1812.1990000000001</v>
      </c>
      <c r="AM132" s="5">
        <v>1415.384</v>
      </c>
      <c r="AN132" s="5">
        <v>1368.52</v>
      </c>
      <c r="AO132" s="5">
        <v>1332.847</v>
      </c>
      <c r="AP132" s="5">
        <v>1313.9480000000001</v>
      </c>
      <c r="AQ132" s="5">
        <v>1227.001</v>
      </c>
      <c r="AR132" s="5">
        <v>1058.7829999999999</v>
      </c>
      <c r="AS132" s="5">
        <v>990.83699999999999</v>
      </c>
      <c r="AT132" s="5">
        <v>968.99400000000003</v>
      </c>
    </row>
    <row r="133" spans="1:46" x14ac:dyDescent="0.25">
      <c r="A133" s="4" t="s">
        <v>196</v>
      </c>
      <c r="B133" s="4" t="s">
        <v>207</v>
      </c>
      <c r="C133" s="4" t="s">
        <v>246</v>
      </c>
      <c r="D133" s="4" t="s">
        <v>259</v>
      </c>
      <c r="E133" s="4" t="s">
        <v>248</v>
      </c>
      <c r="F133" s="4" t="s">
        <v>195</v>
      </c>
      <c r="G133" s="4" t="s">
        <v>93</v>
      </c>
      <c r="H133" s="4" t="s">
        <v>268</v>
      </c>
      <c r="I133" s="5">
        <v>2584.9070000000002</v>
      </c>
      <c r="J133" s="5">
        <v>2333.3020000000001</v>
      </c>
      <c r="K133" s="5">
        <v>2909.3150000000001</v>
      </c>
      <c r="L133" s="5">
        <v>3348.511</v>
      </c>
      <c r="M133" s="5">
        <v>3443.761</v>
      </c>
      <c r="N133" s="5">
        <v>3551.8510000000001</v>
      </c>
      <c r="O133" s="5">
        <v>3681.1089999999999</v>
      </c>
      <c r="P133" s="5">
        <v>2964.607</v>
      </c>
      <c r="Q133" s="5">
        <v>3044.9259999999999</v>
      </c>
      <c r="R133" s="5">
        <v>2973.78</v>
      </c>
      <c r="S133" s="5">
        <v>2749.971</v>
      </c>
      <c r="T133" s="5">
        <v>2763.962</v>
      </c>
      <c r="U133" s="5">
        <v>2569.9949999999999</v>
      </c>
      <c r="V133" s="5">
        <v>3224.855</v>
      </c>
      <c r="W133" s="5">
        <v>4242.9880000000003</v>
      </c>
      <c r="X133" s="5">
        <v>4236.8459999999995</v>
      </c>
      <c r="Y133" s="5">
        <v>4463.2510000000002</v>
      </c>
      <c r="Z133" s="5">
        <v>5043.1419999999998</v>
      </c>
      <c r="AA133" s="5">
        <v>4035.915</v>
      </c>
      <c r="AB133" s="5">
        <v>4134.701</v>
      </c>
      <c r="AC133" s="5">
        <v>3963.6010000000001</v>
      </c>
      <c r="AD133" s="5">
        <v>4049.1930000000002</v>
      </c>
      <c r="AE133" s="5">
        <v>3712.9630000000002</v>
      </c>
      <c r="AF133" s="5">
        <v>3087.5639999999999</v>
      </c>
      <c r="AG133" s="5">
        <v>3575.8710000000001</v>
      </c>
      <c r="AH133" s="5">
        <v>3805.3440000000001</v>
      </c>
      <c r="AI133" s="5">
        <v>4133.13</v>
      </c>
      <c r="AJ133" s="5">
        <v>4115.3999999999996</v>
      </c>
      <c r="AK133" s="5">
        <v>4610.0569999999998</v>
      </c>
      <c r="AL133" s="5">
        <v>3748.7449999999999</v>
      </c>
      <c r="AM133" s="5">
        <v>3377.915</v>
      </c>
      <c r="AN133" s="5">
        <v>3447.4690000000001</v>
      </c>
      <c r="AO133" s="5">
        <v>3582.2890000000002</v>
      </c>
      <c r="AP133" s="5">
        <v>3384.723</v>
      </c>
      <c r="AQ133" s="5">
        <v>2720.1190000000001</v>
      </c>
      <c r="AR133" s="5">
        <v>2647.0529999999999</v>
      </c>
      <c r="AS133" s="5">
        <v>2797.7109999999998</v>
      </c>
      <c r="AT133" s="5">
        <v>2293.1579999999999</v>
      </c>
    </row>
    <row r="134" spans="1:46" x14ac:dyDescent="0.25">
      <c r="A134" s="4" t="s">
        <v>196</v>
      </c>
      <c r="B134" s="4" t="s">
        <v>207</v>
      </c>
      <c r="C134" s="4" t="s">
        <v>246</v>
      </c>
      <c r="D134" s="4" t="s">
        <v>259</v>
      </c>
      <c r="E134" s="4" t="s">
        <v>248</v>
      </c>
      <c r="F134" s="4" t="s">
        <v>195</v>
      </c>
      <c r="G134" s="4" t="s">
        <v>260</v>
      </c>
      <c r="H134" s="4" t="s">
        <v>268</v>
      </c>
      <c r="I134" s="8">
        <v>0</v>
      </c>
      <c r="J134" s="8">
        <v>0</v>
      </c>
      <c r="K134" s="8">
        <v>0</v>
      </c>
      <c r="L134" s="5">
        <v>32.539000000000001</v>
      </c>
      <c r="M134" s="5">
        <v>32.539000000000001</v>
      </c>
      <c r="N134" s="8">
        <v>0</v>
      </c>
      <c r="O134" s="8">
        <v>0</v>
      </c>
      <c r="P134" s="5">
        <v>232.5</v>
      </c>
      <c r="Q134" s="8">
        <v>0</v>
      </c>
      <c r="R134" s="8">
        <v>0</v>
      </c>
      <c r="S134" s="5">
        <v>28.309000000000001</v>
      </c>
      <c r="T134" s="5">
        <v>28.309000000000001</v>
      </c>
      <c r="U134" s="5">
        <v>28.309000000000001</v>
      </c>
      <c r="V134" s="5">
        <v>28.309000000000001</v>
      </c>
      <c r="W134" s="5">
        <v>28.594999999999999</v>
      </c>
      <c r="X134" s="5">
        <v>25.204000000000001</v>
      </c>
      <c r="Y134" s="5">
        <v>20.798999999999999</v>
      </c>
      <c r="Z134" s="5">
        <v>11.968999999999999</v>
      </c>
      <c r="AA134" s="5">
        <v>161.58099999999999</v>
      </c>
      <c r="AB134" s="5">
        <v>119.69</v>
      </c>
      <c r="AC134" s="5">
        <v>89.766999999999996</v>
      </c>
      <c r="AD134" s="5">
        <v>77.798000000000002</v>
      </c>
      <c r="AE134" s="5">
        <v>71.813999999999993</v>
      </c>
      <c r="AF134" s="5">
        <v>57.052999999999997</v>
      </c>
      <c r="AG134" s="5">
        <v>51.866</v>
      </c>
      <c r="AH134" s="8">
        <v>0</v>
      </c>
      <c r="AI134" s="8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</row>
    <row r="135" spans="1:46" x14ac:dyDescent="0.25">
      <c r="A135" s="4" t="s">
        <v>196</v>
      </c>
      <c r="B135" s="4" t="s">
        <v>207</v>
      </c>
      <c r="C135" s="4" t="s">
        <v>246</v>
      </c>
      <c r="D135" s="4" t="s">
        <v>259</v>
      </c>
      <c r="E135" s="4" t="s">
        <v>261</v>
      </c>
      <c r="F135" s="4" t="s">
        <v>195</v>
      </c>
      <c r="G135" s="4" t="s">
        <v>93</v>
      </c>
      <c r="H135" s="4" t="s">
        <v>268</v>
      </c>
      <c r="I135" s="5">
        <v>619.82299999999998</v>
      </c>
      <c r="J135" s="5">
        <v>639.03099999999995</v>
      </c>
      <c r="K135" s="5">
        <v>652.79899999999998</v>
      </c>
      <c r="L135" s="5">
        <v>627.649</v>
      </c>
      <c r="M135" s="5">
        <v>622.36900000000003</v>
      </c>
      <c r="N135" s="5">
        <v>709.73400000000004</v>
      </c>
      <c r="O135" s="5">
        <v>902.42600000000004</v>
      </c>
      <c r="P135" s="5">
        <v>717.12099999999998</v>
      </c>
      <c r="Q135" s="5">
        <v>705.16399999999999</v>
      </c>
      <c r="R135" s="5">
        <v>711.72500000000002</v>
      </c>
      <c r="S135" s="5">
        <v>711.952</v>
      </c>
      <c r="T135" s="5">
        <v>696.65800000000002</v>
      </c>
      <c r="U135" s="5">
        <v>692.29</v>
      </c>
      <c r="V135" s="5">
        <v>702.91</v>
      </c>
      <c r="W135" s="5">
        <v>955.01199999999994</v>
      </c>
      <c r="X135" s="5">
        <v>975.053</v>
      </c>
      <c r="Y135" s="5">
        <v>823.37400000000002</v>
      </c>
      <c r="Z135" s="5">
        <v>611.83100000000002</v>
      </c>
      <c r="AA135" s="5">
        <v>716.50400000000002</v>
      </c>
      <c r="AB135" s="5">
        <v>628.69899999999996</v>
      </c>
      <c r="AC135" s="5">
        <v>560.17499999999995</v>
      </c>
      <c r="AD135" s="5">
        <v>603.28899999999999</v>
      </c>
      <c r="AE135" s="5">
        <v>443.5</v>
      </c>
      <c r="AF135" s="5">
        <v>516.72</v>
      </c>
      <c r="AG135" s="5">
        <v>535.04499999999996</v>
      </c>
      <c r="AH135" s="5">
        <v>516.02</v>
      </c>
      <c r="AI135" s="5">
        <v>526.88900000000001</v>
      </c>
      <c r="AJ135" s="5">
        <v>395.16300000000001</v>
      </c>
      <c r="AK135" s="5">
        <v>546.62300000000005</v>
      </c>
      <c r="AL135" s="5">
        <v>586.09900000000005</v>
      </c>
      <c r="AM135" s="5">
        <v>675.553</v>
      </c>
      <c r="AN135" s="5">
        <v>777.529</v>
      </c>
      <c r="AO135" s="5">
        <v>662.64200000000005</v>
      </c>
      <c r="AP135" s="5">
        <v>678.98900000000003</v>
      </c>
      <c r="AQ135" s="5">
        <v>599.03</v>
      </c>
      <c r="AR135" s="5">
        <v>523.92999999999995</v>
      </c>
      <c r="AS135" s="5">
        <v>469.35</v>
      </c>
      <c r="AT135" s="5">
        <v>367.22899999999998</v>
      </c>
    </row>
    <row r="136" spans="1:46" x14ac:dyDescent="0.25">
      <c r="A136" s="4" t="s">
        <v>196</v>
      </c>
      <c r="B136" s="4" t="s">
        <v>207</v>
      </c>
      <c r="C136" s="4" t="s">
        <v>246</v>
      </c>
      <c r="D136" s="4" t="s">
        <v>259</v>
      </c>
      <c r="E136" s="4" t="s">
        <v>261</v>
      </c>
      <c r="F136" s="4" t="s">
        <v>195</v>
      </c>
      <c r="G136" s="4" t="s">
        <v>262</v>
      </c>
      <c r="H136" s="4" t="s">
        <v>268</v>
      </c>
      <c r="I136" s="5">
        <v>89.956000000000003</v>
      </c>
      <c r="J136" s="5">
        <v>80.956000000000003</v>
      </c>
      <c r="K136" s="5">
        <v>94.126000000000005</v>
      </c>
      <c r="L136" s="5">
        <v>96.293999999999997</v>
      </c>
      <c r="M136" s="5">
        <v>96.293999999999997</v>
      </c>
      <c r="N136" s="5">
        <v>123.294</v>
      </c>
      <c r="O136" s="5">
        <v>117.294</v>
      </c>
      <c r="P136" s="5">
        <v>108.294</v>
      </c>
      <c r="Q136" s="5">
        <v>53.655999999999999</v>
      </c>
      <c r="R136" s="5">
        <v>53.655999999999999</v>
      </c>
      <c r="S136" s="5">
        <v>59.619</v>
      </c>
      <c r="T136" s="5">
        <v>57.619</v>
      </c>
      <c r="U136" s="5">
        <v>73.619</v>
      </c>
      <c r="V136" s="5">
        <v>73.619</v>
      </c>
      <c r="W136" s="5">
        <v>41.488999999999997</v>
      </c>
      <c r="X136" s="5">
        <v>111.152</v>
      </c>
      <c r="Y136" s="5">
        <v>81.435000000000002</v>
      </c>
      <c r="Z136" s="5">
        <v>73.906999999999996</v>
      </c>
      <c r="AA136" s="5">
        <v>66.058000000000007</v>
      </c>
      <c r="AB136" s="5">
        <v>56.058</v>
      </c>
      <c r="AC136" s="5">
        <v>60.116</v>
      </c>
      <c r="AD136" s="5">
        <v>60.116</v>
      </c>
      <c r="AE136" s="5">
        <v>60.128</v>
      </c>
      <c r="AF136" s="5">
        <v>40.265000000000001</v>
      </c>
      <c r="AG136" s="5">
        <v>45.061</v>
      </c>
      <c r="AH136" s="5">
        <v>29.061</v>
      </c>
      <c r="AI136" s="5">
        <v>22.437000000000001</v>
      </c>
      <c r="AJ136" s="5">
        <v>22.437000000000001</v>
      </c>
      <c r="AK136" s="5">
        <v>32.369999999999997</v>
      </c>
      <c r="AL136" s="5">
        <v>35.134999999999998</v>
      </c>
      <c r="AM136" s="5">
        <v>35.134999999999998</v>
      </c>
      <c r="AN136" s="5">
        <v>32.918999999999997</v>
      </c>
      <c r="AO136" s="5">
        <v>8.8629999999999995</v>
      </c>
      <c r="AP136" s="5">
        <v>8.8629999999999995</v>
      </c>
      <c r="AQ136" s="5">
        <v>8.8629999999999995</v>
      </c>
      <c r="AR136" s="5">
        <v>10.086</v>
      </c>
      <c r="AS136" s="5">
        <v>10.086</v>
      </c>
      <c r="AT136" s="5">
        <v>10.086</v>
      </c>
    </row>
    <row r="137" spans="1:46" x14ac:dyDescent="0.25">
      <c r="A137" s="4" t="s">
        <v>196</v>
      </c>
      <c r="B137" s="4" t="s">
        <v>207</v>
      </c>
      <c r="C137" s="4" t="s">
        <v>246</v>
      </c>
      <c r="D137" s="4" t="s">
        <v>263</v>
      </c>
      <c r="E137" s="4" t="s">
        <v>248</v>
      </c>
      <c r="F137" s="4" t="s">
        <v>201</v>
      </c>
      <c r="G137" s="4" t="s">
        <v>71</v>
      </c>
      <c r="H137" s="4" t="s">
        <v>268</v>
      </c>
      <c r="I137" s="8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</row>
    <row r="138" spans="1:46" x14ac:dyDescent="0.25">
      <c r="A138" s="4" t="s">
        <v>196</v>
      </c>
      <c r="B138" s="4" t="s">
        <v>207</v>
      </c>
      <c r="C138" s="4" t="s">
        <v>246</v>
      </c>
      <c r="D138" s="4" t="s">
        <v>263</v>
      </c>
      <c r="E138" s="4" t="s">
        <v>248</v>
      </c>
      <c r="F138" s="4" t="s">
        <v>201</v>
      </c>
      <c r="G138" s="4" t="s">
        <v>76</v>
      </c>
      <c r="H138" s="4" t="s">
        <v>268</v>
      </c>
      <c r="I138" s="5">
        <v>485.053</v>
      </c>
      <c r="J138" s="5">
        <v>562.16399999999999</v>
      </c>
      <c r="K138" s="5">
        <v>556.00800000000004</v>
      </c>
      <c r="L138" s="5">
        <v>552.35900000000004</v>
      </c>
      <c r="M138" s="5">
        <v>590.21199999999999</v>
      </c>
      <c r="N138" s="5">
        <v>539.01199999999994</v>
      </c>
      <c r="O138" s="5">
        <v>469.34500000000003</v>
      </c>
      <c r="P138" s="5">
        <v>533.71199999999999</v>
      </c>
      <c r="Q138" s="5">
        <v>455.14299999999997</v>
      </c>
      <c r="R138" s="5">
        <v>274.93200000000002</v>
      </c>
      <c r="S138" s="5">
        <v>338.20100000000002</v>
      </c>
      <c r="T138" s="5">
        <v>369.04399999999998</v>
      </c>
      <c r="U138" s="5">
        <v>365.75099999999998</v>
      </c>
      <c r="V138" s="5">
        <v>362.31400000000002</v>
      </c>
      <c r="W138" s="5">
        <v>417.697</v>
      </c>
      <c r="X138" s="5">
        <v>436.07299999999998</v>
      </c>
      <c r="Y138" s="5">
        <v>462.93799999999999</v>
      </c>
      <c r="Z138" s="5">
        <v>374.71</v>
      </c>
      <c r="AA138" s="5">
        <v>374.06400000000002</v>
      </c>
      <c r="AB138" s="5">
        <v>373.44</v>
      </c>
      <c r="AC138" s="5">
        <v>373.44</v>
      </c>
      <c r="AD138" s="5">
        <v>395.49900000000002</v>
      </c>
      <c r="AE138" s="5">
        <v>363.55700000000002</v>
      </c>
      <c r="AF138" s="5">
        <v>376.529</v>
      </c>
      <c r="AG138" s="5">
        <v>413.97699999999998</v>
      </c>
      <c r="AH138" s="5">
        <v>413.53800000000001</v>
      </c>
      <c r="AI138" s="5">
        <v>398.04599999999999</v>
      </c>
      <c r="AJ138" s="5">
        <v>432.48700000000002</v>
      </c>
      <c r="AK138" s="5">
        <v>410.18599999999998</v>
      </c>
      <c r="AL138" s="5">
        <v>426.74599999999998</v>
      </c>
      <c r="AM138" s="5">
        <v>385.84699999999998</v>
      </c>
      <c r="AN138" s="5">
        <v>377.166</v>
      </c>
      <c r="AO138" s="5">
        <v>356.71300000000002</v>
      </c>
      <c r="AP138" s="5">
        <v>363.80399999999997</v>
      </c>
      <c r="AQ138" s="5">
        <v>396.81599999999997</v>
      </c>
      <c r="AR138" s="5">
        <v>406.96699999999998</v>
      </c>
      <c r="AS138" s="5">
        <v>399.57900000000001</v>
      </c>
      <c r="AT138" s="5">
        <v>392.19200000000001</v>
      </c>
    </row>
    <row r="139" spans="1:46" x14ac:dyDescent="0.25">
      <c r="A139" s="4" t="s">
        <v>196</v>
      </c>
      <c r="B139" s="4" t="s">
        <v>207</v>
      </c>
      <c r="C139" s="4" t="s">
        <v>246</v>
      </c>
      <c r="D139" s="4" t="s">
        <v>263</v>
      </c>
      <c r="E139" s="4" t="s">
        <v>248</v>
      </c>
      <c r="F139" s="4" t="s">
        <v>201</v>
      </c>
      <c r="G139" s="4" t="s">
        <v>85</v>
      </c>
      <c r="H139" s="4" t="s">
        <v>268</v>
      </c>
      <c r="I139" s="5">
        <v>721.13199999999995</v>
      </c>
      <c r="J139" s="5">
        <v>1033.49</v>
      </c>
      <c r="K139" s="5">
        <v>1218.511</v>
      </c>
      <c r="L139" s="5">
        <v>1415.4090000000001</v>
      </c>
      <c r="M139" s="5">
        <v>1523.1110000000001</v>
      </c>
      <c r="N139" s="5">
        <v>1580.26</v>
      </c>
      <c r="O139" s="5">
        <v>1974.53</v>
      </c>
      <c r="P139" s="5">
        <v>1828.0060000000001</v>
      </c>
      <c r="Q139" s="5">
        <v>1994.9290000000001</v>
      </c>
      <c r="R139" s="5">
        <v>1708.0319999999999</v>
      </c>
      <c r="S139" s="5">
        <v>1658.45</v>
      </c>
      <c r="T139" s="5">
        <v>1938.3330000000001</v>
      </c>
      <c r="U139" s="5">
        <v>1958.297</v>
      </c>
      <c r="V139" s="5">
        <v>1820.867</v>
      </c>
      <c r="W139" s="5">
        <v>1520.655</v>
      </c>
      <c r="X139" s="5">
        <v>1781.0070000000001</v>
      </c>
      <c r="Y139" s="5">
        <v>2200.672</v>
      </c>
      <c r="Z139" s="5">
        <v>1915.683</v>
      </c>
      <c r="AA139" s="5">
        <v>1585.6110000000001</v>
      </c>
      <c r="AB139" s="5">
        <v>1832.009</v>
      </c>
      <c r="AC139" s="5">
        <v>1751.2460000000001</v>
      </c>
      <c r="AD139" s="5">
        <v>1640.722</v>
      </c>
      <c r="AE139" s="5">
        <v>1377.1949999999999</v>
      </c>
      <c r="AF139" s="5">
        <v>1374.4359999999999</v>
      </c>
      <c r="AG139" s="5">
        <v>1507.7159999999999</v>
      </c>
      <c r="AH139" s="5">
        <v>1388.816</v>
      </c>
      <c r="AI139" s="5">
        <v>1482.133</v>
      </c>
      <c r="AJ139" s="5">
        <v>1460.021</v>
      </c>
      <c r="AK139" s="5">
        <v>1537.4459999999999</v>
      </c>
      <c r="AL139" s="5">
        <v>1571.8119999999999</v>
      </c>
      <c r="AM139" s="5">
        <v>1702.87</v>
      </c>
      <c r="AN139" s="5">
        <v>1705.41</v>
      </c>
      <c r="AO139" s="5">
        <v>1580.894</v>
      </c>
      <c r="AP139" s="5">
        <v>1529.027</v>
      </c>
      <c r="AQ139" s="5">
        <v>1405.29</v>
      </c>
      <c r="AR139" s="5">
        <v>1657.7670000000001</v>
      </c>
      <c r="AS139" s="5">
        <v>1668.8620000000001</v>
      </c>
      <c r="AT139" s="5">
        <v>1442.0250000000001</v>
      </c>
    </row>
    <row r="140" spans="1:46" x14ac:dyDescent="0.25">
      <c r="A140" s="4" t="s">
        <v>196</v>
      </c>
      <c r="B140" s="4" t="s">
        <v>207</v>
      </c>
      <c r="C140" s="4" t="s">
        <v>246</v>
      </c>
      <c r="D140" s="4" t="s">
        <v>263</v>
      </c>
      <c r="E140" s="4" t="s">
        <v>248</v>
      </c>
      <c r="F140" s="4" t="s">
        <v>195</v>
      </c>
      <c r="G140" s="4" t="s">
        <v>264</v>
      </c>
      <c r="H140" s="4" t="s">
        <v>268</v>
      </c>
      <c r="I140" s="5">
        <v>309.25900000000001</v>
      </c>
      <c r="J140" s="5">
        <v>284.14699999999999</v>
      </c>
      <c r="K140" s="5">
        <v>253.108</v>
      </c>
      <c r="L140" s="5">
        <v>287.74099999999999</v>
      </c>
      <c r="M140" s="5">
        <v>287.74099999999999</v>
      </c>
      <c r="N140" s="5">
        <v>287.74099999999999</v>
      </c>
      <c r="O140" s="5">
        <v>247.72399999999999</v>
      </c>
      <c r="P140" s="5">
        <v>231.762</v>
      </c>
      <c r="Q140" s="5">
        <v>224.83099999999999</v>
      </c>
      <c r="R140" s="5">
        <v>224.83099999999999</v>
      </c>
      <c r="S140" s="5">
        <v>237.02600000000001</v>
      </c>
      <c r="T140" s="5">
        <v>237.02600000000001</v>
      </c>
      <c r="U140" s="5">
        <v>237.02600000000001</v>
      </c>
      <c r="V140" s="5">
        <v>217.81</v>
      </c>
      <c r="W140" s="5">
        <v>234.46100000000001</v>
      </c>
      <c r="X140" s="5">
        <v>216.744</v>
      </c>
      <c r="Y140" s="5">
        <v>216.744</v>
      </c>
      <c r="Z140" s="5">
        <v>199.01599999999999</v>
      </c>
      <c r="AA140" s="5">
        <v>215.29300000000001</v>
      </c>
      <c r="AB140" s="5">
        <v>227.97</v>
      </c>
      <c r="AC140" s="5">
        <v>227.97</v>
      </c>
      <c r="AD140" s="5">
        <v>190.72</v>
      </c>
      <c r="AE140" s="5">
        <v>192.57</v>
      </c>
      <c r="AF140" s="5">
        <v>204.136</v>
      </c>
      <c r="AG140" s="5">
        <v>241.55500000000001</v>
      </c>
      <c r="AH140" s="5">
        <v>232.488</v>
      </c>
      <c r="AI140" s="5">
        <v>179.494</v>
      </c>
      <c r="AJ140" s="5">
        <v>179.494</v>
      </c>
      <c r="AK140" s="5">
        <v>179.494</v>
      </c>
      <c r="AL140" s="5">
        <v>192.44399999999999</v>
      </c>
      <c r="AM140" s="5">
        <v>192.44399999999999</v>
      </c>
      <c r="AN140" s="5">
        <v>192.44399999999999</v>
      </c>
      <c r="AO140" s="5">
        <v>198.28700000000001</v>
      </c>
      <c r="AP140" s="5">
        <v>210.96799999999999</v>
      </c>
      <c r="AQ140" s="5">
        <v>209.06100000000001</v>
      </c>
      <c r="AR140" s="5">
        <v>184.87799999999999</v>
      </c>
      <c r="AS140" s="5">
        <v>194.58500000000001</v>
      </c>
      <c r="AT140" s="5">
        <v>204.291</v>
      </c>
    </row>
    <row r="141" spans="1:46" x14ac:dyDescent="0.25">
      <c r="A141" s="4" t="s">
        <v>196</v>
      </c>
      <c r="B141" s="4" t="s">
        <v>207</v>
      </c>
      <c r="C141" s="4" t="s">
        <v>246</v>
      </c>
      <c r="D141" s="4" t="s">
        <v>263</v>
      </c>
      <c r="E141" s="4" t="s">
        <v>248</v>
      </c>
      <c r="F141" s="4" t="s">
        <v>195</v>
      </c>
      <c r="G141" s="4" t="s">
        <v>71</v>
      </c>
      <c r="H141" s="4" t="s">
        <v>268</v>
      </c>
      <c r="I141" s="5">
        <v>1157.8489999999999</v>
      </c>
      <c r="J141" s="5">
        <v>1088.6279999999999</v>
      </c>
      <c r="K141" s="5">
        <v>1331.5</v>
      </c>
      <c r="L141" s="5">
        <v>1272.421</v>
      </c>
      <c r="M141" s="5">
        <v>1556.075</v>
      </c>
      <c r="N141" s="5">
        <v>1483.58</v>
      </c>
      <c r="O141" s="5">
        <v>1428.886</v>
      </c>
      <c r="P141" s="5">
        <v>1363.4380000000001</v>
      </c>
      <c r="Q141" s="5">
        <v>1213.502</v>
      </c>
      <c r="R141" s="5">
        <v>1122.921</v>
      </c>
      <c r="S141" s="5">
        <v>1249.5630000000001</v>
      </c>
      <c r="T141" s="5">
        <v>1237.5630000000001</v>
      </c>
      <c r="U141" s="5">
        <v>1284.3340000000001</v>
      </c>
      <c r="V141" s="5">
        <v>1433.6410000000001</v>
      </c>
      <c r="W141" s="5">
        <v>1459.8040000000001</v>
      </c>
      <c r="X141" s="5">
        <v>1495.88</v>
      </c>
      <c r="Y141" s="5">
        <v>1599.1890000000001</v>
      </c>
      <c r="Z141" s="5">
        <v>1378.1780000000001</v>
      </c>
      <c r="AA141" s="5">
        <v>1327.818</v>
      </c>
      <c r="AB141" s="5">
        <v>1084.364</v>
      </c>
      <c r="AC141" s="5">
        <v>1088.825</v>
      </c>
      <c r="AD141" s="5">
        <v>1135.953</v>
      </c>
      <c r="AE141" s="5">
        <v>1121.4449999999999</v>
      </c>
      <c r="AF141" s="5">
        <v>1133.2429999999999</v>
      </c>
      <c r="AG141" s="5">
        <v>1441.7719999999999</v>
      </c>
      <c r="AH141" s="5">
        <v>1439.23</v>
      </c>
      <c r="AI141" s="5">
        <v>1268.183</v>
      </c>
      <c r="AJ141" s="5">
        <v>1191.79</v>
      </c>
      <c r="AK141" s="5">
        <v>1629.421</v>
      </c>
      <c r="AL141" s="5">
        <v>1613.8979999999999</v>
      </c>
      <c r="AM141" s="5">
        <v>1556.69</v>
      </c>
      <c r="AN141" s="5">
        <v>1264.99</v>
      </c>
      <c r="AO141" s="5">
        <v>1067.354</v>
      </c>
      <c r="AP141" s="5">
        <v>1137.914</v>
      </c>
      <c r="AQ141" s="5">
        <v>1064.5419999999999</v>
      </c>
      <c r="AR141" s="5">
        <v>1102.0309999999999</v>
      </c>
      <c r="AS141" s="5">
        <v>1690.877</v>
      </c>
      <c r="AT141" s="5">
        <v>1589.1759999999999</v>
      </c>
    </row>
    <row r="142" spans="1:46" x14ac:dyDescent="0.25">
      <c r="A142" s="4" t="s">
        <v>196</v>
      </c>
      <c r="B142" s="4" t="s">
        <v>207</v>
      </c>
      <c r="C142" s="4" t="s">
        <v>246</v>
      </c>
      <c r="D142" s="4" t="s">
        <v>263</v>
      </c>
      <c r="E142" s="4" t="s">
        <v>248</v>
      </c>
      <c r="F142" s="4" t="s">
        <v>195</v>
      </c>
      <c r="G142" s="4" t="s">
        <v>76</v>
      </c>
      <c r="H142" s="4" t="s">
        <v>268</v>
      </c>
      <c r="I142" s="5">
        <v>1956.8420000000001</v>
      </c>
      <c r="J142" s="5">
        <v>1930.9069999999999</v>
      </c>
      <c r="K142" s="5">
        <v>1882.444</v>
      </c>
      <c r="L142" s="5">
        <v>1739.567</v>
      </c>
      <c r="M142" s="5">
        <v>1769.643</v>
      </c>
      <c r="N142" s="5">
        <v>1921.1130000000001</v>
      </c>
      <c r="O142" s="5">
        <v>1649.4269999999999</v>
      </c>
      <c r="P142" s="5">
        <v>1722.7850000000001</v>
      </c>
      <c r="Q142" s="5">
        <v>1785.163</v>
      </c>
      <c r="R142" s="5">
        <v>1683.386</v>
      </c>
      <c r="S142" s="5">
        <v>1748.2139999999999</v>
      </c>
      <c r="T142" s="5">
        <v>1778.9449999999999</v>
      </c>
      <c r="U142" s="5">
        <v>1649.259</v>
      </c>
      <c r="V142" s="5">
        <v>1828.923</v>
      </c>
      <c r="W142" s="5">
        <v>1981.202</v>
      </c>
      <c r="X142" s="5">
        <v>1904.2529999999999</v>
      </c>
      <c r="Y142" s="5">
        <v>2127.1860000000001</v>
      </c>
      <c r="Z142" s="5">
        <v>2350.5680000000002</v>
      </c>
      <c r="AA142" s="5">
        <v>2315.7379999999998</v>
      </c>
      <c r="AB142" s="5">
        <v>2353.4940000000001</v>
      </c>
      <c r="AC142" s="5">
        <v>2427.319</v>
      </c>
      <c r="AD142" s="5">
        <v>2269.0920000000001</v>
      </c>
      <c r="AE142" s="5">
        <v>2252.8829999999998</v>
      </c>
      <c r="AF142" s="5">
        <v>2099.1210000000001</v>
      </c>
      <c r="AG142" s="5">
        <v>2328.895</v>
      </c>
      <c r="AH142" s="5">
        <v>2495.2190000000001</v>
      </c>
      <c r="AI142" s="5">
        <v>2239.761</v>
      </c>
      <c r="AJ142" s="5">
        <v>1913.848</v>
      </c>
      <c r="AK142" s="5">
        <v>2107.7800000000002</v>
      </c>
      <c r="AL142" s="5">
        <v>2227.835</v>
      </c>
      <c r="AM142" s="5">
        <v>1943.854</v>
      </c>
      <c r="AN142" s="5">
        <v>2108.8359999999998</v>
      </c>
      <c r="AO142" s="5">
        <v>1929.675</v>
      </c>
      <c r="AP142" s="5">
        <v>1906.9280000000001</v>
      </c>
      <c r="AQ142" s="5">
        <v>1616.9459999999999</v>
      </c>
      <c r="AR142" s="5">
        <v>1684.998</v>
      </c>
      <c r="AS142" s="5">
        <v>1667.0150000000001</v>
      </c>
      <c r="AT142" s="5">
        <v>1562.1569999999999</v>
      </c>
    </row>
    <row r="143" spans="1:46" x14ac:dyDescent="0.25">
      <c r="A143" s="4" t="s">
        <v>196</v>
      </c>
      <c r="B143" s="4" t="s">
        <v>207</v>
      </c>
      <c r="C143" s="4" t="s">
        <v>246</v>
      </c>
      <c r="D143" s="4" t="s">
        <v>263</v>
      </c>
      <c r="E143" s="4" t="s">
        <v>248</v>
      </c>
      <c r="F143" s="4" t="s">
        <v>195</v>
      </c>
      <c r="G143" s="4" t="s">
        <v>85</v>
      </c>
      <c r="H143" s="4" t="s">
        <v>268</v>
      </c>
      <c r="I143" s="5">
        <v>3403.8629999999998</v>
      </c>
      <c r="J143" s="5">
        <v>3234.54</v>
      </c>
      <c r="K143" s="5">
        <v>3995.3240000000001</v>
      </c>
      <c r="L143" s="5">
        <v>3656.6219999999998</v>
      </c>
      <c r="M143" s="5">
        <v>3067.723</v>
      </c>
      <c r="N143" s="5">
        <v>3160.7269999999999</v>
      </c>
      <c r="O143" s="5">
        <v>3246.8290000000002</v>
      </c>
      <c r="P143" s="5">
        <v>3017.4050000000002</v>
      </c>
      <c r="Q143" s="5">
        <v>3358.0279999999998</v>
      </c>
      <c r="R143" s="5">
        <v>3286.9409999999998</v>
      </c>
      <c r="S143" s="5">
        <v>3265.6210000000001</v>
      </c>
      <c r="T143" s="5">
        <v>3198.5059999999999</v>
      </c>
      <c r="U143" s="5">
        <v>3419.9360000000001</v>
      </c>
      <c r="V143" s="5">
        <v>3574.404</v>
      </c>
      <c r="W143" s="5">
        <v>4569.9740000000002</v>
      </c>
      <c r="X143" s="5">
        <v>3881.0520000000001</v>
      </c>
      <c r="Y143" s="5">
        <v>3819.8739999999998</v>
      </c>
      <c r="Z143" s="5">
        <v>3679.4679999999998</v>
      </c>
      <c r="AA143" s="5">
        <v>3435.107</v>
      </c>
      <c r="AB143" s="5">
        <v>3346.0650000000001</v>
      </c>
      <c r="AC143" s="5">
        <v>3634.6309999999999</v>
      </c>
      <c r="AD143" s="5">
        <v>3603.9989999999998</v>
      </c>
      <c r="AE143" s="5">
        <v>3133.44</v>
      </c>
      <c r="AF143" s="5">
        <v>3056.7919999999999</v>
      </c>
      <c r="AG143" s="5">
        <v>3536.5360000000001</v>
      </c>
      <c r="AH143" s="5">
        <v>3654.799</v>
      </c>
      <c r="AI143" s="5">
        <v>3245.8760000000002</v>
      </c>
      <c r="AJ143" s="5">
        <v>3373.393</v>
      </c>
      <c r="AK143" s="5">
        <v>3891.5720000000001</v>
      </c>
      <c r="AL143" s="5">
        <v>3808.8449999999998</v>
      </c>
      <c r="AM143" s="5">
        <v>3857.5210000000002</v>
      </c>
      <c r="AN143" s="5">
        <v>3826.72</v>
      </c>
      <c r="AO143" s="5">
        <v>4598.8050000000003</v>
      </c>
      <c r="AP143" s="5">
        <v>4031.4409999999998</v>
      </c>
      <c r="AQ143" s="5">
        <v>3216.2919999999999</v>
      </c>
      <c r="AR143" s="5">
        <v>2567.8649999999998</v>
      </c>
      <c r="AS143" s="5">
        <v>2832.9059999999999</v>
      </c>
      <c r="AT143" s="5">
        <v>2734.7359999999999</v>
      </c>
    </row>
    <row r="144" spans="1:46" x14ac:dyDescent="0.25">
      <c r="A144" s="4" t="s">
        <v>196</v>
      </c>
      <c r="B144" s="4" t="s">
        <v>207</v>
      </c>
      <c r="C144" s="4" t="s">
        <v>246</v>
      </c>
      <c r="D144" s="4" t="s">
        <v>265</v>
      </c>
      <c r="E144" s="4" t="s">
        <v>266</v>
      </c>
      <c r="F144" s="4" t="s">
        <v>195</v>
      </c>
      <c r="G144" s="4" t="s">
        <v>93</v>
      </c>
      <c r="H144" s="4" t="s">
        <v>268</v>
      </c>
      <c r="I144" s="5">
        <v>414.21600000000001</v>
      </c>
      <c r="J144" s="5">
        <v>378.32799999999997</v>
      </c>
      <c r="K144" s="5">
        <v>545.16</v>
      </c>
      <c r="L144" s="5">
        <v>444.97500000000002</v>
      </c>
      <c r="M144" s="5">
        <v>410.51499999999999</v>
      </c>
      <c r="N144" s="5">
        <v>519.16600000000005</v>
      </c>
      <c r="O144" s="5">
        <v>602.34900000000005</v>
      </c>
      <c r="P144" s="5">
        <v>621.68100000000004</v>
      </c>
      <c r="Q144" s="5">
        <v>548.89400000000001</v>
      </c>
      <c r="R144" s="5">
        <v>510.959</v>
      </c>
      <c r="S144" s="5">
        <v>392.76299999999998</v>
      </c>
      <c r="T144" s="5">
        <v>391.29300000000001</v>
      </c>
      <c r="U144" s="5">
        <v>414.68200000000002</v>
      </c>
      <c r="V144" s="5">
        <v>351.18700000000001</v>
      </c>
      <c r="W144" s="5">
        <v>509.50799999999998</v>
      </c>
      <c r="X144" s="5">
        <v>513.16499999999996</v>
      </c>
      <c r="Y144" s="5">
        <v>687.05200000000002</v>
      </c>
      <c r="Z144" s="5">
        <v>667.46199999999999</v>
      </c>
      <c r="AA144" s="5">
        <v>467.87400000000002</v>
      </c>
      <c r="AB144" s="5">
        <v>559.03399999999999</v>
      </c>
      <c r="AC144" s="5">
        <v>609.31200000000001</v>
      </c>
      <c r="AD144" s="5">
        <v>476.65100000000001</v>
      </c>
      <c r="AE144" s="5">
        <v>453.73899999999998</v>
      </c>
      <c r="AF144" s="5">
        <v>463.87599999999998</v>
      </c>
      <c r="AG144" s="5">
        <v>440.173</v>
      </c>
      <c r="AH144" s="5">
        <v>414.30900000000003</v>
      </c>
      <c r="AI144" s="5">
        <v>484.178</v>
      </c>
      <c r="AJ144" s="5">
        <v>453.18599999999998</v>
      </c>
      <c r="AK144" s="5">
        <v>649.77200000000005</v>
      </c>
      <c r="AL144" s="5">
        <v>518.14</v>
      </c>
      <c r="AM144" s="5">
        <v>517.03599999999994</v>
      </c>
      <c r="AN144" s="5">
        <v>467.39699999999999</v>
      </c>
      <c r="AO144" s="5">
        <v>500.66</v>
      </c>
      <c r="AP144" s="5">
        <v>493.57</v>
      </c>
      <c r="AQ144" s="5">
        <v>509.10899999999998</v>
      </c>
      <c r="AR144" s="5">
        <v>445.33699999999999</v>
      </c>
      <c r="AS144" s="5">
        <v>389.096</v>
      </c>
      <c r="AT144" s="5">
        <v>322.392</v>
      </c>
    </row>
    <row r="145" spans="1:46" x14ac:dyDescent="0.25">
      <c r="A145" s="4" t="s">
        <v>194</v>
      </c>
      <c r="B145" s="4" t="s">
        <v>207</v>
      </c>
      <c r="C145" s="4" t="s">
        <v>246</v>
      </c>
      <c r="D145" s="4" t="s">
        <v>247</v>
      </c>
      <c r="E145" s="4" t="s">
        <v>248</v>
      </c>
      <c r="F145" s="4" t="s">
        <v>201</v>
      </c>
      <c r="G145" s="4" t="s">
        <v>93</v>
      </c>
      <c r="H145" s="4" t="s">
        <v>268</v>
      </c>
      <c r="I145" s="5">
        <v>1439.414</v>
      </c>
      <c r="J145" s="5">
        <v>1367.82</v>
      </c>
      <c r="K145" s="5">
        <v>1633.25</v>
      </c>
      <c r="L145" s="5">
        <v>1357.2249999999999</v>
      </c>
      <c r="M145" s="5">
        <v>1864.7650000000001</v>
      </c>
      <c r="N145" s="5">
        <v>1395.4090000000001</v>
      </c>
      <c r="O145" s="5">
        <v>1687.2270000000001</v>
      </c>
      <c r="P145" s="5">
        <v>1384.17</v>
      </c>
      <c r="Q145" s="5">
        <v>1327.4939999999999</v>
      </c>
      <c r="R145" s="5">
        <v>953.31399999999996</v>
      </c>
      <c r="S145" s="5">
        <v>1133.461</v>
      </c>
      <c r="T145" s="5">
        <v>1227.44</v>
      </c>
      <c r="U145" s="5">
        <v>1153.923</v>
      </c>
      <c r="V145" s="5">
        <v>890.66800000000001</v>
      </c>
      <c r="W145" s="5">
        <v>2354.8739999999998</v>
      </c>
      <c r="X145" s="5">
        <v>1880.3140000000001</v>
      </c>
      <c r="Y145" s="5">
        <v>1649.8330000000001</v>
      </c>
      <c r="Z145" s="5">
        <v>1660.136</v>
      </c>
      <c r="AA145" s="5">
        <v>1332.866</v>
      </c>
      <c r="AB145" s="5">
        <v>1032.0150000000001</v>
      </c>
      <c r="AC145" s="5">
        <v>851.71199999999999</v>
      </c>
      <c r="AD145" s="5">
        <v>989.55</v>
      </c>
      <c r="AE145" s="5">
        <v>1017.143</v>
      </c>
      <c r="AF145" s="5">
        <v>851.48500000000001</v>
      </c>
      <c r="AG145" s="5">
        <v>1153.8320000000001</v>
      </c>
      <c r="AH145" s="5">
        <v>1206.6769999999999</v>
      </c>
      <c r="AI145" s="5">
        <v>1136.001</v>
      </c>
      <c r="AJ145" s="5">
        <v>1308.6010000000001</v>
      </c>
      <c r="AK145" s="5">
        <v>1009.196</v>
      </c>
      <c r="AL145" s="5">
        <v>1330.4459999999999</v>
      </c>
      <c r="AM145" s="5">
        <v>2489.0680000000002</v>
      </c>
      <c r="AN145" s="5">
        <v>1979.12</v>
      </c>
      <c r="AO145" s="5">
        <v>1363.06</v>
      </c>
      <c r="AP145" s="5">
        <v>1346</v>
      </c>
      <c r="AQ145" s="5">
        <v>951.45100000000002</v>
      </c>
      <c r="AR145" s="5">
        <v>939.39099999999996</v>
      </c>
      <c r="AS145" s="5">
        <v>987.84199999999998</v>
      </c>
      <c r="AT145" s="5">
        <v>1770.1</v>
      </c>
    </row>
    <row r="146" spans="1:46" x14ac:dyDescent="0.25">
      <c r="A146" s="4" t="s">
        <v>194</v>
      </c>
      <c r="B146" s="4" t="s">
        <v>207</v>
      </c>
      <c r="C146" s="4" t="s">
        <v>246</v>
      </c>
      <c r="D146" s="4" t="s">
        <v>247</v>
      </c>
      <c r="E146" s="4" t="s">
        <v>248</v>
      </c>
      <c r="F146" s="4" t="s">
        <v>201</v>
      </c>
      <c r="G146" s="4" t="s">
        <v>253</v>
      </c>
      <c r="H146" s="4" t="s">
        <v>268</v>
      </c>
      <c r="I146" s="5">
        <v>240.39099999999999</v>
      </c>
      <c r="J146" s="5">
        <v>183.55500000000001</v>
      </c>
      <c r="K146" s="5">
        <v>219.31899999999999</v>
      </c>
      <c r="L146" s="5">
        <v>343.45499999999998</v>
      </c>
      <c r="M146" s="5">
        <v>239.98699999999999</v>
      </c>
      <c r="N146" s="5">
        <v>150.66300000000001</v>
      </c>
      <c r="O146" s="5">
        <v>151.21299999999999</v>
      </c>
      <c r="P146" s="5">
        <v>305.12299999999999</v>
      </c>
      <c r="Q146" s="5">
        <v>358.827</v>
      </c>
      <c r="R146" s="5">
        <v>358.827</v>
      </c>
      <c r="S146" s="5">
        <v>358.827</v>
      </c>
      <c r="T146" s="5">
        <v>344.34699999999998</v>
      </c>
      <c r="U146" s="5">
        <v>331.63099999999997</v>
      </c>
      <c r="V146" s="5">
        <v>107.633</v>
      </c>
      <c r="W146" s="5">
        <v>39.731000000000002</v>
      </c>
      <c r="X146" s="5">
        <v>18.271999999999998</v>
      </c>
      <c r="Y146" s="5">
        <v>18.271999999999998</v>
      </c>
      <c r="Z146" s="5">
        <v>18.271999999999998</v>
      </c>
      <c r="AA146" s="8">
        <v>0</v>
      </c>
      <c r="AB146" s="8">
        <v>0</v>
      </c>
      <c r="AC146" s="8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</row>
    <row r="147" spans="1:46" x14ac:dyDescent="0.25">
      <c r="A147" s="4" t="s">
        <v>194</v>
      </c>
      <c r="B147" s="4" t="s">
        <v>207</v>
      </c>
      <c r="C147" s="4" t="s">
        <v>246</v>
      </c>
      <c r="D147" s="4" t="s">
        <v>247</v>
      </c>
      <c r="E147" s="4" t="s">
        <v>248</v>
      </c>
      <c r="F147" s="4" t="s">
        <v>202</v>
      </c>
      <c r="G147" s="4" t="s">
        <v>93</v>
      </c>
      <c r="H147" s="4" t="s">
        <v>268</v>
      </c>
      <c r="I147" s="5">
        <v>6080.8220000000001</v>
      </c>
      <c r="J147" s="5">
        <v>4352.7470000000003</v>
      </c>
      <c r="K147" s="5">
        <v>5746.7309999999998</v>
      </c>
      <c r="L147" s="5">
        <v>6014.143</v>
      </c>
      <c r="M147" s="5">
        <v>4906.99</v>
      </c>
      <c r="N147" s="5">
        <v>4535.2449999999999</v>
      </c>
      <c r="O147" s="5">
        <v>3474.81</v>
      </c>
      <c r="P147" s="5">
        <v>3372.03</v>
      </c>
      <c r="Q147" s="5">
        <v>3249.6469999999999</v>
      </c>
      <c r="R147" s="5">
        <v>3797.308</v>
      </c>
      <c r="S147" s="5">
        <v>3786.48</v>
      </c>
      <c r="T147" s="5">
        <v>4019.223</v>
      </c>
      <c r="U147" s="5">
        <v>4267.8140000000003</v>
      </c>
      <c r="V147" s="5">
        <v>4974.3720000000003</v>
      </c>
      <c r="W147" s="5">
        <v>8346.1740000000009</v>
      </c>
      <c r="X147" s="5">
        <v>8352.5669999999991</v>
      </c>
      <c r="Y147" s="5">
        <v>7062.9120000000003</v>
      </c>
      <c r="Z147" s="5">
        <v>5951.4440000000004</v>
      </c>
      <c r="AA147" s="5">
        <v>4601.6210000000001</v>
      </c>
      <c r="AB147" s="5">
        <v>4272.12</v>
      </c>
      <c r="AC147" s="5">
        <v>4276.826</v>
      </c>
      <c r="AD147" s="5">
        <v>3819.098</v>
      </c>
      <c r="AE147" s="5">
        <v>3802.239</v>
      </c>
      <c r="AF147" s="5">
        <v>3797.6759999999999</v>
      </c>
      <c r="AG147" s="5">
        <v>3729.732</v>
      </c>
      <c r="AH147" s="5">
        <v>4208.866</v>
      </c>
      <c r="AI147" s="5">
        <v>4414.4650000000001</v>
      </c>
      <c r="AJ147" s="5">
        <v>5226.3220000000001</v>
      </c>
      <c r="AK147" s="5">
        <v>4794.6229999999996</v>
      </c>
      <c r="AL147" s="5">
        <v>5998.0630000000001</v>
      </c>
      <c r="AM147" s="5">
        <v>4886.4129999999996</v>
      </c>
      <c r="AN147" s="5">
        <v>3793.9609999999998</v>
      </c>
      <c r="AO147" s="5">
        <v>3614.9839999999999</v>
      </c>
      <c r="AP147" s="5">
        <v>3519.808</v>
      </c>
      <c r="AQ147" s="5">
        <v>3180.549</v>
      </c>
      <c r="AR147" s="5">
        <v>3507.377</v>
      </c>
      <c r="AS147" s="5">
        <v>3568.6060000000002</v>
      </c>
      <c r="AT147" s="5">
        <v>4873.6809999999996</v>
      </c>
    </row>
    <row r="148" spans="1:46" x14ac:dyDescent="0.25">
      <c r="A148" s="4" t="s">
        <v>194</v>
      </c>
      <c r="B148" s="4" t="s">
        <v>207</v>
      </c>
      <c r="C148" s="4" t="s">
        <v>246</v>
      </c>
      <c r="D148" s="4" t="s">
        <v>247</v>
      </c>
      <c r="E148" s="4" t="s">
        <v>248</v>
      </c>
      <c r="F148" s="4" t="s">
        <v>202</v>
      </c>
      <c r="G148" s="4" t="s">
        <v>113</v>
      </c>
      <c r="H148" s="4" t="s">
        <v>268</v>
      </c>
      <c r="I148" s="5">
        <v>65.683999999999997</v>
      </c>
      <c r="J148" s="5">
        <v>65.683999999999997</v>
      </c>
      <c r="K148" s="5">
        <v>65.683999999999997</v>
      </c>
      <c r="L148" s="5">
        <v>63.145000000000003</v>
      </c>
      <c r="M148" s="5">
        <v>63.145000000000003</v>
      </c>
      <c r="N148" s="5">
        <v>84.192999999999998</v>
      </c>
      <c r="O148" s="8">
        <v>0</v>
      </c>
      <c r="P148" s="8">
        <v>0</v>
      </c>
      <c r="Q148" s="8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9">
        <v>0</v>
      </c>
      <c r="AF148" s="9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9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</row>
    <row r="149" spans="1:46" x14ac:dyDescent="0.25">
      <c r="A149" s="4" t="s">
        <v>194</v>
      </c>
      <c r="B149" s="4" t="s">
        <v>207</v>
      </c>
      <c r="C149" s="4" t="s">
        <v>246</v>
      </c>
      <c r="D149" s="4" t="s">
        <v>247</v>
      </c>
      <c r="E149" s="4" t="s">
        <v>248</v>
      </c>
      <c r="F149" s="4" t="s">
        <v>202</v>
      </c>
      <c r="G149" s="4" t="s">
        <v>116</v>
      </c>
      <c r="H149" s="4" t="s">
        <v>268</v>
      </c>
      <c r="I149" s="5">
        <v>19.57</v>
      </c>
      <c r="J149" s="5">
        <v>19.57</v>
      </c>
      <c r="K149" s="5">
        <v>26.094000000000001</v>
      </c>
      <c r="L149" s="5">
        <v>19.446999999999999</v>
      </c>
      <c r="M149" s="5">
        <v>72.638999999999996</v>
      </c>
      <c r="N149" s="5">
        <v>20.212</v>
      </c>
      <c r="O149" s="5">
        <v>20.212</v>
      </c>
      <c r="P149" s="5">
        <v>20.212</v>
      </c>
      <c r="Q149" s="5">
        <v>22.898</v>
      </c>
      <c r="R149" s="5">
        <v>22.898</v>
      </c>
      <c r="S149" s="5">
        <v>22.898</v>
      </c>
      <c r="T149" s="5">
        <v>21.792999999999999</v>
      </c>
      <c r="U149" s="5">
        <v>22.559000000000001</v>
      </c>
      <c r="V149" s="5">
        <v>150.79300000000001</v>
      </c>
      <c r="W149" s="5">
        <v>161.542</v>
      </c>
      <c r="X149" s="5">
        <v>108.803</v>
      </c>
      <c r="Y149" s="5">
        <v>62.67</v>
      </c>
      <c r="Z149" s="5">
        <v>56.442</v>
      </c>
      <c r="AA149" s="5">
        <v>90.531000000000006</v>
      </c>
      <c r="AB149" s="5">
        <v>17.417999999999999</v>
      </c>
      <c r="AC149" s="5">
        <v>17.417999999999999</v>
      </c>
      <c r="AD149" s="5">
        <v>17.417999999999999</v>
      </c>
      <c r="AE149" s="5">
        <v>17.417999999999999</v>
      </c>
      <c r="AF149" s="5">
        <v>17.920000000000002</v>
      </c>
      <c r="AG149" s="5">
        <v>17.920000000000002</v>
      </c>
      <c r="AH149" s="8">
        <v>0</v>
      </c>
      <c r="AI149" s="5">
        <v>130.15899999999999</v>
      </c>
      <c r="AJ149" s="5">
        <v>139.71799999999999</v>
      </c>
      <c r="AK149" s="5">
        <v>131.81299999999999</v>
      </c>
      <c r="AL149" s="5">
        <v>100.75</v>
      </c>
      <c r="AM149" s="5">
        <v>100.75</v>
      </c>
      <c r="AN149" s="5">
        <v>182.12799999999999</v>
      </c>
      <c r="AO149" s="5">
        <v>117.776</v>
      </c>
      <c r="AP149" s="5">
        <v>89.215999999999994</v>
      </c>
      <c r="AQ149" s="5">
        <v>91.18</v>
      </c>
      <c r="AR149" s="5">
        <v>90.781999999999996</v>
      </c>
      <c r="AS149" s="5">
        <v>105.91200000000001</v>
      </c>
      <c r="AT149" s="5">
        <v>75.650999999999996</v>
      </c>
    </row>
    <row r="150" spans="1:46" x14ac:dyDescent="0.25">
      <c r="A150" s="4" t="s">
        <v>194</v>
      </c>
      <c r="B150" s="4" t="s">
        <v>207</v>
      </c>
      <c r="C150" s="4" t="s">
        <v>246</v>
      </c>
      <c r="D150" s="4" t="s">
        <v>247</v>
      </c>
      <c r="E150" s="4" t="s">
        <v>248</v>
      </c>
      <c r="F150" s="4" t="s">
        <v>202</v>
      </c>
      <c r="G150" s="4" t="s">
        <v>103</v>
      </c>
      <c r="H150" s="4" t="s">
        <v>268</v>
      </c>
      <c r="I150" s="5">
        <v>7754.9539999999997</v>
      </c>
      <c r="J150" s="5">
        <v>6788.0770000000002</v>
      </c>
      <c r="K150" s="5">
        <v>6374.165</v>
      </c>
      <c r="L150" s="5">
        <v>6746.9120000000003</v>
      </c>
      <c r="M150" s="5">
        <v>7365.0429999999997</v>
      </c>
      <c r="N150" s="5">
        <v>6923.6540000000005</v>
      </c>
      <c r="O150" s="5">
        <v>8657.9680000000008</v>
      </c>
      <c r="P150" s="5">
        <v>6908.6130000000003</v>
      </c>
      <c r="Q150" s="5">
        <v>6931.0330000000004</v>
      </c>
      <c r="R150" s="5">
        <v>7766.7669999999998</v>
      </c>
      <c r="S150" s="5">
        <v>7567.06</v>
      </c>
      <c r="T150" s="5">
        <v>7934.9750000000004</v>
      </c>
      <c r="U150" s="5">
        <v>7863.1989999999996</v>
      </c>
      <c r="V150" s="5">
        <v>7646.5889999999999</v>
      </c>
      <c r="W150" s="5">
        <v>11825.648999999999</v>
      </c>
      <c r="X150" s="5">
        <v>12565.567999999999</v>
      </c>
      <c r="Y150" s="5">
        <v>10647.862999999999</v>
      </c>
      <c r="Z150" s="5">
        <v>7971.1040000000003</v>
      </c>
      <c r="AA150" s="5">
        <v>8817.1659999999993</v>
      </c>
      <c r="AB150" s="5">
        <v>8498.9339999999993</v>
      </c>
      <c r="AC150" s="5">
        <v>7389.7520000000004</v>
      </c>
      <c r="AD150" s="5">
        <v>7688.5</v>
      </c>
      <c r="AE150" s="5">
        <v>7981.308</v>
      </c>
      <c r="AF150" s="5">
        <v>7777.19</v>
      </c>
      <c r="AG150" s="5">
        <v>7971.7330000000002</v>
      </c>
      <c r="AH150" s="5">
        <v>8880.3989999999994</v>
      </c>
      <c r="AI150" s="5">
        <v>9629.7819999999992</v>
      </c>
      <c r="AJ150" s="5">
        <v>9930.625</v>
      </c>
      <c r="AK150" s="5">
        <v>9520.3880000000008</v>
      </c>
      <c r="AL150" s="5">
        <v>11161.08</v>
      </c>
      <c r="AM150" s="5">
        <v>10138.468000000001</v>
      </c>
      <c r="AN150" s="5">
        <v>7159.1469999999999</v>
      </c>
      <c r="AO150" s="5">
        <v>5680.6750000000002</v>
      </c>
      <c r="AP150" s="5">
        <v>6581.567</v>
      </c>
      <c r="AQ150" s="5">
        <v>5907.8789999999999</v>
      </c>
      <c r="AR150" s="5">
        <v>5715.2089999999998</v>
      </c>
      <c r="AS150" s="5">
        <v>5765.1970000000001</v>
      </c>
      <c r="AT150" s="5">
        <v>7253.6090000000004</v>
      </c>
    </row>
    <row r="151" spans="1:46" x14ac:dyDescent="0.25">
      <c r="A151" s="4" t="s">
        <v>194</v>
      </c>
      <c r="B151" s="4" t="s">
        <v>207</v>
      </c>
      <c r="C151" s="4" t="s">
        <v>246</v>
      </c>
      <c r="D151" s="4" t="s">
        <v>254</v>
      </c>
      <c r="E151" s="4" t="s">
        <v>255</v>
      </c>
      <c r="F151" s="4" t="s">
        <v>203</v>
      </c>
      <c r="G151" s="4" t="s">
        <v>138</v>
      </c>
      <c r="H151" s="4" t="s">
        <v>268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</row>
    <row r="152" spans="1:46" x14ac:dyDescent="0.25">
      <c r="A152" s="4" t="s">
        <v>194</v>
      </c>
      <c r="B152" s="4" t="s">
        <v>207</v>
      </c>
      <c r="C152" s="4" t="s">
        <v>246</v>
      </c>
      <c r="D152" s="4" t="s">
        <v>254</v>
      </c>
      <c r="E152" s="4" t="s">
        <v>255</v>
      </c>
      <c r="F152" s="4" t="s">
        <v>195</v>
      </c>
      <c r="G152" s="4" t="s">
        <v>93</v>
      </c>
      <c r="H152" s="4" t="s">
        <v>268</v>
      </c>
      <c r="I152" s="5">
        <v>5750.3729999999996</v>
      </c>
      <c r="J152" s="5">
        <v>6230.5709999999999</v>
      </c>
      <c r="K152" s="5">
        <v>6997.49</v>
      </c>
      <c r="L152" s="5">
        <v>8901.7009999999991</v>
      </c>
      <c r="M152" s="5">
        <v>6283.0010000000002</v>
      </c>
      <c r="N152" s="5">
        <v>7191.326</v>
      </c>
      <c r="O152" s="5">
        <v>6392.4120000000003</v>
      </c>
      <c r="P152" s="5">
        <v>5631.6610000000001</v>
      </c>
      <c r="Q152" s="5">
        <v>5274.4309999999996</v>
      </c>
      <c r="R152" s="5">
        <v>4689.1940000000004</v>
      </c>
      <c r="S152" s="5">
        <v>4373.857</v>
      </c>
      <c r="T152" s="5">
        <v>5399.2780000000002</v>
      </c>
      <c r="U152" s="5">
        <v>5697.1450000000004</v>
      </c>
      <c r="V152" s="5">
        <v>6088.1490000000003</v>
      </c>
      <c r="W152" s="5">
        <v>8143.1679999999997</v>
      </c>
      <c r="X152" s="5">
        <v>5951.442</v>
      </c>
      <c r="Y152" s="5">
        <v>4641.0069999999996</v>
      </c>
      <c r="Z152" s="5">
        <v>4657.54</v>
      </c>
      <c r="AA152" s="5">
        <v>5084.2139999999999</v>
      </c>
      <c r="AB152" s="5">
        <v>4561.16</v>
      </c>
      <c r="AC152" s="5">
        <v>4729.1689999999999</v>
      </c>
      <c r="AD152" s="5">
        <v>4743.5510000000004</v>
      </c>
      <c r="AE152" s="5">
        <v>4642.5420000000004</v>
      </c>
      <c r="AF152" s="5">
        <v>4673.5240000000003</v>
      </c>
      <c r="AG152" s="5">
        <v>4729.9319999999998</v>
      </c>
      <c r="AH152" s="5">
        <v>5841.4309999999996</v>
      </c>
      <c r="AI152" s="5">
        <v>6611.2870000000003</v>
      </c>
      <c r="AJ152" s="5">
        <v>5550.1840000000002</v>
      </c>
      <c r="AK152" s="5">
        <v>6477.049</v>
      </c>
      <c r="AL152" s="5">
        <v>4811.8789999999999</v>
      </c>
      <c r="AM152" s="5">
        <v>5615.5829999999996</v>
      </c>
      <c r="AN152" s="5">
        <v>5461.46</v>
      </c>
      <c r="AO152" s="5">
        <v>5314.8320000000003</v>
      </c>
      <c r="AP152" s="5">
        <v>6815.1139999999996</v>
      </c>
      <c r="AQ152" s="5">
        <v>6000.1819999999998</v>
      </c>
      <c r="AR152" s="5">
        <v>6043.5590000000002</v>
      </c>
      <c r="AS152" s="5">
        <v>5704.1629999999996</v>
      </c>
      <c r="AT152" s="5">
        <v>6126.2610000000004</v>
      </c>
    </row>
    <row r="153" spans="1:46" x14ac:dyDescent="0.25">
      <c r="A153" s="4" t="s">
        <v>194</v>
      </c>
      <c r="B153" s="4" t="s">
        <v>207</v>
      </c>
      <c r="C153" s="4" t="s">
        <v>246</v>
      </c>
      <c r="D153" s="4" t="s">
        <v>254</v>
      </c>
      <c r="E153" s="4" t="s">
        <v>255</v>
      </c>
      <c r="F153" s="4" t="s">
        <v>195</v>
      </c>
      <c r="G153" s="4" t="s">
        <v>138</v>
      </c>
      <c r="H153" s="4" t="s">
        <v>268</v>
      </c>
      <c r="I153" s="5">
        <v>209.57</v>
      </c>
      <c r="J153" s="5">
        <v>407.52699999999999</v>
      </c>
      <c r="K153" s="5">
        <v>262.55099999999999</v>
      </c>
      <c r="L153" s="5">
        <v>472.30599999999998</v>
      </c>
      <c r="M153" s="5">
        <v>595.19299999999998</v>
      </c>
      <c r="N153" s="5">
        <v>540.39499999999998</v>
      </c>
      <c r="O153" s="5">
        <v>472.98899999999998</v>
      </c>
      <c r="P153" s="5">
        <v>555.88900000000001</v>
      </c>
      <c r="Q153" s="5">
        <v>388.62599999999998</v>
      </c>
      <c r="R153" s="5">
        <v>406.04599999999999</v>
      </c>
      <c r="S153" s="5">
        <v>416.73200000000003</v>
      </c>
      <c r="T153" s="5">
        <v>448.89600000000002</v>
      </c>
      <c r="U153" s="5">
        <v>554.64700000000005</v>
      </c>
      <c r="V153" s="5">
        <v>449.15</v>
      </c>
      <c r="W153" s="5">
        <v>709.63199999999995</v>
      </c>
      <c r="X153" s="5">
        <v>679.30399999999997</v>
      </c>
      <c r="Y153" s="5">
        <v>476.99599999999998</v>
      </c>
      <c r="Z153" s="5">
        <v>445.923</v>
      </c>
      <c r="AA153" s="5">
        <v>403.38799999999998</v>
      </c>
      <c r="AB153" s="5">
        <v>525.99699999999996</v>
      </c>
      <c r="AC153" s="5">
        <v>452.375</v>
      </c>
      <c r="AD153" s="5">
        <v>482.98700000000002</v>
      </c>
      <c r="AE153" s="5">
        <v>606.30499999999995</v>
      </c>
      <c r="AF153" s="5">
        <v>565.58299999999997</v>
      </c>
      <c r="AG153" s="5">
        <v>450.887</v>
      </c>
      <c r="AH153" s="5">
        <v>966.16700000000003</v>
      </c>
      <c r="AI153" s="5">
        <v>739.26900000000001</v>
      </c>
      <c r="AJ153" s="5">
        <v>654.73099999999999</v>
      </c>
      <c r="AK153" s="5">
        <v>422.59899999999999</v>
      </c>
      <c r="AL153" s="5">
        <v>372.36200000000002</v>
      </c>
      <c r="AM153" s="5">
        <v>577.774</v>
      </c>
      <c r="AN153" s="5">
        <v>589.49300000000005</v>
      </c>
      <c r="AO153" s="5">
        <v>606.01199999999994</v>
      </c>
      <c r="AP153" s="5">
        <v>557.93100000000004</v>
      </c>
      <c r="AQ153" s="5">
        <v>538.30200000000002</v>
      </c>
      <c r="AR153" s="5">
        <v>561.86</v>
      </c>
      <c r="AS153" s="5">
        <v>508.39</v>
      </c>
      <c r="AT153" s="5">
        <v>454.512</v>
      </c>
    </row>
    <row r="154" spans="1:46" x14ac:dyDescent="0.25">
      <c r="A154" s="4" t="s">
        <v>194</v>
      </c>
      <c r="B154" s="4" t="s">
        <v>207</v>
      </c>
      <c r="C154" s="4" t="s">
        <v>246</v>
      </c>
      <c r="D154" s="4" t="s">
        <v>254</v>
      </c>
      <c r="E154" s="4" t="s">
        <v>255</v>
      </c>
      <c r="F154" s="4" t="s">
        <v>195</v>
      </c>
      <c r="G154" s="4" t="s">
        <v>140</v>
      </c>
      <c r="H154" s="4" t="s">
        <v>268</v>
      </c>
      <c r="I154" s="5">
        <v>547.86300000000006</v>
      </c>
      <c r="J154" s="5">
        <v>728.12400000000002</v>
      </c>
      <c r="K154" s="5">
        <v>433.822</v>
      </c>
      <c r="L154" s="5">
        <v>1731.597</v>
      </c>
      <c r="M154" s="5">
        <v>749.52200000000005</v>
      </c>
      <c r="N154" s="5">
        <v>589.06100000000004</v>
      </c>
      <c r="O154" s="5">
        <v>785.85199999999998</v>
      </c>
      <c r="P154" s="5">
        <v>766.30399999999997</v>
      </c>
      <c r="Q154" s="5">
        <v>874.48500000000001</v>
      </c>
      <c r="R154" s="5">
        <v>826.87900000000002</v>
      </c>
      <c r="S154" s="5">
        <v>607.33600000000001</v>
      </c>
      <c r="T154" s="5">
        <v>642.78599999999994</v>
      </c>
      <c r="U154" s="5">
        <v>710.10199999999998</v>
      </c>
      <c r="V154" s="5">
        <v>547.11500000000001</v>
      </c>
      <c r="W154" s="5">
        <v>1256.05</v>
      </c>
      <c r="X154" s="5">
        <v>1270.528</v>
      </c>
      <c r="Y154" s="5">
        <v>637.49</v>
      </c>
      <c r="Z154" s="5">
        <v>1044.451</v>
      </c>
      <c r="AA154" s="5">
        <v>797.61</v>
      </c>
      <c r="AB154" s="5">
        <v>609.65800000000002</v>
      </c>
      <c r="AC154" s="5">
        <v>862.43700000000001</v>
      </c>
      <c r="AD154" s="5">
        <v>772.81399999999996</v>
      </c>
      <c r="AE154" s="5">
        <v>1059.3579999999999</v>
      </c>
      <c r="AF154" s="5">
        <v>980.86300000000006</v>
      </c>
      <c r="AG154" s="5">
        <v>1078.777</v>
      </c>
      <c r="AH154" s="5">
        <v>1891.297</v>
      </c>
      <c r="AI154" s="5">
        <v>1892.991</v>
      </c>
      <c r="AJ154" s="5">
        <v>1663.258</v>
      </c>
      <c r="AK154" s="5">
        <v>1098.6469999999999</v>
      </c>
      <c r="AL154" s="5">
        <v>1044.008</v>
      </c>
      <c r="AM154" s="5">
        <v>1039.3240000000001</v>
      </c>
      <c r="AN154" s="5">
        <v>631.80399999999997</v>
      </c>
      <c r="AO154" s="5">
        <v>748.65899999999999</v>
      </c>
      <c r="AP154" s="5">
        <v>767.89200000000005</v>
      </c>
      <c r="AQ154" s="5">
        <v>781.44600000000003</v>
      </c>
      <c r="AR154" s="5">
        <v>826.04700000000003</v>
      </c>
      <c r="AS154" s="5">
        <v>903.25900000000001</v>
      </c>
      <c r="AT154" s="5">
        <v>1012.15</v>
      </c>
    </row>
    <row r="155" spans="1:46" x14ac:dyDescent="0.25">
      <c r="A155" s="4" t="s">
        <v>194</v>
      </c>
      <c r="B155" s="4" t="s">
        <v>207</v>
      </c>
      <c r="C155" s="4" t="s">
        <v>246</v>
      </c>
      <c r="D155" s="4" t="s">
        <v>254</v>
      </c>
      <c r="E155" s="4" t="s">
        <v>256</v>
      </c>
      <c r="F155" s="4" t="s">
        <v>195</v>
      </c>
      <c r="G155" s="4" t="s">
        <v>93</v>
      </c>
      <c r="H155" s="4" t="s">
        <v>268</v>
      </c>
      <c r="I155" s="5">
        <v>1646.5309999999999</v>
      </c>
      <c r="J155" s="5">
        <v>1408.3489999999999</v>
      </c>
      <c r="K155" s="5">
        <v>2000.5150000000001</v>
      </c>
      <c r="L155" s="5">
        <v>2301.8890000000001</v>
      </c>
      <c r="M155" s="5">
        <v>2042.3150000000001</v>
      </c>
      <c r="N155" s="5">
        <v>1837.221</v>
      </c>
      <c r="O155" s="5">
        <v>1649.683</v>
      </c>
      <c r="P155" s="5">
        <v>1618.624</v>
      </c>
      <c r="Q155" s="5">
        <v>1723.133</v>
      </c>
      <c r="R155" s="5">
        <v>1752.9870000000001</v>
      </c>
      <c r="S155" s="5">
        <v>1563.557</v>
      </c>
      <c r="T155" s="5">
        <v>1667.472</v>
      </c>
      <c r="U155" s="5">
        <v>1436.2670000000001</v>
      </c>
      <c r="V155" s="5">
        <v>1632.76</v>
      </c>
      <c r="W155" s="5">
        <v>2100.7429999999999</v>
      </c>
      <c r="X155" s="5">
        <v>1606.1320000000001</v>
      </c>
      <c r="Y155" s="5">
        <v>1438.778</v>
      </c>
      <c r="Z155" s="5">
        <v>1409.703</v>
      </c>
      <c r="AA155" s="5">
        <v>1305.193</v>
      </c>
      <c r="AB155" s="5">
        <v>1300.386</v>
      </c>
      <c r="AC155" s="5">
        <v>1273.5039999999999</v>
      </c>
      <c r="AD155" s="5">
        <v>1227.4749999999999</v>
      </c>
      <c r="AE155" s="5">
        <v>1314.2719999999999</v>
      </c>
      <c r="AF155" s="5">
        <v>1365.3989999999999</v>
      </c>
      <c r="AG155" s="5">
        <v>1449.0730000000001</v>
      </c>
      <c r="AH155" s="5">
        <v>1693.6569999999999</v>
      </c>
      <c r="AI155" s="5">
        <v>1285.8409999999999</v>
      </c>
      <c r="AJ155" s="5">
        <v>1335.116</v>
      </c>
      <c r="AK155" s="5">
        <v>1128.5940000000001</v>
      </c>
      <c r="AL155" s="5">
        <v>1322.5160000000001</v>
      </c>
      <c r="AM155" s="5">
        <v>1029.116</v>
      </c>
      <c r="AN155" s="5">
        <v>817.87099999999998</v>
      </c>
      <c r="AO155" s="5">
        <v>1025.3209999999999</v>
      </c>
      <c r="AP155" s="5">
        <v>1025.1079999999999</v>
      </c>
      <c r="AQ155" s="5">
        <v>1047.2239999999999</v>
      </c>
      <c r="AR155" s="5">
        <v>850.24599999999998</v>
      </c>
      <c r="AS155" s="5">
        <v>892.38499999999999</v>
      </c>
      <c r="AT155" s="5">
        <v>810.73299999999995</v>
      </c>
    </row>
    <row r="156" spans="1:46" x14ac:dyDescent="0.25">
      <c r="A156" s="4" t="s">
        <v>194</v>
      </c>
      <c r="B156" s="4" t="s">
        <v>207</v>
      </c>
      <c r="C156" s="4" t="s">
        <v>246</v>
      </c>
      <c r="D156" s="4" t="s">
        <v>254</v>
      </c>
      <c r="E156" s="4" t="s">
        <v>257</v>
      </c>
      <c r="F156" s="4" t="s">
        <v>203</v>
      </c>
      <c r="G156" s="4" t="s">
        <v>93</v>
      </c>
      <c r="H156" s="4" t="s">
        <v>268</v>
      </c>
      <c r="I156" s="5">
        <v>672.27300000000002</v>
      </c>
      <c r="J156" s="5">
        <v>745.16</v>
      </c>
      <c r="K156" s="5">
        <v>1124.806</v>
      </c>
      <c r="L156" s="5">
        <v>902.07500000000005</v>
      </c>
      <c r="M156" s="5">
        <v>501.76299999999998</v>
      </c>
      <c r="N156" s="5">
        <v>876.31</v>
      </c>
      <c r="O156" s="5">
        <v>626.31600000000003</v>
      </c>
      <c r="P156" s="5">
        <v>892.90899999999999</v>
      </c>
      <c r="Q156" s="5">
        <v>884.71199999999999</v>
      </c>
      <c r="R156" s="5">
        <v>926.71400000000006</v>
      </c>
      <c r="S156" s="5">
        <v>846.06899999999996</v>
      </c>
      <c r="T156" s="5">
        <v>1019.381</v>
      </c>
      <c r="U156" s="5">
        <v>1251.7529999999999</v>
      </c>
      <c r="V156" s="5">
        <v>2067.8670000000002</v>
      </c>
      <c r="W156" s="5">
        <v>1854.442</v>
      </c>
      <c r="X156" s="5">
        <v>1488.3009999999999</v>
      </c>
      <c r="Y156" s="5">
        <v>1228.0740000000001</v>
      </c>
      <c r="Z156" s="5">
        <v>1197.085</v>
      </c>
      <c r="AA156" s="5">
        <v>1019.885</v>
      </c>
      <c r="AB156" s="5">
        <v>868.81200000000001</v>
      </c>
      <c r="AC156" s="5">
        <v>774.77</v>
      </c>
      <c r="AD156" s="5">
        <v>1107.521</v>
      </c>
      <c r="AE156" s="5">
        <v>962.29</v>
      </c>
      <c r="AF156" s="5">
        <v>763.90700000000004</v>
      </c>
      <c r="AG156" s="5">
        <v>794.44600000000003</v>
      </c>
      <c r="AH156" s="5">
        <v>733.14499999999998</v>
      </c>
      <c r="AI156" s="5">
        <v>776.37199999999996</v>
      </c>
      <c r="AJ156" s="5">
        <v>818.29399999999998</v>
      </c>
      <c r="AK156" s="5">
        <v>590.53300000000002</v>
      </c>
      <c r="AL156" s="5">
        <v>579.55200000000002</v>
      </c>
      <c r="AM156" s="5">
        <v>513.005</v>
      </c>
      <c r="AN156" s="5">
        <v>481.03899999999999</v>
      </c>
      <c r="AO156" s="5">
        <v>303.887</v>
      </c>
      <c r="AP156" s="5">
        <v>248.678</v>
      </c>
      <c r="AQ156" s="5">
        <v>299.75900000000001</v>
      </c>
      <c r="AR156" s="5">
        <v>319.24900000000002</v>
      </c>
      <c r="AS156" s="5">
        <v>267.017</v>
      </c>
      <c r="AT156" s="5">
        <v>194.27500000000001</v>
      </c>
    </row>
    <row r="157" spans="1:46" x14ac:dyDescent="0.25">
      <c r="A157" s="4" t="s">
        <v>194</v>
      </c>
      <c r="B157" s="4" t="s">
        <v>207</v>
      </c>
      <c r="C157" s="4" t="s">
        <v>246</v>
      </c>
      <c r="D157" s="4" t="s">
        <v>254</v>
      </c>
      <c r="E157" s="4" t="s">
        <v>258</v>
      </c>
      <c r="F157" s="4" t="s">
        <v>203</v>
      </c>
      <c r="G157" s="4" t="s">
        <v>93</v>
      </c>
      <c r="H157" s="4" t="s">
        <v>268</v>
      </c>
      <c r="I157" s="5">
        <v>1098.643</v>
      </c>
      <c r="J157" s="5">
        <v>732.16200000000003</v>
      </c>
      <c r="K157" s="5">
        <v>997.43</v>
      </c>
      <c r="L157" s="5">
        <v>770.36900000000003</v>
      </c>
      <c r="M157" s="5">
        <v>612.26</v>
      </c>
      <c r="N157" s="5">
        <v>1009.079</v>
      </c>
      <c r="O157" s="5">
        <v>993.03499999999997</v>
      </c>
      <c r="P157" s="5">
        <v>861.39599999999996</v>
      </c>
      <c r="Q157" s="5">
        <v>789.65800000000002</v>
      </c>
      <c r="R157" s="5">
        <v>680.44399999999996</v>
      </c>
      <c r="S157" s="5">
        <v>666.27499999999998</v>
      </c>
      <c r="T157" s="5">
        <v>423.41500000000002</v>
      </c>
      <c r="U157" s="5">
        <v>460.23200000000003</v>
      </c>
      <c r="V157" s="5">
        <v>492.45400000000001</v>
      </c>
      <c r="W157" s="5">
        <v>422.51499999999999</v>
      </c>
      <c r="X157" s="5">
        <v>434.46600000000001</v>
      </c>
      <c r="Y157" s="5">
        <v>454.995</v>
      </c>
      <c r="Z157" s="5">
        <v>357.65300000000002</v>
      </c>
      <c r="AA157" s="5">
        <v>475.48500000000001</v>
      </c>
      <c r="AB157" s="5">
        <v>445.96499999999997</v>
      </c>
      <c r="AC157" s="5">
        <v>498.69900000000001</v>
      </c>
      <c r="AD157" s="5">
        <v>918.88</v>
      </c>
      <c r="AE157" s="5">
        <v>845.72299999999996</v>
      </c>
      <c r="AF157" s="5">
        <v>757.74099999999999</v>
      </c>
      <c r="AG157" s="5">
        <v>746.39099999999996</v>
      </c>
      <c r="AH157" s="5">
        <v>678.59699999999998</v>
      </c>
      <c r="AI157" s="5">
        <v>1110.3</v>
      </c>
      <c r="AJ157" s="5">
        <v>1276.6569999999999</v>
      </c>
      <c r="AK157" s="5">
        <v>953.06200000000001</v>
      </c>
      <c r="AL157" s="5">
        <v>718.02099999999996</v>
      </c>
      <c r="AM157" s="5">
        <v>432.25700000000001</v>
      </c>
      <c r="AN157" s="5">
        <v>1056.2860000000001</v>
      </c>
      <c r="AO157" s="5">
        <v>1120.97</v>
      </c>
      <c r="AP157" s="5">
        <v>1476.693</v>
      </c>
      <c r="AQ157" s="5">
        <v>1817.655</v>
      </c>
      <c r="AR157" s="5">
        <v>1587.67</v>
      </c>
      <c r="AS157" s="5">
        <v>1592.3409999999999</v>
      </c>
      <c r="AT157" s="5">
        <v>2244.98</v>
      </c>
    </row>
    <row r="158" spans="1:46" x14ac:dyDescent="0.25">
      <c r="A158" s="4" t="s">
        <v>194</v>
      </c>
      <c r="B158" s="4" t="s">
        <v>207</v>
      </c>
      <c r="C158" s="4" t="s">
        <v>246</v>
      </c>
      <c r="D158" s="4" t="s">
        <v>254</v>
      </c>
      <c r="E158" s="4" t="s">
        <v>258</v>
      </c>
      <c r="F158" s="4" t="s">
        <v>195</v>
      </c>
      <c r="G158" s="4" t="s">
        <v>93</v>
      </c>
      <c r="H158" s="4" t="s">
        <v>268</v>
      </c>
      <c r="I158" s="5">
        <v>298.35199999999998</v>
      </c>
      <c r="J158" s="5">
        <v>223.36699999999999</v>
      </c>
      <c r="K158" s="5">
        <v>286.48899999999998</v>
      </c>
      <c r="L158" s="5">
        <v>203.429</v>
      </c>
      <c r="M158" s="5">
        <v>296.26499999999999</v>
      </c>
      <c r="N158" s="5">
        <v>77.716999999999999</v>
      </c>
      <c r="O158" s="5">
        <v>28.016999999999999</v>
      </c>
      <c r="P158" s="5">
        <v>82.697999999999993</v>
      </c>
      <c r="Q158" s="5">
        <v>51.908999999999999</v>
      </c>
      <c r="R158" s="5">
        <v>343.84100000000001</v>
      </c>
      <c r="S158" s="5">
        <v>293.584</v>
      </c>
      <c r="T158" s="5">
        <v>360.47699999999998</v>
      </c>
      <c r="U158" s="5">
        <v>295.05700000000002</v>
      </c>
      <c r="V158" s="5">
        <v>421.91199999999998</v>
      </c>
      <c r="W158" s="5">
        <v>656.89700000000005</v>
      </c>
      <c r="X158" s="5">
        <v>1067.713</v>
      </c>
      <c r="Y158" s="5">
        <v>1411.835</v>
      </c>
      <c r="Z158" s="5">
        <v>1498.433</v>
      </c>
      <c r="AA158" s="5">
        <v>1600.3130000000001</v>
      </c>
      <c r="AB158" s="5">
        <v>1117.404</v>
      </c>
      <c r="AC158" s="5">
        <v>1038.271</v>
      </c>
      <c r="AD158" s="5">
        <v>1346.62</v>
      </c>
      <c r="AE158" s="5">
        <v>1447.2739999999999</v>
      </c>
      <c r="AF158" s="5">
        <v>1373.884</v>
      </c>
      <c r="AG158" s="5">
        <v>1527.175</v>
      </c>
      <c r="AH158" s="5">
        <v>2289.4279999999999</v>
      </c>
      <c r="AI158" s="5">
        <v>2586.0740000000001</v>
      </c>
      <c r="AJ158" s="5">
        <v>1753.2329999999999</v>
      </c>
      <c r="AK158" s="5">
        <v>2020.7929999999999</v>
      </c>
      <c r="AL158" s="5">
        <v>1782.979</v>
      </c>
      <c r="AM158" s="5">
        <v>2547.194</v>
      </c>
      <c r="AN158" s="5">
        <v>2196.39</v>
      </c>
      <c r="AO158" s="5">
        <v>1936.241</v>
      </c>
      <c r="AP158" s="5">
        <v>1903.1369999999999</v>
      </c>
      <c r="AQ158" s="5">
        <v>2020.742</v>
      </c>
      <c r="AR158" s="5">
        <v>2255.4209999999998</v>
      </c>
      <c r="AS158" s="5">
        <v>1916.35</v>
      </c>
      <c r="AT158" s="5">
        <v>2569.009</v>
      </c>
    </row>
    <row r="159" spans="1:46" x14ac:dyDescent="0.25">
      <c r="A159" s="4" t="s">
        <v>194</v>
      </c>
      <c r="B159" s="4" t="s">
        <v>207</v>
      </c>
      <c r="C159" s="4" t="s">
        <v>246</v>
      </c>
      <c r="D159" s="4" t="s">
        <v>259</v>
      </c>
      <c r="E159" s="4" t="s">
        <v>248</v>
      </c>
      <c r="F159" s="4" t="s">
        <v>203</v>
      </c>
      <c r="G159" s="4" t="s">
        <v>93</v>
      </c>
      <c r="H159" s="4" t="s">
        <v>268</v>
      </c>
      <c r="I159" s="5">
        <v>5206.433</v>
      </c>
      <c r="J159" s="5">
        <v>5444.1660000000002</v>
      </c>
      <c r="K159" s="5">
        <v>9293.1620000000003</v>
      </c>
      <c r="L159" s="5">
        <v>12151.445</v>
      </c>
      <c r="M159" s="5">
        <v>8920.8320000000003</v>
      </c>
      <c r="N159" s="5">
        <v>8694.4599999999991</v>
      </c>
      <c r="O159" s="5">
        <v>7771.6949999999997</v>
      </c>
      <c r="P159" s="5">
        <v>6325.0550000000003</v>
      </c>
      <c r="Q159" s="5">
        <v>6139.0959999999995</v>
      </c>
      <c r="R159" s="5">
        <v>6027.9430000000002</v>
      </c>
      <c r="S159" s="5">
        <v>5831.2659999999996</v>
      </c>
      <c r="T159" s="5">
        <v>5768.3620000000001</v>
      </c>
      <c r="U159" s="5">
        <v>6307.88</v>
      </c>
      <c r="V159" s="5">
        <v>4996.6679999999997</v>
      </c>
      <c r="W159" s="5">
        <v>8538.1370000000006</v>
      </c>
      <c r="X159" s="5">
        <v>12364.599</v>
      </c>
      <c r="Y159" s="5">
        <v>12978.991</v>
      </c>
      <c r="Z159" s="5">
        <v>7480.3130000000001</v>
      </c>
      <c r="AA159" s="5">
        <v>5364.4449999999997</v>
      </c>
      <c r="AB159" s="5">
        <v>5895.5479999999998</v>
      </c>
      <c r="AC159" s="5">
        <v>4863.817</v>
      </c>
      <c r="AD159" s="5">
        <v>4985.491</v>
      </c>
      <c r="AE159" s="5">
        <v>5183.8320000000003</v>
      </c>
      <c r="AF159" s="5">
        <v>4890.2979999999998</v>
      </c>
      <c r="AG159" s="5">
        <v>4930.0349999999999</v>
      </c>
      <c r="AH159" s="5">
        <v>5579.22</v>
      </c>
      <c r="AI159" s="5">
        <v>7477.7569999999996</v>
      </c>
      <c r="AJ159" s="5">
        <v>5895.5460000000003</v>
      </c>
      <c r="AK159" s="5">
        <v>7127.1689999999999</v>
      </c>
      <c r="AL159" s="5">
        <v>6203.3620000000001</v>
      </c>
      <c r="AM159" s="5">
        <v>6824.0559999999996</v>
      </c>
      <c r="AN159" s="5">
        <v>7633.66</v>
      </c>
      <c r="AO159" s="5">
        <v>6582.0889999999999</v>
      </c>
      <c r="AP159" s="5">
        <v>6662.759</v>
      </c>
      <c r="AQ159" s="5">
        <v>9026.3799999999992</v>
      </c>
      <c r="AR159" s="5">
        <v>7741.1480000000001</v>
      </c>
      <c r="AS159" s="5">
        <v>7131.5290000000005</v>
      </c>
      <c r="AT159" s="5">
        <v>8073.8249999999998</v>
      </c>
    </row>
    <row r="160" spans="1:46" x14ac:dyDescent="0.25">
      <c r="A160" s="4" t="s">
        <v>194</v>
      </c>
      <c r="B160" s="4" t="s">
        <v>207</v>
      </c>
      <c r="C160" s="4" t="s">
        <v>246</v>
      </c>
      <c r="D160" s="4" t="s">
        <v>259</v>
      </c>
      <c r="E160" s="4" t="s">
        <v>248</v>
      </c>
      <c r="F160" s="4" t="s">
        <v>201</v>
      </c>
      <c r="G160" s="4" t="s">
        <v>93</v>
      </c>
      <c r="H160" s="4" t="s">
        <v>268</v>
      </c>
      <c r="I160" s="5">
        <v>7399.1530000000002</v>
      </c>
      <c r="J160" s="5">
        <v>9501.3340000000007</v>
      </c>
      <c r="K160" s="5">
        <v>11349.575000000001</v>
      </c>
      <c r="L160" s="5">
        <v>17029.170999999998</v>
      </c>
      <c r="M160" s="5">
        <v>12772.447</v>
      </c>
      <c r="N160" s="5">
        <v>10392.627</v>
      </c>
      <c r="O160" s="5">
        <v>9334.3989999999994</v>
      </c>
      <c r="P160" s="5">
        <v>7609.7420000000002</v>
      </c>
      <c r="Q160" s="5">
        <v>7150.5770000000002</v>
      </c>
      <c r="R160" s="5">
        <v>7339.5280000000002</v>
      </c>
      <c r="S160" s="5">
        <v>7448.2780000000002</v>
      </c>
      <c r="T160" s="5">
        <v>8686.6309999999994</v>
      </c>
      <c r="U160" s="5">
        <v>8414.8960000000006</v>
      </c>
      <c r="V160" s="5">
        <v>8547.1959999999999</v>
      </c>
      <c r="W160" s="5">
        <v>12905.236000000001</v>
      </c>
      <c r="X160" s="5">
        <v>14882.093000000001</v>
      </c>
      <c r="Y160" s="5">
        <v>13420.803</v>
      </c>
      <c r="Z160" s="5">
        <v>11075.32</v>
      </c>
      <c r="AA160" s="5">
        <v>11781.886</v>
      </c>
      <c r="AB160" s="5">
        <v>9815.4230000000007</v>
      </c>
      <c r="AC160" s="5">
        <v>8892.5570000000007</v>
      </c>
      <c r="AD160" s="5">
        <v>8072.6049999999996</v>
      </c>
      <c r="AE160" s="5">
        <v>8994.3240000000005</v>
      </c>
      <c r="AF160" s="5">
        <v>8499.1270000000004</v>
      </c>
      <c r="AG160" s="5">
        <v>8567.84</v>
      </c>
      <c r="AH160" s="5">
        <v>10047.781000000001</v>
      </c>
      <c r="AI160" s="5">
        <v>11504.169</v>
      </c>
      <c r="AJ160" s="5">
        <v>11100.304</v>
      </c>
      <c r="AK160" s="5">
        <v>10653.138000000001</v>
      </c>
      <c r="AL160" s="5">
        <v>10230.245000000001</v>
      </c>
      <c r="AM160" s="5">
        <v>8969.2139999999999</v>
      </c>
      <c r="AN160" s="5">
        <v>9047.5110000000004</v>
      </c>
      <c r="AO160" s="5">
        <v>7725.0870000000004</v>
      </c>
      <c r="AP160" s="5">
        <v>8020.5730000000003</v>
      </c>
      <c r="AQ160" s="5">
        <v>7833.9049999999997</v>
      </c>
      <c r="AR160" s="5">
        <v>8033.8339999999998</v>
      </c>
      <c r="AS160" s="5">
        <v>7871.7860000000001</v>
      </c>
      <c r="AT160" s="5">
        <v>9960.0370000000003</v>
      </c>
    </row>
    <row r="161" spans="1:46" x14ac:dyDescent="0.25">
      <c r="A161" s="4" t="s">
        <v>194</v>
      </c>
      <c r="B161" s="4" t="s">
        <v>207</v>
      </c>
      <c r="C161" s="4" t="s">
        <v>246</v>
      </c>
      <c r="D161" s="4" t="s">
        <v>259</v>
      </c>
      <c r="E161" s="4" t="s">
        <v>248</v>
      </c>
      <c r="F161" s="4" t="s">
        <v>195</v>
      </c>
      <c r="G161" s="4" t="s">
        <v>93</v>
      </c>
      <c r="H161" s="4" t="s">
        <v>268</v>
      </c>
      <c r="I161" s="5">
        <v>13999.794</v>
      </c>
      <c r="J161" s="5">
        <v>17388.120999999999</v>
      </c>
      <c r="K161" s="5">
        <v>18542.967000000001</v>
      </c>
      <c r="L161" s="5">
        <v>22528.591</v>
      </c>
      <c r="M161" s="5">
        <v>20397.219000000001</v>
      </c>
      <c r="N161" s="5">
        <v>19455.141</v>
      </c>
      <c r="O161" s="5">
        <v>17444.486000000001</v>
      </c>
      <c r="P161" s="5">
        <v>14981.403</v>
      </c>
      <c r="Q161" s="5">
        <v>13728.243</v>
      </c>
      <c r="R161" s="5">
        <v>14707.152</v>
      </c>
      <c r="S161" s="5">
        <v>14268.949000000001</v>
      </c>
      <c r="T161" s="5">
        <v>14107.666999999999</v>
      </c>
      <c r="U161" s="5">
        <v>19114.258999999998</v>
      </c>
      <c r="V161" s="5">
        <v>18926.108</v>
      </c>
      <c r="W161" s="5">
        <v>21615.784</v>
      </c>
      <c r="X161" s="5">
        <v>22138.129000000001</v>
      </c>
      <c r="Y161" s="5">
        <v>18603.376</v>
      </c>
      <c r="Z161" s="5">
        <v>15812.084999999999</v>
      </c>
      <c r="AA161" s="5">
        <v>13899.022000000001</v>
      </c>
      <c r="AB161" s="5">
        <v>13695.5</v>
      </c>
      <c r="AC161" s="5">
        <v>11357.816000000001</v>
      </c>
      <c r="AD161" s="5">
        <v>11910.028</v>
      </c>
      <c r="AE161" s="5">
        <v>12694.359</v>
      </c>
      <c r="AF161" s="5">
        <v>12303.055</v>
      </c>
      <c r="AG161" s="5">
        <v>11867.578</v>
      </c>
      <c r="AH161" s="5">
        <v>16591.768</v>
      </c>
      <c r="AI161" s="5">
        <v>21520.901999999998</v>
      </c>
      <c r="AJ161" s="5">
        <v>19690.456999999999</v>
      </c>
      <c r="AK161" s="5">
        <v>23600.44</v>
      </c>
      <c r="AL161" s="5">
        <v>19590.258000000002</v>
      </c>
      <c r="AM161" s="5">
        <v>21555.716</v>
      </c>
      <c r="AN161" s="5">
        <v>19090.938999999998</v>
      </c>
      <c r="AO161" s="5">
        <v>19103.478999999999</v>
      </c>
      <c r="AP161" s="5">
        <v>18002.052</v>
      </c>
      <c r="AQ161" s="5">
        <v>16590.631000000001</v>
      </c>
      <c r="AR161" s="5">
        <v>17778.846000000001</v>
      </c>
      <c r="AS161" s="5">
        <v>16808.838</v>
      </c>
      <c r="AT161" s="5">
        <v>19070.235000000001</v>
      </c>
    </row>
    <row r="162" spans="1:46" x14ac:dyDescent="0.25">
      <c r="A162" s="4" t="s">
        <v>194</v>
      </c>
      <c r="B162" s="4" t="s">
        <v>207</v>
      </c>
      <c r="C162" s="4" t="s">
        <v>246</v>
      </c>
      <c r="D162" s="4" t="s">
        <v>259</v>
      </c>
      <c r="E162" s="4" t="s">
        <v>248</v>
      </c>
      <c r="F162" s="4" t="s">
        <v>195</v>
      </c>
      <c r="G162" s="4" t="s">
        <v>260</v>
      </c>
      <c r="H162" s="4" t="s">
        <v>268</v>
      </c>
      <c r="I162" s="5">
        <v>142.46100000000001</v>
      </c>
      <c r="J162" s="5">
        <v>108.907</v>
      </c>
      <c r="K162" s="5">
        <v>77.869</v>
      </c>
      <c r="L162" s="5">
        <v>220.87799999999999</v>
      </c>
      <c r="M162" s="5">
        <v>195.191</v>
      </c>
      <c r="N162" s="5">
        <v>161.505</v>
      </c>
      <c r="O162" s="5">
        <v>122.101</v>
      </c>
      <c r="P162" s="5">
        <v>192.99199999999999</v>
      </c>
      <c r="Q162" s="5">
        <v>166.86199999999999</v>
      </c>
      <c r="R162" s="5">
        <v>166.86199999999999</v>
      </c>
      <c r="S162" s="5">
        <v>166.86199999999999</v>
      </c>
      <c r="T162" s="5">
        <v>166.86199999999999</v>
      </c>
      <c r="U162" s="5">
        <v>166.86199999999999</v>
      </c>
      <c r="V162" s="5">
        <v>166.86199999999999</v>
      </c>
      <c r="W162" s="5">
        <v>166.86199999999999</v>
      </c>
      <c r="X162" s="5">
        <v>181.339</v>
      </c>
      <c r="Y162" s="5">
        <v>181.339</v>
      </c>
      <c r="Z162" s="5">
        <v>155.643</v>
      </c>
      <c r="AA162" s="5">
        <v>256.84300000000002</v>
      </c>
      <c r="AB162" s="5">
        <v>155.643</v>
      </c>
      <c r="AC162" s="5">
        <v>155.643</v>
      </c>
      <c r="AD162" s="5">
        <v>155.643</v>
      </c>
      <c r="AE162" s="5">
        <v>206.892</v>
      </c>
      <c r="AF162" s="5">
        <v>213.08099999999999</v>
      </c>
      <c r="AG162" s="5">
        <v>184.67</v>
      </c>
      <c r="AH162" s="5">
        <v>255.697</v>
      </c>
      <c r="AI162" s="5">
        <v>260.31799999999998</v>
      </c>
      <c r="AJ162" s="5">
        <v>232.863</v>
      </c>
      <c r="AK162" s="5">
        <v>232.863</v>
      </c>
      <c r="AL162" s="5">
        <v>215.89400000000001</v>
      </c>
      <c r="AM162" s="5">
        <v>374.21499999999997</v>
      </c>
      <c r="AN162" s="5">
        <v>359.82299999999998</v>
      </c>
      <c r="AO162" s="5">
        <v>316.64400000000001</v>
      </c>
      <c r="AP162" s="5">
        <v>133.82400000000001</v>
      </c>
      <c r="AQ162" s="5">
        <v>334.32600000000002</v>
      </c>
      <c r="AR162" s="5">
        <v>302.60500000000002</v>
      </c>
      <c r="AS162" s="5">
        <v>302.60500000000002</v>
      </c>
      <c r="AT162" s="5">
        <v>302.60500000000002</v>
      </c>
    </row>
    <row r="163" spans="1:46" x14ac:dyDescent="0.25">
      <c r="A163" s="4" t="s">
        <v>194</v>
      </c>
      <c r="B163" s="4" t="s">
        <v>207</v>
      </c>
      <c r="C163" s="4" t="s">
        <v>246</v>
      </c>
      <c r="D163" s="4" t="s">
        <v>259</v>
      </c>
      <c r="E163" s="4" t="s">
        <v>261</v>
      </c>
      <c r="F163" s="4" t="s">
        <v>195</v>
      </c>
      <c r="G163" s="4" t="s">
        <v>93</v>
      </c>
      <c r="H163" s="4" t="s">
        <v>268</v>
      </c>
      <c r="I163" s="5">
        <v>1893.1130000000001</v>
      </c>
      <c r="J163" s="5">
        <v>1611.3019999999999</v>
      </c>
      <c r="K163" s="5">
        <v>1745.3589999999999</v>
      </c>
      <c r="L163" s="5">
        <v>1842.056</v>
      </c>
      <c r="M163" s="5">
        <v>1896.962</v>
      </c>
      <c r="N163" s="5">
        <v>1823.915</v>
      </c>
      <c r="O163" s="5">
        <v>1349.67</v>
      </c>
      <c r="P163" s="5">
        <v>1778.7170000000001</v>
      </c>
      <c r="Q163" s="5">
        <v>1905.366</v>
      </c>
      <c r="R163" s="5">
        <v>1971.7619999999999</v>
      </c>
      <c r="S163" s="5">
        <v>1826.329</v>
      </c>
      <c r="T163" s="5">
        <v>1489.28</v>
      </c>
      <c r="U163" s="5">
        <v>1466.088</v>
      </c>
      <c r="V163" s="5">
        <v>1991.2739999999999</v>
      </c>
      <c r="W163" s="5">
        <v>2039.904</v>
      </c>
      <c r="X163" s="5">
        <v>2176.962</v>
      </c>
      <c r="Y163" s="5">
        <v>2110.2890000000002</v>
      </c>
      <c r="Z163" s="5">
        <v>1942.2080000000001</v>
      </c>
      <c r="AA163" s="5">
        <v>2033.951</v>
      </c>
      <c r="AB163" s="5">
        <v>1844.6969999999999</v>
      </c>
      <c r="AC163" s="5">
        <v>1806.9469999999999</v>
      </c>
      <c r="AD163" s="5">
        <v>1494.55</v>
      </c>
      <c r="AE163" s="5">
        <v>1326.8779999999999</v>
      </c>
      <c r="AF163" s="5">
        <v>1449.9939999999999</v>
      </c>
      <c r="AG163" s="5">
        <v>1496.71</v>
      </c>
      <c r="AH163" s="5">
        <v>1899.1559999999999</v>
      </c>
      <c r="AI163" s="5">
        <v>2206.6869999999999</v>
      </c>
      <c r="AJ163" s="5">
        <v>2238.09</v>
      </c>
      <c r="AK163" s="5">
        <v>2443.402</v>
      </c>
      <c r="AL163" s="5">
        <v>2029.354</v>
      </c>
      <c r="AM163" s="5">
        <v>2335.4580000000001</v>
      </c>
      <c r="AN163" s="5">
        <v>2155.0920000000001</v>
      </c>
      <c r="AO163" s="5">
        <v>2571.663</v>
      </c>
      <c r="AP163" s="5">
        <v>2809.2109999999998</v>
      </c>
      <c r="AQ163" s="5">
        <v>2858.3119999999999</v>
      </c>
      <c r="AR163" s="5">
        <v>2815.51</v>
      </c>
      <c r="AS163" s="5">
        <v>2431.3159999999998</v>
      </c>
      <c r="AT163" s="5">
        <v>2766.8910000000001</v>
      </c>
    </row>
    <row r="164" spans="1:46" x14ac:dyDescent="0.25">
      <c r="A164" s="4" t="s">
        <v>194</v>
      </c>
      <c r="B164" s="4" t="s">
        <v>207</v>
      </c>
      <c r="C164" s="4" t="s">
        <v>246</v>
      </c>
      <c r="D164" s="4" t="s">
        <v>259</v>
      </c>
      <c r="E164" s="4" t="s">
        <v>261</v>
      </c>
      <c r="F164" s="4" t="s">
        <v>195</v>
      </c>
      <c r="G164" s="4" t="s">
        <v>262</v>
      </c>
      <c r="H164" s="4" t="s">
        <v>268</v>
      </c>
      <c r="I164" s="5">
        <v>264.23399999999998</v>
      </c>
      <c r="J164" s="5">
        <v>153.548</v>
      </c>
      <c r="K164" s="5">
        <v>251.214</v>
      </c>
      <c r="L164" s="5">
        <v>303.27199999999999</v>
      </c>
      <c r="M164" s="5">
        <v>291.52800000000002</v>
      </c>
      <c r="N164" s="5">
        <v>144.28299999999999</v>
      </c>
      <c r="O164" s="5">
        <v>180.173</v>
      </c>
      <c r="P164" s="5">
        <v>109.154</v>
      </c>
      <c r="Q164" s="5">
        <v>100.143</v>
      </c>
      <c r="R164" s="5">
        <v>139.874</v>
      </c>
      <c r="S164" s="5">
        <v>251.5</v>
      </c>
      <c r="T164" s="5">
        <v>267.99599999999998</v>
      </c>
      <c r="U164" s="5">
        <v>271.85500000000002</v>
      </c>
      <c r="V164" s="5">
        <v>264.23599999999999</v>
      </c>
      <c r="W164" s="5">
        <v>245.61699999999999</v>
      </c>
      <c r="X164" s="5">
        <v>214.291</v>
      </c>
      <c r="Y164" s="5">
        <v>144.059</v>
      </c>
      <c r="Z164" s="5">
        <v>142.346</v>
      </c>
      <c r="AA164" s="5">
        <v>65.951999999999998</v>
      </c>
      <c r="AB164" s="5">
        <v>138.048</v>
      </c>
      <c r="AC164" s="5">
        <v>188.393</v>
      </c>
      <c r="AD164" s="5">
        <v>161.41399999999999</v>
      </c>
      <c r="AE164" s="5">
        <v>95.400999999999996</v>
      </c>
      <c r="AF164" s="5">
        <v>157.465</v>
      </c>
      <c r="AG164" s="5">
        <v>179.74</v>
      </c>
      <c r="AH164" s="5">
        <v>134.744</v>
      </c>
      <c r="AI164" s="5">
        <v>114.215</v>
      </c>
      <c r="AJ164" s="5">
        <v>86.694999999999993</v>
      </c>
      <c r="AK164" s="5">
        <v>77.244</v>
      </c>
      <c r="AL164" s="5">
        <v>143.584</v>
      </c>
      <c r="AM164" s="5">
        <v>118.605</v>
      </c>
      <c r="AN164" s="5">
        <v>147.24199999999999</v>
      </c>
      <c r="AO164" s="5">
        <v>206.261</v>
      </c>
      <c r="AP164" s="5">
        <v>188.76400000000001</v>
      </c>
      <c r="AQ164" s="5">
        <v>120.795</v>
      </c>
      <c r="AR164" s="5">
        <v>66.179000000000002</v>
      </c>
      <c r="AS164" s="5">
        <v>66.179000000000002</v>
      </c>
      <c r="AT164" s="5">
        <v>66.179000000000002</v>
      </c>
    </row>
    <row r="165" spans="1:46" x14ac:dyDescent="0.25">
      <c r="A165" s="4" t="s">
        <v>194</v>
      </c>
      <c r="B165" s="4" t="s">
        <v>207</v>
      </c>
      <c r="C165" s="4" t="s">
        <v>246</v>
      </c>
      <c r="D165" s="4" t="s">
        <v>263</v>
      </c>
      <c r="E165" s="4" t="s">
        <v>248</v>
      </c>
      <c r="F165" s="4" t="s">
        <v>201</v>
      </c>
      <c r="G165" s="4" t="s">
        <v>71</v>
      </c>
      <c r="H165" s="4" t="s">
        <v>268</v>
      </c>
      <c r="I165" s="9">
        <v>0</v>
      </c>
      <c r="J165" s="5">
        <v>219.96799999999999</v>
      </c>
      <c r="K165" s="5">
        <v>91.653000000000006</v>
      </c>
      <c r="L165" s="8">
        <v>0</v>
      </c>
      <c r="M165" s="5">
        <v>307.96499999999997</v>
      </c>
      <c r="N165" s="5">
        <v>87.518000000000001</v>
      </c>
      <c r="O165" s="8">
        <v>0</v>
      </c>
      <c r="P165" s="8">
        <v>0</v>
      </c>
      <c r="Q165" s="8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</row>
    <row r="166" spans="1:46" x14ac:dyDescent="0.25">
      <c r="A166" s="4" t="s">
        <v>194</v>
      </c>
      <c r="B166" s="4" t="s">
        <v>207</v>
      </c>
      <c r="C166" s="4" t="s">
        <v>246</v>
      </c>
      <c r="D166" s="4" t="s">
        <v>263</v>
      </c>
      <c r="E166" s="4" t="s">
        <v>248</v>
      </c>
      <c r="F166" s="4" t="s">
        <v>201</v>
      </c>
      <c r="G166" s="4" t="s">
        <v>76</v>
      </c>
      <c r="H166" s="4" t="s">
        <v>268</v>
      </c>
      <c r="I166" s="5">
        <v>98.74</v>
      </c>
      <c r="J166" s="5">
        <v>108.005</v>
      </c>
      <c r="K166" s="5">
        <v>297.55799999999999</v>
      </c>
      <c r="L166" s="5">
        <v>136.57499999999999</v>
      </c>
      <c r="M166" s="5">
        <v>107.37</v>
      </c>
      <c r="N166" s="5">
        <v>51.798999999999999</v>
      </c>
      <c r="O166" s="5">
        <v>66.293000000000006</v>
      </c>
      <c r="P166" s="5">
        <v>208.387</v>
      </c>
      <c r="Q166" s="5">
        <v>173.005</v>
      </c>
      <c r="R166" s="5">
        <v>58.905999999999999</v>
      </c>
      <c r="S166" s="5">
        <v>170.53200000000001</v>
      </c>
      <c r="T166" s="5">
        <v>174.62899999999999</v>
      </c>
      <c r="U166" s="5">
        <v>93.191000000000003</v>
      </c>
      <c r="V166" s="5">
        <v>196.45</v>
      </c>
      <c r="W166" s="5">
        <v>139.95500000000001</v>
      </c>
      <c r="X166" s="5">
        <v>140.13300000000001</v>
      </c>
      <c r="Y166" s="5">
        <v>279.43099999999998</v>
      </c>
      <c r="Z166" s="5">
        <v>317.12700000000001</v>
      </c>
      <c r="AA166" s="5">
        <v>348.24599999999998</v>
      </c>
      <c r="AB166" s="5">
        <v>307.90499999999997</v>
      </c>
      <c r="AC166" s="5">
        <v>307.90499999999997</v>
      </c>
      <c r="AD166" s="5">
        <v>150.155</v>
      </c>
      <c r="AE166" s="5">
        <v>191.92599999999999</v>
      </c>
      <c r="AF166" s="5">
        <v>202.36799999999999</v>
      </c>
      <c r="AG166" s="5">
        <v>186.79300000000001</v>
      </c>
      <c r="AH166" s="5">
        <v>250.33799999999999</v>
      </c>
      <c r="AI166" s="5">
        <v>263.86799999999999</v>
      </c>
      <c r="AJ166" s="5">
        <v>212.56</v>
      </c>
      <c r="AK166" s="5">
        <v>115.95399999999999</v>
      </c>
      <c r="AL166" s="5">
        <v>154.059</v>
      </c>
      <c r="AM166" s="5">
        <v>244.64400000000001</v>
      </c>
      <c r="AN166" s="5">
        <v>290.48599999999999</v>
      </c>
      <c r="AO166" s="5">
        <v>257.99900000000002</v>
      </c>
      <c r="AP166" s="5">
        <v>348.36399999999998</v>
      </c>
      <c r="AQ166" s="5">
        <v>394.69099999999997</v>
      </c>
      <c r="AR166" s="5">
        <v>411.65800000000002</v>
      </c>
      <c r="AS166" s="5">
        <v>412.63299999999998</v>
      </c>
      <c r="AT166" s="5">
        <v>437.45499999999998</v>
      </c>
    </row>
    <row r="167" spans="1:46" x14ac:dyDescent="0.25">
      <c r="A167" s="4" t="s">
        <v>194</v>
      </c>
      <c r="B167" s="4" t="s">
        <v>207</v>
      </c>
      <c r="C167" s="4" t="s">
        <v>246</v>
      </c>
      <c r="D167" s="4" t="s">
        <v>263</v>
      </c>
      <c r="E167" s="4" t="s">
        <v>248</v>
      </c>
      <c r="F167" s="4" t="s">
        <v>201</v>
      </c>
      <c r="G167" s="4" t="s">
        <v>85</v>
      </c>
      <c r="H167" s="4" t="s">
        <v>268</v>
      </c>
      <c r="I167" s="5">
        <v>3609.2829999999999</v>
      </c>
      <c r="J167" s="5">
        <v>4788.1580000000004</v>
      </c>
      <c r="K167" s="5">
        <v>7009.9570000000003</v>
      </c>
      <c r="L167" s="5">
        <v>7992.8459999999995</v>
      </c>
      <c r="M167" s="5">
        <v>8412.9840000000004</v>
      </c>
      <c r="N167" s="5">
        <v>6874.7359999999999</v>
      </c>
      <c r="O167" s="5">
        <v>8150.9889999999996</v>
      </c>
      <c r="P167" s="5">
        <v>6430.0720000000001</v>
      </c>
      <c r="Q167" s="5">
        <v>6612.2749999999996</v>
      </c>
      <c r="R167" s="5">
        <v>7118.7449999999999</v>
      </c>
      <c r="S167" s="5">
        <v>7073.277</v>
      </c>
      <c r="T167" s="5">
        <v>7459.835</v>
      </c>
      <c r="U167" s="5">
        <v>7129.2250000000004</v>
      </c>
      <c r="V167" s="5">
        <v>7474.0330000000004</v>
      </c>
      <c r="W167" s="5">
        <v>7751.0050000000001</v>
      </c>
      <c r="X167" s="5">
        <v>6674.0739999999996</v>
      </c>
      <c r="Y167" s="5">
        <v>6027.8329999999996</v>
      </c>
      <c r="Z167" s="5">
        <v>4239.2849999999999</v>
      </c>
      <c r="AA167" s="5">
        <v>4567.7049999999999</v>
      </c>
      <c r="AB167" s="5">
        <v>4105.8429999999998</v>
      </c>
      <c r="AC167" s="5">
        <v>4614.5559999999996</v>
      </c>
      <c r="AD167" s="5">
        <v>4618.7709999999997</v>
      </c>
      <c r="AE167" s="5">
        <v>4202.2139999999999</v>
      </c>
      <c r="AF167" s="5">
        <v>3764.306</v>
      </c>
      <c r="AG167" s="5">
        <v>3979.7849999999999</v>
      </c>
      <c r="AH167" s="5">
        <v>4356.3680000000004</v>
      </c>
      <c r="AI167" s="5">
        <v>4032.471</v>
      </c>
      <c r="AJ167" s="5">
        <v>4212.7299999999996</v>
      </c>
      <c r="AK167" s="5">
        <v>4468.7569999999996</v>
      </c>
      <c r="AL167" s="5">
        <v>5167.3329999999996</v>
      </c>
      <c r="AM167" s="5">
        <v>4225.8180000000002</v>
      </c>
      <c r="AN167" s="5">
        <v>4648.5630000000001</v>
      </c>
      <c r="AO167" s="5">
        <v>4639.0959999999995</v>
      </c>
      <c r="AP167" s="5">
        <v>4415.1440000000002</v>
      </c>
      <c r="AQ167" s="5">
        <v>4324.9930000000004</v>
      </c>
      <c r="AR167" s="5">
        <v>4094.8310000000001</v>
      </c>
      <c r="AS167" s="5">
        <v>3575.6089999999999</v>
      </c>
      <c r="AT167" s="5">
        <v>4861.63</v>
      </c>
    </row>
    <row r="168" spans="1:46" x14ac:dyDescent="0.25">
      <c r="A168" s="4" t="s">
        <v>194</v>
      </c>
      <c r="B168" s="4" t="s">
        <v>207</v>
      </c>
      <c r="C168" s="4" t="s">
        <v>246</v>
      </c>
      <c r="D168" s="4" t="s">
        <v>263</v>
      </c>
      <c r="E168" s="4" t="s">
        <v>248</v>
      </c>
      <c r="F168" s="4" t="s">
        <v>195</v>
      </c>
      <c r="G168" s="4" t="s">
        <v>264</v>
      </c>
      <c r="H168" s="4" t="s">
        <v>268</v>
      </c>
      <c r="I168" s="5">
        <v>163.85400000000001</v>
      </c>
      <c r="J168" s="5">
        <v>222.47499999999999</v>
      </c>
      <c r="K168" s="5">
        <v>368.44099999999997</v>
      </c>
      <c r="L168" s="5">
        <v>294.93200000000002</v>
      </c>
      <c r="M168" s="5">
        <v>272.42599999999999</v>
      </c>
      <c r="N168" s="5">
        <v>190.68700000000001</v>
      </c>
      <c r="O168" s="5">
        <v>190.87100000000001</v>
      </c>
      <c r="P168" s="5">
        <v>205.59899999999999</v>
      </c>
      <c r="Q168" s="5">
        <v>147.72300000000001</v>
      </c>
      <c r="R168" s="5">
        <v>145.33199999999999</v>
      </c>
      <c r="S168" s="5">
        <v>108.126</v>
      </c>
      <c r="T168" s="5">
        <v>124.497</v>
      </c>
      <c r="U168" s="5">
        <v>125.613</v>
      </c>
      <c r="V168" s="5">
        <v>125.58799999999999</v>
      </c>
      <c r="W168" s="5">
        <v>89.097999999999999</v>
      </c>
      <c r="X168" s="5">
        <v>90.037000000000006</v>
      </c>
      <c r="Y168" s="5">
        <v>91.667000000000002</v>
      </c>
      <c r="Z168" s="5">
        <v>113.232</v>
      </c>
      <c r="AA168" s="5">
        <v>36.088000000000001</v>
      </c>
      <c r="AB168" s="5">
        <v>76.569000000000003</v>
      </c>
      <c r="AC168" s="5">
        <v>76.569000000000003</v>
      </c>
      <c r="AD168" s="5">
        <v>76.569000000000003</v>
      </c>
      <c r="AE168" s="5">
        <v>76.569000000000003</v>
      </c>
      <c r="AF168" s="5">
        <v>33.814999999999998</v>
      </c>
      <c r="AG168" s="5">
        <v>33.814999999999998</v>
      </c>
      <c r="AH168" s="5">
        <v>68.094999999999999</v>
      </c>
      <c r="AI168" s="5">
        <v>68.094999999999999</v>
      </c>
      <c r="AJ168" s="5">
        <v>44.31</v>
      </c>
      <c r="AK168" s="5">
        <v>44.31</v>
      </c>
      <c r="AL168" s="5">
        <v>36.307000000000002</v>
      </c>
      <c r="AM168" s="5">
        <v>36.307000000000002</v>
      </c>
      <c r="AN168" s="8">
        <v>0</v>
      </c>
      <c r="AO168" s="5">
        <v>36.307000000000002</v>
      </c>
      <c r="AP168" s="5">
        <v>36.307000000000002</v>
      </c>
      <c r="AQ168" s="5">
        <v>36.860999999999997</v>
      </c>
      <c r="AR168" s="5">
        <v>35.917999999999999</v>
      </c>
      <c r="AS168" s="5">
        <v>35.917999999999999</v>
      </c>
      <c r="AT168" s="8">
        <v>0</v>
      </c>
    </row>
    <row r="169" spans="1:46" x14ac:dyDescent="0.25">
      <c r="A169" s="4" t="s">
        <v>194</v>
      </c>
      <c r="B169" s="4" t="s">
        <v>207</v>
      </c>
      <c r="C169" s="4" t="s">
        <v>246</v>
      </c>
      <c r="D169" s="4" t="s">
        <v>263</v>
      </c>
      <c r="E169" s="4" t="s">
        <v>248</v>
      </c>
      <c r="F169" s="4" t="s">
        <v>195</v>
      </c>
      <c r="G169" s="4" t="s">
        <v>71</v>
      </c>
      <c r="H169" s="4" t="s">
        <v>268</v>
      </c>
      <c r="I169" s="5">
        <v>5719.6559999999999</v>
      </c>
      <c r="J169" s="5">
        <v>4618.0259999999998</v>
      </c>
      <c r="K169" s="5">
        <v>4743.6629999999996</v>
      </c>
      <c r="L169" s="5">
        <v>7967.3810000000003</v>
      </c>
      <c r="M169" s="5">
        <v>5089.4480000000003</v>
      </c>
      <c r="N169" s="5">
        <v>3384.373</v>
      </c>
      <c r="O169" s="5">
        <v>2575.9969999999998</v>
      </c>
      <c r="P169" s="5">
        <v>4763.0320000000002</v>
      </c>
      <c r="Q169" s="5">
        <v>3892.134</v>
      </c>
      <c r="R169" s="5">
        <v>4114.2039999999997</v>
      </c>
      <c r="S169" s="5">
        <v>3777.982</v>
      </c>
      <c r="T169" s="5">
        <v>3614.8679999999999</v>
      </c>
      <c r="U169" s="5">
        <v>3974.0740000000001</v>
      </c>
      <c r="V169" s="5">
        <v>3077.8429999999998</v>
      </c>
      <c r="W169" s="5">
        <v>4772.4880000000003</v>
      </c>
      <c r="X169" s="5">
        <v>5386.7470000000003</v>
      </c>
      <c r="Y169" s="5">
        <v>5934.3459999999995</v>
      </c>
      <c r="Z169" s="5">
        <v>4881.9049999999997</v>
      </c>
      <c r="AA169" s="5">
        <v>5518.7460000000001</v>
      </c>
      <c r="AB169" s="5">
        <v>5014.0140000000001</v>
      </c>
      <c r="AC169" s="5">
        <v>4930.9210000000003</v>
      </c>
      <c r="AD169" s="5">
        <v>4977.2150000000001</v>
      </c>
      <c r="AE169" s="5">
        <v>4013.3310000000001</v>
      </c>
      <c r="AF169" s="5">
        <v>4059.395</v>
      </c>
      <c r="AG169" s="5">
        <v>3672.89</v>
      </c>
      <c r="AH169" s="5">
        <v>6285.5739999999996</v>
      </c>
      <c r="AI169" s="5">
        <v>7308.4610000000002</v>
      </c>
      <c r="AJ169" s="5">
        <v>6128.0739999999996</v>
      </c>
      <c r="AK169" s="5">
        <v>5522.3620000000001</v>
      </c>
      <c r="AL169" s="5">
        <v>6970.9870000000001</v>
      </c>
      <c r="AM169" s="5">
        <v>5877.8159999999998</v>
      </c>
      <c r="AN169" s="5">
        <v>4923.8410000000003</v>
      </c>
      <c r="AO169" s="5">
        <v>4642.9030000000002</v>
      </c>
      <c r="AP169" s="5">
        <v>4841.9530000000004</v>
      </c>
      <c r="AQ169" s="5">
        <v>4352.3969999999999</v>
      </c>
      <c r="AR169" s="5">
        <v>4216.7110000000002</v>
      </c>
      <c r="AS169" s="5">
        <v>4649.7979999999998</v>
      </c>
      <c r="AT169" s="5">
        <v>5445.2579999999998</v>
      </c>
    </row>
    <row r="170" spans="1:46" x14ac:dyDescent="0.25">
      <c r="A170" s="4" t="s">
        <v>194</v>
      </c>
      <c r="B170" s="4" t="s">
        <v>207</v>
      </c>
      <c r="C170" s="4" t="s">
        <v>246</v>
      </c>
      <c r="D170" s="4" t="s">
        <v>263</v>
      </c>
      <c r="E170" s="4" t="s">
        <v>248</v>
      </c>
      <c r="F170" s="4" t="s">
        <v>195</v>
      </c>
      <c r="G170" s="4" t="s">
        <v>76</v>
      </c>
      <c r="H170" s="4" t="s">
        <v>268</v>
      </c>
      <c r="I170" s="5">
        <v>1896.87</v>
      </c>
      <c r="J170" s="5">
        <v>1166.3889999999999</v>
      </c>
      <c r="K170" s="5">
        <v>985.88</v>
      </c>
      <c r="L170" s="5">
        <v>1123.079</v>
      </c>
      <c r="M170" s="5">
        <v>1206.7829999999999</v>
      </c>
      <c r="N170" s="5">
        <v>1433.652</v>
      </c>
      <c r="O170" s="5">
        <v>1416.2760000000001</v>
      </c>
      <c r="P170" s="5">
        <v>1288.6179999999999</v>
      </c>
      <c r="Q170" s="5">
        <v>1191.1559999999999</v>
      </c>
      <c r="R170" s="5">
        <v>1394.865</v>
      </c>
      <c r="S170" s="5">
        <v>1318.039</v>
      </c>
      <c r="T170" s="5">
        <v>1320.4939999999999</v>
      </c>
      <c r="U170" s="5">
        <v>1918.5509999999999</v>
      </c>
      <c r="V170" s="5">
        <v>2109.2449999999999</v>
      </c>
      <c r="W170" s="5">
        <v>2489.2660000000001</v>
      </c>
      <c r="X170" s="5">
        <v>2638.4749999999999</v>
      </c>
      <c r="Y170" s="5">
        <v>2752.7849999999999</v>
      </c>
      <c r="Z170" s="5">
        <v>2436.143</v>
      </c>
      <c r="AA170" s="5">
        <v>2010.7909999999999</v>
      </c>
      <c r="AB170" s="5">
        <v>1836.1769999999999</v>
      </c>
      <c r="AC170" s="5">
        <v>1760.8140000000001</v>
      </c>
      <c r="AD170" s="5">
        <v>1725.508</v>
      </c>
      <c r="AE170" s="5">
        <v>1683.951</v>
      </c>
      <c r="AF170" s="5">
        <v>1761.596</v>
      </c>
      <c r="AG170" s="5">
        <v>1830.1469999999999</v>
      </c>
      <c r="AH170" s="5">
        <v>2025.8710000000001</v>
      </c>
      <c r="AI170" s="5">
        <v>2130.8440000000001</v>
      </c>
      <c r="AJ170" s="5">
        <v>2157.1350000000002</v>
      </c>
      <c r="AK170" s="5">
        <v>2775.1759999999999</v>
      </c>
      <c r="AL170" s="5">
        <v>2409</v>
      </c>
      <c r="AM170" s="5">
        <v>2542.9079999999999</v>
      </c>
      <c r="AN170" s="5">
        <v>3170.4349999999999</v>
      </c>
      <c r="AO170" s="5">
        <v>2869.502</v>
      </c>
      <c r="AP170" s="5">
        <v>2844.587</v>
      </c>
      <c r="AQ170" s="5">
        <v>2887.3780000000002</v>
      </c>
      <c r="AR170" s="5">
        <v>2749.723</v>
      </c>
      <c r="AS170" s="5">
        <v>2517.6529999999998</v>
      </c>
      <c r="AT170" s="5">
        <v>2693.6120000000001</v>
      </c>
    </row>
    <row r="171" spans="1:46" x14ac:dyDescent="0.25">
      <c r="A171" s="4" t="s">
        <v>194</v>
      </c>
      <c r="B171" s="4" t="s">
        <v>207</v>
      </c>
      <c r="C171" s="4" t="s">
        <v>246</v>
      </c>
      <c r="D171" s="4" t="s">
        <v>263</v>
      </c>
      <c r="E171" s="4" t="s">
        <v>248</v>
      </c>
      <c r="F171" s="4" t="s">
        <v>195</v>
      </c>
      <c r="G171" s="4" t="s">
        <v>85</v>
      </c>
      <c r="H171" s="4" t="s">
        <v>268</v>
      </c>
      <c r="I171" s="5">
        <v>10023.037</v>
      </c>
      <c r="J171" s="5">
        <v>8880.3960000000006</v>
      </c>
      <c r="K171" s="5">
        <v>9900.7459999999992</v>
      </c>
      <c r="L171" s="5">
        <v>10297.157999999999</v>
      </c>
      <c r="M171" s="5">
        <v>13781.523999999999</v>
      </c>
      <c r="N171" s="5">
        <v>11348.592000000001</v>
      </c>
      <c r="O171" s="5">
        <v>13567.5</v>
      </c>
      <c r="P171" s="5">
        <v>11780.18</v>
      </c>
      <c r="Q171" s="5">
        <v>9961.1730000000007</v>
      </c>
      <c r="R171" s="5">
        <v>11578.063</v>
      </c>
      <c r="S171" s="5">
        <v>10646.126</v>
      </c>
      <c r="T171" s="5">
        <v>10927.907999999999</v>
      </c>
      <c r="U171" s="5">
        <v>10499.821</v>
      </c>
      <c r="V171" s="5">
        <v>11295.808000000001</v>
      </c>
      <c r="W171" s="5">
        <v>11836.594999999999</v>
      </c>
      <c r="X171" s="5">
        <v>14329.727000000001</v>
      </c>
      <c r="Y171" s="5">
        <v>12279.368</v>
      </c>
      <c r="Z171" s="5">
        <v>10328.64</v>
      </c>
      <c r="AA171" s="5">
        <v>10260.94</v>
      </c>
      <c r="AB171" s="5">
        <v>11517.567999999999</v>
      </c>
      <c r="AC171" s="5">
        <v>11083.786</v>
      </c>
      <c r="AD171" s="5">
        <v>8596.9189999999999</v>
      </c>
      <c r="AE171" s="5">
        <v>9553.6090000000004</v>
      </c>
      <c r="AF171" s="5">
        <v>8526.018</v>
      </c>
      <c r="AG171" s="5">
        <v>10028.228999999999</v>
      </c>
      <c r="AH171" s="5">
        <v>8970.1110000000008</v>
      </c>
      <c r="AI171" s="5">
        <v>11663.759</v>
      </c>
      <c r="AJ171" s="5">
        <v>12805.819</v>
      </c>
      <c r="AK171" s="5">
        <v>14204.348</v>
      </c>
      <c r="AL171" s="5">
        <v>12791.242</v>
      </c>
      <c r="AM171" s="5">
        <v>14035.555</v>
      </c>
      <c r="AN171" s="5">
        <v>12956.958000000001</v>
      </c>
      <c r="AO171" s="5">
        <v>11817.155000000001</v>
      </c>
      <c r="AP171" s="5">
        <v>11270.191999999999</v>
      </c>
      <c r="AQ171" s="5">
        <v>11852.362999999999</v>
      </c>
      <c r="AR171" s="5">
        <v>11856.885</v>
      </c>
      <c r="AS171" s="5">
        <v>11755.458000000001</v>
      </c>
      <c r="AT171" s="5">
        <v>12350.278</v>
      </c>
    </row>
    <row r="172" spans="1:46" x14ac:dyDescent="0.25">
      <c r="A172" s="4" t="s">
        <v>194</v>
      </c>
      <c r="B172" s="4" t="s">
        <v>207</v>
      </c>
      <c r="C172" s="4" t="s">
        <v>246</v>
      </c>
      <c r="D172" s="4" t="s">
        <v>265</v>
      </c>
      <c r="E172" s="4" t="s">
        <v>266</v>
      </c>
      <c r="F172" s="4" t="s">
        <v>195</v>
      </c>
      <c r="G172" s="4" t="s">
        <v>93</v>
      </c>
      <c r="H172" s="4" t="s">
        <v>268</v>
      </c>
      <c r="I172" s="5">
        <v>2305.73</v>
      </c>
      <c r="J172" s="5">
        <v>2199.4299999999998</v>
      </c>
      <c r="K172" s="5">
        <v>3227.511</v>
      </c>
      <c r="L172" s="5">
        <v>2925.252</v>
      </c>
      <c r="M172" s="5">
        <v>2952.326</v>
      </c>
      <c r="N172" s="5">
        <v>2762.3359999999998</v>
      </c>
      <c r="O172" s="5">
        <v>2476.6350000000002</v>
      </c>
      <c r="P172" s="5">
        <v>2113.5239999999999</v>
      </c>
      <c r="Q172" s="5">
        <v>1935.4690000000001</v>
      </c>
      <c r="R172" s="5">
        <v>1864.7249999999999</v>
      </c>
      <c r="S172" s="5">
        <v>1869.461</v>
      </c>
      <c r="T172" s="5">
        <v>1641.2539999999999</v>
      </c>
      <c r="U172" s="5">
        <v>1867.1780000000001</v>
      </c>
      <c r="V172" s="5">
        <v>2154.6930000000002</v>
      </c>
      <c r="W172" s="5">
        <v>2181.5949999999998</v>
      </c>
      <c r="X172" s="5">
        <v>2003.662</v>
      </c>
      <c r="Y172" s="5">
        <v>1904.9390000000001</v>
      </c>
      <c r="Z172" s="5">
        <v>1369.961</v>
      </c>
      <c r="AA172" s="5">
        <v>1330.836</v>
      </c>
      <c r="AB172" s="5">
        <v>1125.183</v>
      </c>
      <c r="AC172" s="5">
        <v>1105.2</v>
      </c>
      <c r="AD172" s="5">
        <v>1028.5989999999999</v>
      </c>
      <c r="AE172" s="5">
        <v>926.88</v>
      </c>
      <c r="AF172" s="5">
        <v>945.96</v>
      </c>
      <c r="AG172" s="5">
        <v>895.077</v>
      </c>
      <c r="AH172" s="5">
        <v>1301.3689999999999</v>
      </c>
      <c r="AI172" s="5">
        <v>1260.8810000000001</v>
      </c>
      <c r="AJ172" s="5">
        <v>1138.107</v>
      </c>
      <c r="AK172" s="5">
        <v>1385.7070000000001</v>
      </c>
      <c r="AL172" s="5">
        <v>1289.1949999999999</v>
      </c>
      <c r="AM172" s="5">
        <v>1593.97</v>
      </c>
      <c r="AN172" s="5">
        <v>1228.8679999999999</v>
      </c>
      <c r="AO172" s="5">
        <v>1765.6590000000001</v>
      </c>
      <c r="AP172" s="5">
        <v>2185.7860000000001</v>
      </c>
      <c r="AQ172" s="5">
        <v>1985.2429999999999</v>
      </c>
      <c r="AR172" s="5">
        <v>2241.7240000000002</v>
      </c>
      <c r="AS172" s="5">
        <v>2357.1179999999999</v>
      </c>
      <c r="AT172" s="5">
        <v>2194.63</v>
      </c>
    </row>
  </sheetData>
  <autoFilter ref="A1:AT172" xr:uid="{CA945CF0-36A3-4855-8F55-34786F077B5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C6A2-8E77-41FA-9916-6B447C64B9FF}">
  <dimension ref="A1:AP44"/>
  <sheetViews>
    <sheetView workbookViewId="0">
      <selection activeCell="A27" sqref="A27"/>
    </sheetView>
  </sheetViews>
  <sheetFormatPr defaultColWidth="11.42578125" defaultRowHeight="15" x14ac:dyDescent="0.25"/>
  <sheetData>
    <row r="1" spans="1:42" ht="16.5" x14ac:dyDescent="0.25">
      <c r="A1" s="2" t="s">
        <v>155</v>
      </c>
      <c r="B1" s="2" t="s">
        <v>207</v>
      </c>
      <c r="C1" s="2" t="s">
        <v>208</v>
      </c>
      <c r="D1" s="2" t="s">
        <v>152</v>
      </c>
      <c r="E1" s="2" t="s">
        <v>150</v>
      </c>
      <c r="F1" s="3" t="s">
        <v>209</v>
      </c>
      <c r="G1" s="3" t="s">
        <v>210</v>
      </c>
      <c r="H1" s="3" t="s">
        <v>211</v>
      </c>
      <c r="I1" s="3" t="s">
        <v>212</v>
      </c>
      <c r="J1" s="3" t="s">
        <v>213</v>
      </c>
      <c r="K1" s="3" t="s">
        <v>214</v>
      </c>
      <c r="L1" s="3" t="s">
        <v>215</v>
      </c>
      <c r="M1" s="3" t="s">
        <v>216</v>
      </c>
      <c r="N1" s="3" t="s">
        <v>217</v>
      </c>
      <c r="O1" s="3" t="s">
        <v>218</v>
      </c>
      <c r="P1" s="3" t="s">
        <v>219</v>
      </c>
      <c r="Q1" s="3" t="s">
        <v>220</v>
      </c>
      <c r="R1" s="3" t="s">
        <v>221</v>
      </c>
      <c r="S1" s="3" t="s">
        <v>222</v>
      </c>
      <c r="T1" s="3" t="s">
        <v>223</v>
      </c>
      <c r="U1" s="3" t="s">
        <v>224</v>
      </c>
      <c r="V1" s="3" t="s">
        <v>225</v>
      </c>
      <c r="W1" s="3" t="s">
        <v>226</v>
      </c>
      <c r="X1" s="3" t="s">
        <v>227</v>
      </c>
      <c r="Y1" s="3" t="s">
        <v>228</v>
      </c>
      <c r="Z1" s="3" t="s">
        <v>229</v>
      </c>
      <c r="AA1" s="3" t="s">
        <v>230</v>
      </c>
      <c r="AB1" s="3" t="s">
        <v>231</v>
      </c>
      <c r="AC1" s="3" t="s">
        <v>232</v>
      </c>
      <c r="AD1" s="3" t="s">
        <v>233</v>
      </c>
      <c r="AE1" s="3" t="s">
        <v>234</v>
      </c>
      <c r="AF1" s="3" t="s">
        <v>235</v>
      </c>
      <c r="AG1" s="3" t="s">
        <v>236</v>
      </c>
      <c r="AH1" s="3" t="s">
        <v>237</v>
      </c>
      <c r="AI1" s="3" t="s">
        <v>238</v>
      </c>
      <c r="AJ1" s="3" t="s">
        <v>239</v>
      </c>
      <c r="AK1" s="3" t="s">
        <v>240</v>
      </c>
      <c r="AL1" s="3" t="s">
        <v>241</v>
      </c>
      <c r="AM1" s="3" t="s">
        <v>242</v>
      </c>
      <c r="AN1" s="3" t="s">
        <v>243</v>
      </c>
      <c r="AO1" s="3" t="s">
        <v>244</v>
      </c>
      <c r="AP1" s="3" t="s">
        <v>245</v>
      </c>
    </row>
    <row r="2" spans="1:42" x14ac:dyDescent="0.25">
      <c r="A2" s="4" t="s">
        <v>206</v>
      </c>
      <c r="B2" s="4" t="s">
        <v>207</v>
      </c>
      <c r="C2" s="4" t="s">
        <v>246</v>
      </c>
      <c r="D2" s="4" t="s">
        <v>247</v>
      </c>
      <c r="E2" s="4" t="s">
        <v>251</v>
      </c>
      <c r="F2" s="7">
        <v>44.421040099999999</v>
      </c>
      <c r="G2" s="7">
        <v>42.8706149</v>
      </c>
      <c r="H2" s="7">
        <v>44.3503288</v>
      </c>
      <c r="I2" s="7">
        <v>45.179226300000003</v>
      </c>
      <c r="J2" s="7">
        <v>46.376396700000001</v>
      </c>
      <c r="K2" s="7">
        <v>45.984914600000003</v>
      </c>
      <c r="L2" s="7">
        <v>45.657430400000003</v>
      </c>
      <c r="M2" s="7">
        <v>45.544051600000003</v>
      </c>
      <c r="N2" s="7">
        <v>44.416511100000001</v>
      </c>
      <c r="O2" s="7">
        <v>43.352279699999997</v>
      </c>
      <c r="P2" s="7">
        <v>42.928534900000002</v>
      </c>
      <c r="Q2" s="7">
        <v>43.760636699999999</v>
      </c>
      <c r="R2" s="7">
        <v>44.294243299999998</v>
      </c>
      <c r="S2" s="7">
        <v>44.174651900000001</v>
      </c>
      <c r="T2" s="7">
        <v>46.6936982</v>
      </c>
      <c r="U2" s="7">
        <v>50.182930599999999</v>
      </c>
      <c r="V2" s="7">
        <v>50.573355800000002</v>
      </c>
      <c r="W2" s="7">
        <v>50.5964928</v>
      </c>
      <c r="X2" s="7">
        <v>49.305227899999998</v>
      </c>
      <c r="Y2" s="7">
        <v>48.889477200000002</v>
      </c>
      <c r="Z2" s="7">
        <v>48.232335200000001</v>
      </c>
      <c r="AA2" s="7">
        <v>46.413940099999998</v>
      </c>
      <c r="AB2" s="7">
        <v>45.628875299999997</v>
      </c>
      <c r="AC2" s="7">
        <v>45.8745428</v>
      </c>
      <c r="AD2" s="7">
        <v>47.295637200000002</v>
      </c>
      <c r="AE2" s="7">
        <v>48.750969400000002</v>
      </c>
      <c r="AF2" s="7">
        <v>50.488783099999999</v>
      </c>
      <c r="AG2" s="7">
        <v>52.126884400000002</v>
      </c>
      <c r="AH2" s="7">
        <v>53.455845099999998</v>
      </c>
      <c r="AI2" s="7">
        <v>54.758017299999999</v>
      </c>
      <c r="AJ2" s="7">
        <v>55.2126558</v>
      </c>
      <c r="AK2" s="7">
        <v>54.223590199999997</v>
      </c>
      <c r="AL2" s="7">
        <v>49.675150500000001</v>
      </c>
      <c r="AM2" s="7">
        <v>47.219900000000003</v>
      </c>
      <c r="AN2" s="7">
        <v>42.969941200000001</v>
      </c>
      <c r="AO2" s="7">
        <v>41.855958200000003</v>
      </c>
      <c r="AP2" s="7">
        <v>41.062372000000003</v>
      </c>
    </row>
    <row r="3" spans="1:42" x14ac:dyDescent="0.25">
      <c r="A3" s="4" t="s">
        <v>206</v>
      </c>
      <c r="B3" s="4" t="s">
        <v>207</v>
      </c>
      <c r="C3" s="4" t="s">
        <v>246</v>
      </c>
      <c r="D3" s="4" t="s">
        <v>247</v>
      </c>
      <c r="E3" s="4" t="s">
        <v>275</v>
      </c>
      <c r="F3" s="16">
        <v>0</v>
      </c>
      <c r="G3" s="16">
        <v>4.2664773</v>
      </c>
      <c r="H3" s="16">
        <v>3.2788143999999999</v>
      </c>
      <c r="I3" s="16">
        <v>4.8082868999999997</v>
      </c>
      <c r="J3" s="16">
        <v>2.8160694999999998</v>
      </c>
      <c r="K3" s="16">
        <v>4.0724913999999997</v>
      </c>
      <c r="L3" s="16">
        <v>6.2326983</v>
      </c>
      <c r="M3" s="16">
        <v>6.7959364999999998</v>
      </c>
      <c r="N3" s="16">
        <v>9.5721673999999997</v>
      </c>
      <c r="O3" s="16">
        <v>8.9003806999999995</v>
      </c>
      <c r="P3" s="16">
        <v>6.0933839000000001</v>
      </c>
      <c r="Q3" s="16">
        <v>5.5100889000000004</v>
      </c>
      <c r="R3" s="16">
        <v>4.0807371999999997</v>
      </c>
      <c r="S3" s="16">
        <v>5.7945899000000001</v>
      </c>
      <c r="T3" s="16">
        <v>4.7520188000000001</v>
      </c>
      <c r="U3" s="16">
        <v>2.5857066999999998</v>
      </c>
      <c r="V3" s="16">
        <v>4.8370395999999998</v>
      </c>
      <c r="W3" s="16">
        <v>6.3744047000000004</v>
      </c>
      <c r="X3" s="16">
        <v>5.3213619000000003</v>
      </c>
      <c r="Y3" s="16">
        <v>8.9591779999999996</v>
      </c>
      <c r="Z3" s="16">
        <v>7.3185814000000002</v>
      </c>
      <c r="AA3" s="16">
        <v>7.2389156000000003</v>
      </c>
      <c r="AB3" s="16">
        <v>8.4238499999999998</v>
      </c>
      <c r="AC3" s="16">
        <v>5.6696328999999999</v>
      </c>
      <c r="AD3" s="16">
        <v>5.7765839999999997</v>
      </c>
      <c r="AE3" s="16">
        <v>4.1359475999999997</v>
      </c>
      <c r="AF3" s="16">
        <v>4.9285094000000003</v>
      </c>
      <c r="AG3" s="16">
        <v>2.8113766</v>
      </c>
      <c r="AH3" s="16">
        <v>2.6157764000000001</v>
      </c>
      <c r="AI3" s="16">
        <v>4.3470966000000004</v>
      </c>
      <c r="AJ3" s="16">
        <v>3.9688447</v>
      </c>
      <c r="AK3" s="16">
        <v>6.2433727000000001</v>
      </c>
      <c r="AL3" s="16">
        <v>11.455285999999999</v>
      </c>
      <c r="AM3" s="16">
        <v>7.6883504</v>
      </c>
      <c r="AN3" s="16">
        <v>16.5063955</v>
      </c>
      <c r="AO3" s="16">
        <v>6.6129679000000001</v>
      </c>
      <c r="AP3" s="16">
        <v>6.426946</v>
      </c>
    </row>
    <row r="4" spans="1:42" x14ac:dyDescent="0.25">
      <c r="A4" s="4" t="s">
        <v>206</v>
      </c>
      <c r="B4" s="4" t="s">
        <v>207</v>
      </c>
      <c r="C4" s="4" t="s">
        <v>246</v>
      </c>
      <c r="D4" s="4" t="s">
        <v>259</v>
      </c>
      <c r="E4" s="4" t="s">
        <v>251</v>
      </c>
      <c r="F4" s="7">
        <v>46.800262199999999</v>
      </c>
      <c r="G4" s="7">
        <v>48.043808400000003</v>
      </c>
      <c r="H4" s="7">
        <v>48.667459700000002</v>
      </c>
      <c r="I4" s="7">
        <v>49.175434099999997</v>
      </c>
      <c r="J4" s="7">
        <v>49.2715642</v>
      </c>
      <c r="K4" s="7">
        <v>47.832704700000001</v>
      </c>
      <c r="L4" s="7">
        <v>47.968672699999999</v>
      </c>
      <c r="M4" s="7">
        <v>46.216443900000002</v>
      </c>
      <c r="N4" s="7">
        <v>44.898463700000001</v>
      </c>
      <c r="O4" s="7">
        <v>43.407713899999997</v>
      </c>
      <c r="P4" s="7">
        <v>43.410431899999999</v>
      </c>
      <c r="Q4" s="7">
        <v>43.5465862</v>
      </c>
      <c r="R4" s="7">
        <v>42.934400799999999</v>
      </c>
      <c r="S4" s="7">
        <v>43.635705899999998</v>
      </c>
      <c r="T4" s="7">
        <v>46.055216100000003</v>
      </c>
      <c r="U4" s="7">
        <v>47.996544499999999</v>
      </c>
      <c r="V4" s="7">
        <v>49.642351300000001</v>
      </c>
      <c r="W4" s="7">
        <v>46.7258523</v>
      </c>
      <c r="X4" s="7">
        <v>47.483508</v>
      </c>
      <c r="Y4" s="7">
        <v>46.416969399999999</v>
      </c>
      <c r="Z4" s="7">
        <v>47.521115399999999</v>
      </c>
      <c r="AA4" s="7">
        <v>45.546200900000002</v>
      </c>
      <c r="AB4" s="7">
        <v>43.397356199999997</v>
      </c>
      <c r="AC4" s="7">
        <v>43.505954199999998</v>
      </c>
      <c r="AD4" s="7">
        <v>44.620378899999999</v>
      </c>
      <c r="AE4" s="7">
        <v>46.356928099999998</v>
      </c>
      <c r="AF4" s="7">
        <v>48.728382199999999</v>
      </c>
      <c r="AG4" s="7">
        <v>50.643208199999997</v>
      </c>
      <c r="AH4" s="7">
        <v>53.290821299999998</v>
      </c>
      <c r="AI4" s="7">
        <v>52.289261199999999</v>
      </c>
      <c r="AJ4" s="7">
        <v>52.4682508</v>
      </c>
      <c r="AK4" s="7">
        <v>50.461056800000001</v>
      </c>
      <c r="AL4" s="7">
        <v>49.259495399999999</v>
      </c>
      <c r="AM4" s="7">
        <v>48.0887685</v>
      </c>
      <c r="AN4" s="7">
        <v>47.325407900000002</v>
      </c>
      <c r="AO4" s="7">
        <v>43.4370355</v>
      </c>
      <c r="AP4" s="7">
        <v>42.477167600000001</v>
      </c>
    </row>
    <row r="5" spans="1:42" x14ac:dyDescent="0.25">
      <c r="A5" s="4" t="s">
        <v>206</v>
      </c>
      <c r="B5" s="4" t="s">
        <v>207</v>
      </c>
      <c r="C5" s="4" t="s">
        <v>246</v>
      </c>
      <c r="D5" s="4" t="s">
        <v>259</v>
      </c>
      <c r="E5" s="4" t="s">
        <v>275</v>
      </c>
      <c r="F5" s="16">
        <v>0</v>
      </c>
      <c r="G5" s="16">
        <v>4.3765793000000004</v>
      </c>
      <c r="H5" s="16">
        <v>3.2680411999999999</v>
      </c>
      <c r="I5" s="16">
        <v>4.1836057000000002</v>
      </c>
      <c r="J5" s="16">
        <v>3.0321619000000002</v>
      </c>
      <c r="K5" s="16">
        <v>4.1828085000000002</v>
      </c>
      <c r="L5" s="16">
        <v>3.6587971000000001</v>
      </c>
      <c r="M5" s="16">
        <v>5.4183491999999998</v>
      </c>
      <c r="N5" s="16">
        <v>5.1594996999999996</v>
      </c>
      <c r="O5" s="16">
        <v>8.0648791000000006</v>
      </c>
      <c r="P5" s="16">
        <v>5.7994751999999998</v>
      </c>
      <c r="Q5" s="16">
        <v>5.3420772999999997</v>
      </c>
      <c r="R5" s="16">
        <v>4.4652668000000002</v>
      </c>
      <c r="S5" s="16">
        <v>4.5399025000000002</v>
      </c>
      <c r="T5" s="16">
        <v>3.9039944000000002</v>
      </c>
      <c r="U5" s="16">
        <v>1.6818508000000001</v>
      </c>
      <c r="V5" s="16">
        <v>2.5434996000000001</v>
      </c>
      <c r="W5" s="16">
        <v>3.9059713999999999</v>
      </c>
      <c r="X5" s="16">
        <v>2.5312825999999999</v>
      </c>
      <c r="Y5" s="16">
        <v>5.1722305999999998</v>
      </c>
      <c r="Z5" s="16">
        <v>4.8149829000000004</v>
      </c>
      <c r="AA5" s="16">
        <v>5.1114281000000004</v>
      </c>
      <c r="AB5" s="16">
        <v>6.9646613999999998</v>
      </c>
      <c r="AC5" s="16">
        <v>5.0683099</v>
      </c>
      <c r="AD5" s="16">
        <v>5.4888437000000003</v>
      </c>
      <c r="AE5" s="16">
        <v>3.0595764000000001</v>
      </c>
      <c r="AF5" s="16">
        <v>3.0925601</v>
      </c>
      <c r="AG5" s="16">
        <v>3.3425392</v>
      </c>
      <c r="AH5" s="16">
        <v>2.4604851000000001</v>
      </c>
      <c r="AI5" s="16">
        <v>4.7425702999999997</v>
      </c>
      <c r="AJ5" s="16">
        <v>3.8221058000000001</v>
      </c>
      <c r="AK5" s="16">
        <v>3.9468445000000001</v>
      </c>
      <c r="AL5" s="16">
        <v>5.1036766</v>
      </c>
      <c r="AM5" s="16">
        <v>5.5095517999999997</v>
      </c>
      <c r="AN5" s="16">
        <v>6.2799987000000002</v>
      </c>
      <c r="AO5" s="16">
        <v>7.8834413999999997</v>
      </c>
      <c r="AP5" s="16">
        <v>7.2106513999999997</v>
      </c>
    </row>
    <row r="6" spans="1:42" x14ac:dyDescent="0.25">
      <c r="A6" s="4" t="s">
        <v>206</v>
      </c>
      <c r="B6" s="4" t="s">
        <v>207</v>
      </c>
      <c r="C6" s="4" t="s">
        <v>246</v>
      </c>
      <c r="D6" s="4" t="s">
        <v>276</v>
      </c>
      <c r="E6" s="4" t="s">
        <v>251</v>
      </c>
      <c r="F6" s="7">
        <v>44.802067899999997</v>
      </c>
      <c r="G6" s="7">
        <v>45.310758999999997</v>
      </c>
      <c r="H6" s="7">
        <v>46.468037199999998</v>
      </c>
      <c r="I6" s="7">
        <v>48.4088329</v>
      </c>
      <c r="J6" s="7">
        <v>48.158408000000001</v>
      </c>
      <c r="K6" s="7">
        <v>46.853305400000004</v>
      </c>
      <c r="L6" s="7">
        <v>46.479219200000003</v>
      </c>
      <c r="M6" s="7">
        <v>45.768819899999997</v>
      </c>
      <c r="N6" s="7">
        <v>44.629694000000001</v>
      </c>
      <c r="O6" s="7">
        <v>44.658166999999999</v>
      </c>
      <c r="P6" s="7">
        <v>43.065717999999997</v>
      </c>
      <c r="Q6" s="7">
        <v>43.594892399999999</v>
      </c>
      <c r="R6" s="7">
        <v>43.789448499999999</v>
      </c>
      <c r="S6" s="7">
        <v>45.091993600000002</v>
      </c>
      <c r="T6" s="7">
        <v>45.229224600000002</v>
      </c>
      <c r="U6" s="7">
        <v>48.595464800000002</v>
      </c>
      <c r="V6" s="7">
        <v>50.861526099999999</v>
      </c>
      <c r="W6" s="7">
        <v>49.065133899999999</v>
      </c>
      <c r="X6" s="7">
        <v>49.1862797</v>
      </c>
      <c r="Y6" s="7">
        <v>46.948626699999998</v>
      </c>
      <c r="Z6" s="7">
        <v>45.898096799999998</v>
      </c>
      <c r="AA6" s="7">
        <v>45.630392899999997</v>
      </c>
      <c r="AB6" s="7">
        <v>44.890302300000002</v>
      </c>
      <c r="AC6" s="7">
        <v>44.78087</v>
      </c>
      <c r="AD6" s="7">
        <v>45.936364500000003</v>
      </c>
      <c r="AE6" s="7">
        <v>47.831125999999998</v>
      </c>
      <c r="AF6" s="7">
        <v>48.880465899999997</v>
      </c>
      <c r="AG6" s="7">
        <v>49.750465300000002</v>
      </c>
      <c r="AH6" s="7">
        <v>53.930851199999999</v>
      </c>
      <c r="AI6" s="7">
        <v>54.425092200000002</v>
      </c>
      <c r="AJ6" s="7">
        <v>53.451302900000002</v>
      </c>
      <c r="AK6" s="7">
        <v>51.376887600000003</v>
      </c>
      <c r="AL6" s="7">
        <v>50.475392499999998</v>
      </c>
      <c r="AM6" s="7">
        <v>47.444870999999999</v>
      </c>
      <c r="AN6" s="7">
        <v>46.5121003</v>
      </c>
      <c r="AO6" s="7">
        <v>45.320812199999999</v>
      </c>
      <c r="AP6" s="7">
        <v>45.275333500000002</v>
      </c>
    </row>
    <row r="7" spans="1:42" x14ac:dyDescent="0.25">
      <c r="A7" s="4" t="s">
        <v>206</v>
      </c>
      <c r="B7" s="4" t="s">
        <v>207</v>
      </c>
      <c r="C7" s="4" t="s">
        <v>246</v>
      </c>
      <c r="D7" s="4" t="s">
        <v>276</v>
      </c>
      <c r="E7" s="4" t="s">
        <v>275</v>
      </c>
      <c r="F7" s="16">
        <v>0</v>
      </c>
      <c r="G7" s="16">
        <v>4.2805479999999996</v>
      </c>
      <c r="H7" s="16">
        <v>3.5896243999999999</v>
      </c>
      <c r="I7" s="16">
        <v>4.6515152000000004</v>
      </c>
      <c r="J7" s="16">
        <v>3.4949490999999999</v>
      </c>
      <c r="K7" s="16">
        <v>5.3357725</v>
      </c>
      <c r="L7" s="16">
        <v>5.7858980999999998</v>
      </c>
      <c r="M7" s="16">
        <v>5.1236854999999997</v>
      </c>
      <c r="N7" s="16">
        <v>6.6769562000000002</v>
      </c>
      <c r="O7" s="16">
        <v>9.2807005999999994</v>
      </c>
      <c r="P7" s="16">
        <v>8.2077764999999996</v>
      </c>
      <c r="Q7" s="16">
        <v>6.6141728000000004</v>
      </c>
      <c r="R7" s="16">
        <v>6.8163837000000003</v>
      </c>
      <c r="S7" s="16">
        <v>3.3590366</v>
      </c>
      <c r="T7" s="16">
        <v>5.6432336000000003</v>
      </c>
      <c r="U7" s="16">
        <v>2.4058959999999998</v>
      </c>
      <c r="V7" s="16">
        <v>5.9570170999999998</v>
      </c>
      <c r="W7" s="16">
        <v>4.9802559000000004</v>
      </c>
      <c r="X7" s="16">
        <v>6.0883096999999999</v>
      </c>
      <c r="Y7" s="16">
        <v>8.8915828000000001</v>
      </c>
      <c r="Z7" s="16">
        <v>7.3163625999999997</v>
      </c>
      <c r="AA7" s="16">
        <v>6.3602924999999999</v>
      </c>
      <c r="AB7" s="16">
        <v>6.1933121</v>
      </c>
      <c r="AC7" s="16">
        <v>6.9431706000000002</v>
      </c>
      <c r="AD7" s="16">
        <v>6.0269886000000001</v>
      </c>
      <c r="AE7" s="16">
        <v>3.6089902</v>
      </c>
      <c r="AF7" s="16">
        <v>3.2432576000000002</v>
      </c>
      <c r="AG7" s="16">
        <v>4.6573434999999996</v>
      </c>
      <c r="AH7" s="16">
        <v>2.6863845</v>
      </c>
      <c r="AI7" s="16">
        <v>4.7132021000000002</v>
      </c>
      <c r="AJ7" s="16">
        <v>4.1085497999999996</v>
      </c>
      <c r="AK7" s="16">
        <v>4.7191212</v>
      </c>
      <c r="AL7" s="16">
        <v>6.9794172000000003</v>
      </c>
      <c r="AM7" s="16">
        <v>6.9572577999999998</v>
      </c>
      <c r="AN7" s="16">
        <v>6.8534497999999999</v>
      </c>
      <c r="AO7" s="16">
        <v>6.8543675999999998</v>
      </c>
      <c r="AP7" s="16">
        <v>7.1337145</v>
      </c>
    </row>
    <row r="10" spans="1:42" x14ac:dyDescent="0.25">
      <c r="A10" s="35" t="s">
        <v>200</v>
      </c>
      <c r="B10" s="36">
        <v>44440</v>
      </c>
      <c r="C10" s="36">
        <v>44470</v>
      </c>
      <c r="D10" s="36">
        <v>44501</v>
      </c>
      <c r="E10" s="36">
        <v>44531</v>
      </c>
      <c r="F10" s="36">
        <v>44562</v>
      </c>
      <c r="G10" s="36">
        <v>44593</v>
      </c>
      <c r="H10" s="36">
        <v>44621</v>
      </c>
      <c r="I10" s="36">
        <v>44652</v>
      </c>
      <c r="J10" s="36">
        <v>44682</v>
      </c>
      <c r="K10" s="36">
        <v>44713</v>
      </c>
      <c r="L10" s="36">
        <v>44743</v>
      </c>
      <c r="M10" s="36">
        <v>44774</v>
      </c>
      <c r="N10" s="36">
        <v>44805</v>
      </c>
      <c r="O10" s="36">
        <v>44835</v>
      </c>
      <c r="P10" s="36">
        <v>44866</v>
      </c>
      <c r="Q10" s="36">
        <v>44896</v>
      </c>
      <c r="R10" s="36">
        <v>44927</v>
      </c>
      <c r="S10" s="36">
        <v>44958</v>
      </c>
      <c r="T10" s="36">
        <v>44986</v>
      </c>
      <c r="U10" s="36">
        <v>45017</v>
      </c>
      <c r="V10" s="36">
        <v>45047</v>
      </c>
      <c r="W10" s="36">
        <v>45078</v>
      </c>
      <c r="X10" s="36">
        <v>45108</v>
      </c>
      <c r="Y10" s="36">
        <v>45139</v>
      </c>
      <c r="Z10" s="36">
        <v>45170</v>
      </c>
      <c r="AA10" s="36">
        <v>45200</v>
      </c>
      <c r="AB10" s="36">
        <v>45231</v>
      </c>
      <c r="AC10" s="36">
        <v>45261</v>
      </c>
      <c r="AD10" s="36">
        <v>45292</v>
      </c>
      <c r="AE10" s="36">
        <v>45323</v>
      </c>
      <c r="AF10" s="36">
        <v>45352</v>
      </c>
      <c r="AG10" s="36">
        <v>45383</v>
      </c>
      <c r="AH10" s="36">
        <v>45413</v>
      </c>
      <c r="AI10" s="36">
        <v>45444</v>
      </c>
      <c r="AJ10" s="36">
        <v>45474</v>
      </c>
      <c r="AK10" s="36">
        <v>45505</v>
      </c>
      <c r="AL10" s="36">
        <v>45536</v>
      </c>
    </row>
    <row r="11" spans="1:42" x14ac:dyDescent="0.25">
      <c r="A11" s="34" t="s">
        <v>277</v>
      </c>
      <c r="B11" s="18">
        <v>44.421040099999999</v>
      </c>
      <c r="C11" s="18">
        <v>42.8706149</v>
      </c>
      <c r="D11" s="18">
        <v>44.3503288</v>
      </c>
      <c r="E11" s="18">
        <v>45.179226300000003</v>
      </c>
      <c r="F11" s="18">
        <v>46.376396700000001</v>
      </c>
      <c r="G11" s="18">
        <v>45.984914600000003</v>
      </c>
      <c r="H11" s="18">
        <v>45.657430400000003</v>
      </c>
      <c r="I11" s="18">
        <v>45.544051600000003</v>
      </c>
      <c r="J11" s="18">
        <v>44.416511100000001</v>
      </c>
      <c r="K11" s="18">
        <v>43.352279699999997</v>
      </c>
      <c r="L11" s="18">
        <v>42.928534900000002</v>
      </c>
      <c r="M11" s="18">
        <v>43.760636699999999</v>
      </c>
      <c r="N11" s="18">
        <v>44.294243299999998</v>
      </c>
      <c r="O11" s="18">
        <v>44.174651900000001</v>
      </c>
      <c r="P11" s="18">
        <v>46.6936982</v>
      </c>
      <c r="Q11" s="18">
        <v>50.182930599999999</v>
      </c>
      <c r="R11" s="18">
        <v>50.573355800000002</v>
      </c>
      <c r="S11" s="18">
        <v>50.5964928</v>
      </c>
      <c r="T11" s="18">
        <v>49.305227899999998</v>
      </c>
      <c r="U11" s="18">
        <v>48.889477200000002</v>
      </c>
      <c r="V11" s="18">
        <v>48.232335200000001</v>
      </c>
      <c r="W11" s="18">
        <v>46.413940099999998</v>
      </c>
      <c r="X11" s="18">
        <v>45.628875299999997</v>
      </c>
      <c r="Y11" s="18">
        <v>45.8745428</v>
      </c>
      <c r="Z11" s="18">
        <v>47.295637200000002</v>
      </c>
      <c r="AA11" s="18">
        <v>48.750969400000002</v>
      </c>
      <c r="AB11" s="18">
        <v>50.488783099999999</v>
      </c>
      <c r="AC11" s="18">
        <v>52.126884400000002</v>
      </c>
      <c r="AD11" s="18">
        <v>53.455845099999998</v>
      </c>
      <c r="AE11" s="18">
        <v>54.758017299999999</v>
      </c>
      <c r="AF11" s="18">
        <v>55.2126558</v>
      </c>
      <c r="AG11" s="18">
        <v>54.223590199999997</v>
      </c>
      <c r="AH11" s="18">
        <v>49.675150500000001</v>
      </c>
      <c r="AI11" s="18">
        <v>47.219900000000003</v>
      </c>
      <c r="AJ11" s="18">
        <v>42.969941200000001</v>
      </c>
      <c r="AK11" s="18">
        <v>41.855958200000003</v>
      </c>
      <c r="AL11" s="18">
        <v>41.062372000000003</v>
      </c>
    </row>
    <row r="12" spans="1:42" x14ac:dyDescent="0.25">
      <c r="A12" s="34" t="s">
        <v>278</v>
      </c>
      <c r="B12" s="18">
        <v>0</v>
      </c>
      <c r="C12" s="18">
        <v>4.2664773</v>
      </c>
      <c r="D12" s="18">
        <v>3.2788143999999999</v>
      </c>
      <c r="E12" s="18">
        <v>4.8082868999999997</v>
      </c>
      <c r="F12" s="18">
        <v>2.8160694999999998</v>
      </c>
      <c r="G12" s="18">
        <v>4.0724913999999997</v>
      </c>
      <c r="H12" s="18">
        <v>6.2326983</v>
      </c>
      <c r="I12" s="18">
        <v>6.7959364999999998</v>
      </c>
      <c r="J12" s="18">
        <v>9.5721673999999997</v>
      </c>
      <c r="K12" s="18">
        <v>8.9003806999999995</v>
      </c>
      <c r="L12" s="18">
        <v>6.0933839000000001</v>
      </c>
      <c r="M12" s="18">
        <v>5.5100889000000004</v>
      </c>
      <c r="N12" s="18">
        <v>4.0807371999999997</v>
      </c>
      <c r="O12" s="18">
        <v>5.7945899000000001</v>
      </c>
      <c r="P12" s="18">
        <v>4.7520188000000001</v>
      </c>
      <c r="Q12" s="18">
        <v>2.5857066999999998</v>
      </c>
      <c r="R12" s="18">
        <v>4.8370395999999998</v>
      </c>
      <c r="S12" s="18">
        <v>6.3744047000000004</v>
      </c>
      <c r="T12" s="18">
        <v>5.3213619000000003</v>
      </c>
      <c r="U12" s="18">
        <v>8.9591779999999996</v>
      </c>
      <c r="V12" s="18">
        <v>7.3185814000000002</v>
      </c>
      <c r="W12" s="18">
        <v>7.2389156000000003</v>
      </c>
      <c r="X12" s="18">
        <v>8.4238499999999998</v>
      </c>
      <c r="Y12" s="18">
        <v>5.6696328999999999</v>
      </c>
      <c r="Z12" s="18">
        <v>5.7765839999999997</v>
      </c>
      <c r="AA12" s="18">
        <v>4.1359475999999997</v>
      </c>
      <c r="AB12" s="18">
        <v>4.9285094000000003</v>
      </c>
      <c r="AC12" s="18">
        <v>2.8113766</v>
      </c>
      <c r="AD12" s="18">
        <v>2.6157764000000001</v>
      </c>
      <c r="AE12" s="18">
        <v>4.3470966000000004</v>
      </c>
      <c r="AF12" s="18">
        <v>3.9688447</v>
      </c>
      <c r="AG12" s="18">
        <v>6.2433727000000001</v>
      </c>
      <c r="AH12" s="18">
        <v>11.455285999999999</v>
      </c>
      <c r="AI12" s="18">
        <v>7.6883504</v>
      </c>
      <c r="AJ12" s="18">
        <v>16.5063955</v>
      </c>
      <c r="AK12" s="18">
        <v>6.6129679000000001</v>
      </c>
      <c r="AL12" s="18">
        <v>6.426946</v>
      </c>
    </row>
    <row r="26" spans="1:38" x14ac:dyDescent="0.25">
      <c r="A26" s="35" t="s">
        <v>12</v>
      </c>
      <c r="B26" s="36">
        <v>44440</v>
      </c>
      <c r="C26" s="36">
        <v>44470</v>
      </c>
      <c r="D26" s="36">
        <v>44501</v>
      </c>
      <c r="E26" s="36">
        <v>44531</v>
      </c>
      <c r="F26" s="36">
        <v>44562</v>
      </c>
      <c r="G26" s="36">
        <v>44593</v>
      </c>
      <c r="H26" s="36">
        <v>44621</v>
      </c>
      <c r="I26" s="36">
        <v>44652</v>
      </c>
      <c r="J26" s="36">
        <v>44682</v>
      </c>
      <c r="K26" s="36">
        <v>44713</v>
      </c>
      <c r="L26" s="36">
        <v>44743</v>
      </c>
      <c r="M26" s="36">
        <v>44774</v>
      </c>
      <c r="N26" s="36">
        <v>44805</v>
      </c>
      <c r="O26" s="36">
        <v>44835</v>
      </c>
      <c r="P26" s="36">
        <v>44866</v>
      </c>
      <c r="Q26" s="36">
        <v>44896</v>
      </c>
      <c r="R26" s="36">
        <v>44927</v>
      </c>
      <c r="S26" s="36">
        <v>44958</v>
      </c>
      <c r="T26" s="36">
        <v>44986</v>
      </c>
      <c r="U26" s="36">
        <v>45017</v>
      </c>
      <c r="V26" s="36">
        <v>45047</v>
      </c>
      <c r="W26" s="36">
        <v>45078</v>
      </c>
      <c r="X26" s="36">
        <v>45108</v>
      </c>
      <c r="Y26" s="36">
        <v>45139</v>
      </c>
      <c r="Z26" s="36">
        <v>45170</v>
      </c>
      <c r="AA26" s="36">
        <v>45200</v>
      </c>
      <c r="AB26" s="36">
        <v>45231</v>
      </c>
      <c r="AC26" s="36">
        <v>45261</v>
      </c>
      <c r="AD26" s="36">
        <v>45292</v>
      </c>
      <c r="AE26" s="36">
        <v>45323</v>
      </c>
      <c r="AF26" s="36">
        <v>45352</v>
      </c>
      <c r="AG26" s="36">
        <v>45383</v>
      </c>
      <c r="AH26" s="36">
        <v>45413</v>
      </c>
      <c r="AI26" s="36">
        <v>45444</v>
      </c>
      <c r="AJ26" s="36">
        <v>45474</v>
      </c>
      <c r="AK26" s="36">
        <v>45505</v>
      </c>
      <c r="AL26" s="36">
        <v>45536</v>
      </c>
    </row>
    <row r="27" spans="1:38" x14ac:dyDescent="0.25">
      <c r="A27" s="34" t="s">
        <v>277</v>
      </c>
      <c r="B27" s="18">
        <v>46.800262199999999</v>
      </c>
      <c r="C27" s="18">
        <v>48.043808400000003</v>
      </c>
      <c r="D27" s="18">
        <v>48.667459700000002</v>
      </c>
      <c r="E27" s="18">
        <v>49.175434099999997</v>
      </c>
      <c r="F27" s="18">
        <v>49.2715642</v>
      </c>
      <c r="G27" s="18">
        <v>47.832704700000001</v>
      </c>
      <c r="H27" s="18">
        <v>47.968672699999999</v>
      </c>
      <c r="I27" s="18">
        <v>46.216443900000002</v>
      </c>
      <c r="J27" s="18">
        <v>44.898463700000001</v>
      </c>
      <c r="K27" s="18">
        <v>43.407713899999997</v>
      </c>
      <c r="L27" s="18">
        <v>43.410431899999999</v>
      </c>
      <c r="M27" s="18">
        <v>43.5465862</v>
      </c>
      <c r="N27" s="18">
        <v>42.934400799999999</v>
      </c>
      <c r="O27" s="18">
        <v>43.635705899999998</v>
      </c>
      <c r="P27" s="18">
        <v>46.055216100000003</v>
      </c>
      <c r="Q27" s="18">
        <v>47.996544499999999</v>
      </c>
      <c r="R27" s="18">
        <v>49.642351300000001</v>
      </c>
      <c r="S27" s="18">
        <v>46.7258523</v>
      </c>
      <c r="T27" s="18">
        <v>47.483508</v>
      </c>
      <c r="U27" s="18">
        <v>46.416969399999999</v>
      </c>
      <c r="V27" s="18">
        <v>47.521115399999999</v>
      </c>
      <c r="W27" s="18">
        <v>45.546200900000002</v>
      </c>
      <c r="X27" s="18">
        <v>43.397356199999997</v>
      </c>
      <c r="Y27" s="18">
        <v>43.505954199999998</v>
      </c>
      <c r="Z27" s="18">
        <v>44.620378899999999</v>
      </c>
      <c r="AA27" s="18">
        <v>46.356928099999998</v>
      </c>
      <c r="AB27" s="18">
        <v>48.728382199999999</v>
      </c>
      <c r="AC27" s="18">
        <v>50.643208199999997</v>
      </c>
      <c r="AD27" s="18">
        <v>53.290821299999998</v>
      </c>
      <c r="AE27" s="18">
        <v>52.289261199999999</v>
      </c>
      <c r="AF27" s="18">
        <v>52.4682508</v>
      </c>
      <c r="AG27" s="18">
        <v>50.461056800000001</v>
      </c>
      <c r="AH27" s="18">
        <v>49.259495399999999</v>
      </c>
      <c r="AI27" s="18">
        <v>48.0887685</v>
      </c>
      <c r="AJ27" s="18">
        <v>47.325407900000002</v>
      </c>
      <c r="AK27" s="18">
        <v>43.4370355</v>
      </c>
      <c r="AL27" s="18">
        <v>42.477167600000001</v>
      </c>
    </row>
    <row r="28" spans="1:38" x14ac:dyDescent="0.25">
      <c r="A28" s="34" t="s">
        <v>278</v>
      </c>
      <c r="B28" s="18">
        <v>0</v>
      </c>
      <c r="C28" s="18">
        <v>4.3765793000000004</v>
      </c>
      <c r="D28" s="18">
        <v>3.2680411999999999</v>
      </c>
      <c r="E28" s="18">
        <v>4.1836057000000002</v>
      </c>
      <c r="F28" s="18">
        <v>3.0321619000000002</v>
      </c>
      <c r="G28" s="18">
        <v>4.1828085000000002</v>
      </c>
      <c r="H28" s="18">
        <v>3.6587971000000001</v>
      </c>
      <c r="I28" s="18">
        <v>5.4183491999999998</v>
      </c>
      <c r="J28" s="18">
        <v>5.1594996999999996</v>
      </c>
      <c r="K28" s="18">
        <v>8.0648791000000006</v>
      </c>
      <c r="L28" s="18">
        <v>5.7994751999999998</v>
      </c>
      <c r="M28" s="18">
        <v>5.3420772999999997</v>
      </c>
      <c r="N28" s="18">
        <v>4.4652668000000002</v>
      </c>
      <c r="O28" s="18">
        <v>4.5399025000000002</v>
      </c>
      <c r="P28" s="18">
        <v>3.9039944000000002</v>
      </c>
      <c r="Q28" s="18">
        <v>1.6818508000000001</v>
      </c>
      <c r="R28" s="18">
        <v>2.5434996000000001</v>
      </c>
      <c r="S28" s="18">
        <v>3.9059713999999999</v>
      </c>
      <c r="T28" s="18">
        <v>2.5312825999999999</v>
      </c>
      <c r="U28" s="18">
        <v>5.1722305999999998</v>
      </c>
      <c r="V28" s="18">
        <v>4.8149829000000004</v>
      </c>
      <c r="W28" s="18">
        <v>5.1114281000000004</v>
      </c>
      <c r="X28" s="18">
        <v>6.9646613999999998</v>
      </c>
      <c r="Y28" s="18">
        <v>5.0683099</v>
      </c>
      <c r="Z28" s="18">
        <v>5.4888437000000003</v>
      </c>
      <c r="AA28" s="18">
        <v>3.0595764000000001</v>
      </c>
      <c r="AB28" s="18">
        <v>3.0925601</v>
      </c>
      <c r="AC28" s="18">
        <v>3.3425392</v>
      </c>
      <c r="AD28" s="18">
        <v>2.4604851000000001</v>
      </c>
      <c r="AE28" s="18">
        <v>4.7425702999999997</v>
      </c>
      <c r="AF28" s="18">
        <v>3.8221058000000001</v>
      </c>
      <c r="AG28" s="18">
        <v>3.9468445000000001</v>
      </c>
      <c r="AH28" s="18">
        <v>5.1036766</v>
      </c>
      <c r="AI28" s="18">
        <v>5.5095517999999997</v>
      </c>
      <c r="AJ28" s="18">
        <v>6.2799987000000002</v>
      </c>
      <c r="AK28" s="18">
        <v>7.8834413999999997</v>
      </c>
      <c r="AL28" s="18">
        <v>7.2106513999999997</v>
      </c>
    </row>
    <row r="42" spans="1:38" x14ac:dyDescent="0.25">
      <c r="A42" s="35" t="s">
        <v>17</v>
      </c>
      <c r="B42" s="36">
        <v>44440</v>
      </c>
      <c r="C42" s="36">
        <v>44470</v>
      </c>
      <c r="D42" s="36">
        <v>44501</v>
      </c>
      <c r="E42" s="36">
        <v>44531</v>
      </c>
      <c r="F42" s="36">
        <v>44562</v>
      </c>
      <c r="G42" s="36">
        <v>44593</v>
      </c>
      <c r="H42" s="36">
        <v>44621</v>
      </c>
      <c r="I42" s="36">
        <v>44652</v>
      </c>
      <c r="J42" s="36">
        <v>44682</v>
      </c>
      <c r="K42" s="36">
        <v>44713</v>
      </c>
      <c r="L42" s="36">
        <v>44743</v>
      </c>
      <c r="M42" s="36">
        <v>44774</v>
      </c>
      <c r="N42" s="36">
        <v>44805</v>
      </c>
      <c r="O42" s="36">
        <v>44835</v>
      </c>
      <c r="P42" s="36">
        <v>44866</v>
      </c>
      <c r="Q42" s="36">
        <v>44896</v>
      </c>
      <c r="R42" s="36">
        <v>44927</v>
      </c>
      <c r="S42" s="36">
        <v>44958</v>
      </c>
      <c r="T42" s="36">
        <v>44986</v>
      </c>
      <c r="U42" s="36">
        <v>45017</v>
      </c>
      <c r="V42" s="36">
        <v>45047</v>
      </c>
      <c r="W42" s="36">
        <v>45078</v>
      </c>
      <c r="X42" s="36">
        <v>45108</v>
      </c>
      <c r="Y42" s="36">
        <v>45139</v>
      </c>
      <c r="Z42" s="36">
        <v>45170</v>
      </c>
      <c r="AA42" s="36">
        <v>45200</v>
      </c>
      <c r="AB42" s="36">
        <v>45231</v>
      </c>
      <c r="AC42" s="36">
        <v>45261</v>
      </c>
      <c r="AD42" s="36">
        <v>45292</v>
      </c>
      <c r="AE42" s="36">
        <v>45323</v>
      </c>
      <c r="AF42" s="36">
        <v>45352</v>
      </c>
      <c r="AG42" s="36">
        <v>45383</v>
      </c>
      <c r="AH42" s="36">
        <v>45413</v>
      </c>
      <c r="AI42" s="36">
        <v>45444</v>
      </c>
      <c r="AJ42" s="36">
        <v>45474</v>
      </c>
      <c r="AK42" s="36">
        <v>45505</v>
      </c>
      <c r="AL42" s="36">
        <v>45536</v>
      </c>
    </row>
    <row r="43" spans="1:38" x14ac:dyDescent="0.25">
      <c r="A43" s="34" t="s">
        <v>277</v>
      </c>
      <c r="B43" s="18">
        <v>44.802067899999997</v>
      </c>
      <c r="C43" s="18">
        <v>45.310758999999997</v>
      </c>
      <c r="D43" s="18">
        <v>46.468037199999998</v>
      </c>
      <c r="E43" s="18">
        <v>48.4088329</v>
      </c>
      <c r="F43" s="18">
        <v>48.158408000000001</v>
      </c>
      <c r="G43" s="18">
        <v>46.853305400000004</v>
      </c>
      <c r="H43" s="18">
        <v>46.479219200000003</v>
      </c>
      <c r="I43" s="18">
        <v>45.768819899999997</v>
      </c>
      <c r="J43" s="18">
        <v>44.629694000000001</v>
      </c>
      <c r="K43" s="18">
        <v>44.658166999999999</v>
      </c>
      <c r="L43" s="18">
        <v>43.065717999999997</v>
      </c>
      <c r="M43" s="18">
        <v>43.594892399999999</v>
      </c>
      <c r="N43" s="18">
        <v>43.789448499999999</v>
      </c>
      <c r="O43" s="18">
        <v>45.091993600000002</v>
      </c>
      <c r="P43" s="18">
        <v>45.229224600000002</v>
      </c>
      <c r="Q43" s="18">
        <v>48.595464800000002</v>
      </c>
      <c r="R43" s="18">
        <v>50.861526099999999</v>
      </c>
      <c r="S43" s="18">
        <v>49.065133899999999</v>
      </c>
      <c r="T43" s="18">
        <v>49.1862797</v>
      </c>
      <c r="U43" s="18">
        <v>46.948626699999998</v>
      </c>
      <c r="V43" s="18">
        <v>45.898096799999998</v>
      </c>
      <c r="W43" s="18">
        <v>45.630392899999997</v>
      </c>
      <c r="X43" s="18">
        <v>44.890302300000002</v>
      </c>
      <c r="Y43" s="18">
        <v>44.78087</v>
      </c>
      <c r="Z43" s="18">
        <v>45.936364500000003</v>
      </c>
      <c r="AA43" s="18">
        <v>47.831125999999998</v>
      </c>
      <c r="AB43" s="18">
        <v>48.880465899999997</v>
      </c>
      <c r="AC43" s="18">
        <v>49.750465300000002</v>
      </c>
      <c r="AD43" s="18">
        <v>53.930851199999999</v>
      </c>
      <c r="AE43" s="18">
        <v>54.425092200000002</v>
      </c>
      <c r="AF43" s="18">
        <v>53.451302900000002</v>
      </c>
      <c r="AG43" s="18">
        <v>51.376887600000003</v>
      </c>
      <c r="AH43" s="18">
        <v>50.475392499999998</v>
      </c>
      <c r="AI43" s="18">
        <v>47.444870999999999</v>
      </c>
      <c r="AJ43" s="18">
        <v>46.5121003</v>
      </c>
      <c r="AK43" s="18">
        <v>45.320812199999999</v>
      </c>
      <c r="AL43" s="18">
        <v>45.275333500000002</v>
      </c>
    </row>
    <row r="44" spans="1:38" x14ac:dyDescent="0.25">
      <c r="A44" s="34" t="s">
        <v>278</v>
      </c>
      <c r="B44" s="18">
        <v>0</v>
      </c>
      <c r="C44" s="18">
        <v>4.2805479999999996</v>
      </c>
      <c r="D44" s="18">
        <v>3.5896243999999999</v>
      </c>
      <c r="E44" s="18">
        <v>4.6515152000000004</v>
      </c>
      <c r="F44" s="18">
        <v>3.4949490999999999</v>
      </c>
      <c r="G44" s="18">
        <v>5.3357725</v>
      </c>
      <c r="H44" s="18">
        <v>5.7858980999999998</v>
      </c>
      <c r="I44" s="18">
        <v>5.1236854999999997</v>
      </c>
      <c r="J44" s="18">
        <v>6.6769562000000002</v>
      </c>
      <c r="K44" s="18">
        <v>9.2807005999999994</v>
      </c>
      <c r="L44" s="18">
        <v>8.2077764999999996</v>
      </c>
      <c r="M44" s="18">
        <v>6.6141728000000004</v>
      </c>
      <c r="N44" s="18">
        <v>6.8163837000000003</v>
      </c>
      <c r="O44" s="18">
        <v>3.3590366</v>
      </c>
      <c r="P44" s="18">
        <v>5.6432336000000003</v>
      </c>
      <c r="Q44" s="18">
        <v>2.4058959999999998</v>
      </c>
      <c r="R44" s="18">
        <v>5.9570170999999998</v>
      </c>
      <c r="S44" s="18">
        <v>4.9802559000000004</v>
      </c>
      <c r="T44" s="18">
        <v>6.0883096999999999</v>
      </c>
      <c r="U44" s="18">
        <v>8.8915828000000001</v>
      </c>
      <c r="V44" s="18">
        <v>7.3163625999999997</v>
      </c>
      <c r="W44" s="18">
        <v>6.3602924999999999</v>
      </c>
      <c r="X44" s="18">
        <v>6.1933121</v>
      </c>
      <c r="Y44" s="18">
        <v>6.9431706000000002</v>
      </c>
      <c r="Z44" s="18">
        <v>6.0269886000000001</v>
      </c>
      <c r="AA44" s="18">
        <v>3.6089902</v>
      </c>
      <c r="AB44" s="18">
        <v>3.2432576000000002</v>
      </c>
      <c r="AC44" s="18">
        <v>4.6573434999999996</v>
      </c>
      <c r="AD44" s="18">
        <v>2.6863845</v>
      </c>
      <c r="AE44" s="18">
        <v>4.7132021000000002</v>
      </c>
      <c r="AF44" s="18">
        <v>4.1085497999999996</v>
      </c>
      <c r="AG44" s="18">
        <v>4.7191212</v>
      </c>
      <c r="AH44" s="18">
        <v>6.9794172000000003</v>
      </c>
      <c r="AI44" s="18">
        <v>6.9572577999999998</v>
      </c>
      <c r="AJ44" s="18">
        <v>6.8534497999999999</v>
      </c>
      <c r="AK44" s="18">
        <v>6.8543675999999998</v>
      </c>
      <c r="AL44" s="18">
        <v>7.1337145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Diccionario</vt:lpstr>
      <vt:lpstr>Dinamica S.</vt:lpstr>
      <vt:lpstr>Shipments</vt:lpstr>
      <vt:lpstr>Dinamica D.</vt:lpstr>
      <vt:lpstr>Dataset</vt:lpstr>
      <vt:lpstr>D.Inventario</vt:lpstr>
      <vt:lpstr>Inventario</vt:lpstr>
      <vt:lpstr>DNA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 Diaz</dc:creator>
  <cp:keywords/>
  <dc:description/>
  <cp:lastModifiedBy>Cristian David Caro</cp:lastModifiedBy>
  <cp:revision/>
  <dcterms:created xsi:type="dcterms:W3CDTF">2024-10-28T18:26:56Z</dcterms:created>
  <dcterms:modified xsi:type="dcterms:W3CDTF">2025-09-24T17:09:33Z</dcterms:modified>
  <cp:category/>
  <cp:contentStatus/>
</cp:coreProperties>
</file>